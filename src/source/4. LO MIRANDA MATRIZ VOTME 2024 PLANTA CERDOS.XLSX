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agrosuper.sharepoint.com/sites/SaludySeguridadOcupacionalFLM/Documentos compartidos/Faenadora Lo Miranda/07. Ergonomia/PROTOCOLOS/Protocolo de Vigilancia Ocupacional (TMERT)/"/>
    </mc:Choice>
  </mc:AlternateContent>
  <xr:revisionPtr revIDLastSave="41" documentId="8_{6B34FDD8-4824-45A0-8E69-E331B9ACE76F}" xr6:coauthVersionLast="47" xr6:coauthVersionMax="47" xr10:uidLastSave="{85C5A126-47E9-4BD3-83BD-883036C2248E}"/>
  <workbookProtection lockStructure="1"/>
  <bookViews>
    <workbookView xWindow="-120" yWindow="-120" windowWidth="20730" windowHeight="11160" tabRatio="828" firstSheet="2" activeTab="1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Postura estatica" sheetId="4" r:id="rId5"/>
    <sheet name="MMC Levantamiento-Descenso" sheetId="5" r:id="rId6"/>
    <sheet name="MMC Empuje-Arrastre " sheetId="6" r:id="rId7"/>
    <sheet name="Manejo manual PCTS" sheetId="7" r:id="rId8"/>
    <sheet name="Vibración Cuerpo completo" sheetId="9" r:id="rId9"/>
    <sheet name="Vibración Mano-Brazo" sheetId="8" r:id="rId10"/>
  </sheets>
  <definedNames>
    <definedName name="_xlnm._FilterDatabase" localSheetId="2" hidden="1">Inicial!$A$1:$AC$406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B4" i="5"/>
  <c r="C4" i="5"/>
  <c r="D4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15" i="2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E8" i="5"/>
  <c r="F8" i="5"/>
  <c r="G8" i="5"/>
  <c r="H8" i="5"/>
  <c r="I8" i="5"/>
  <c r="A9" i="5"/>
  <c r="B9" i="5"/>
  <c r="C9" i="5"/>
  <c r="D9" i="5"/>
  <c r="E9" i="5"/>
  <c r="F9" i="5"/>
  <c r="G9" i="5"/>
  <c r="H9" i="5"/>
  <c r="I9" i="5"/>
  <c r="A10" i="5"/>
  <c r="B10" i="5"/>
  <c r="C10" i="5"/>
  <c r="D10" i="5"/>
  <c r="E10" i="5"/>
  <c r="F10" i="5"/>
  <c r="G10" i="5"/>
  <c r="H10" i="5"/>
  <c r="I10" i="5"/>
  <c r="A11" i="5"/>
  <c r="B11" i="5"/>
  <c r="C11" i="5"/>
  <c r="D11" i="5"/>
  <c r="E11" i="5"/>
  <c r="F11" i="5"/>
  <c r="G11" i="5"/>
  <c r="H11" i="5"/>
  <c r="I11" i="5"/>
  <c r="A12" i="5"/>
  <c r="B12" i="5"/>
  <c r="C12" i="5"/>
  <c r="D12" i="5"/>
  <c r="E12" i="5"/>
  <c r="F12" i="5"/>
  <c r="G12" i="5"/>
  <c r="H12" i="5"/>
  <c r="I12" i="5"/>
  <c r="A13" i="5"/>
  <c r="B13" i="5"/>
  <c r="C13" i="5"/>
  <c r="D13" i="5"/>
  <c r="E13" i="5"/>
  <c r="F13" i="5"/>
  <c r="G13" i="5"/>
  <c r="H13" i="5"/>
  <c r="I13" i="5"/>
  <c r="A14" i="5"/>
  <c r="B14" i="5"/>
  <c r="C14" i="5"/>
  <c r="D14" i="5"/>
  <c r="E14" i="5"/>
  <c r="F14" i="5"/>
  <c r="G14" i="5"/>
  <c r="H14" i="5"/>
  <c r="I14" i="5"/>
  <c r="A15" i="5"/>
  <c r="B15" i="5"/>
  <c r="C15" i="5"/>
  <c r="D15" i="5"/>
  <c r="E15" i="5"/>
  <c r="F15" i="5"/>
  <c r="G15" i="5"/>
  <c r="H15" i="5"/>
  <c r="I15" i="5"/>
  <c r="A16" i="5"/>
  <c r="B16" i="5"/>
  <c r="C16" i="5"/>
  <c r="D16" i="5"/>
  <c r="E16" i="5"/>
  <c r="F16" i="5"/>
  <c r="G16" i="5"/>
  <c r="H16" i="5"/>
  <c r="I16" i="5"/>
  <c r="A17" i="5"/>
  <c r="B17" i="5"/>
  <c r="C17" i="5"/>
  <c r="D17" i="5"/>
  <c r="E17" i="5"/>
  <c r="F17" i="5"/>
  <c r="G17" i="5"/>
  <c r="H17" i="5"/>
  <c r="I17" i="5"/>
  <c r="A18" i="5"/>
  <c r="B18" i="5"/>
  <c r="C18" i="5"/>
  <c r="D18" i="5"/>
  <c r="E18" i="5"/>
  <c r="F18" i="5"/>
  <c r="G18" i="5"/>
  <c r="H18" i="5"/>
  <c r="I18" i="5"/>
  <c r="A19" i="5"/>
  <c r="B19" i="5"/>
  <c r="C19" i="5"/>
  <c r="D19" i="5"/>
  <c r="E19" i="5"/>
  <c r="F19" i="5"/>
  <c r="G19" i="5"/>
  <c r="H19" i="5"/>
  <c r="I19" i="5"/>
  <c r="A20" i="5"/>
  <c r="B20" i="5"/>
  <c r="C20" i="5"/>
  <c r="D20" i="5"/>
  <c r="E20" i="5"/>
  <c r="F20" i="5"/>
  <c r="G20" i="5"/>
  <c r="H20" i="5"/>
  <c r="I20" i="5"/>
  <c r="A21" i="5"/>
  <c r="B21" i="5"/>
  <c r="C21" i="5"/>
  <c r="D21" i="5"/>
  <c r="E21" i="5"/>
  <c r="F21" i="5"/>
  <c r="G21" i="5"/>
  <c r="H21" i="5"/>
  <c r="I21" i="5"/>
  <c r="A22" i="5"/>
  <c r="B22" i="5"/>
  <c r="C22" i="5"/>
  <c r="D22" i="5"/>
  <c r="E22" i="5"/>
  <c r="F22" i="5"/>
  <c r="G22" i="5"/>
  <c r="H22" i="5"/>
  <c r="I22" i="5"/>
  <c r="A23" i="5"/>
  <c r="B23" i="5"/>
  <c r="C23" i="5"/>
  <c r="D23" i="5"/>
  <c r="E23" i="5"/>
  <c r="F23" i="5"/>
  <c r="G23" i="5"/>
  <c r="H23" i="5"/>
  <c r="I23" i="5"/>
  <c r="A24" i="5"/>
  <c r="B24" i="5"/>
  <c r="C24" i="5"/>
  <c r="D24" i="5"/>
  <c r="E24" i="5"/>
  <c r="F24" i="5"/>
  <c r="G24" i="5"/>
  <c r="H24" i="5"/>
  <c r="I24" i="5"/>
  <c r="A25" i="5"/>
  <c r="B25" i="5"/>
  <c r="C25" i="5"/>
  <c r="D25" i="5"/>
  <c r="E25" i="5"/>
  <c r="F25" i="5"/>
  <c r="G25" i="5"/>
  <c r="H25" i="5"/>
  <c r="I25" i="5"/>
  <c r="A26" i="5"/>
  <c r="B26" i="5"/>
  <c r="C26" i="5"/>
  <c r="D26" i="5"/>
  <c r="E26" i="5"/>
  <c r="F26" i="5"/>
  <c r="G26" i="5"/>
  <c r="H26" i="5"/>
  <c r="I26" i="5"/>
  <c r="A27" i="5"/>
  <c r="B27" i="5"/>
  <c r="C27" i="5"/>
  <c r="D27" i="5"/>
  <c r="E27" i="5"/>
  <c r="F27" i="5"/>
  <c r="G27" i="5"/>
  <c r="H27" i="5"/>
  <c r="I27" i="5"/>
  <c r="A28" i="5"/>
  <c r="B28" i="5"/>
  <c r="C28" i="5"/>
  <c r="D28" i="5"/>
  <c r="E28" i="5"/>
  <c r="F28" i="5"/>
  <c r="G28" i="5"/>
  <c r="H28" i="5"/>
  <c r="I28" i="5"/>
  <c r="A29" i="5"/>
  <c r="B29" i="5"/>
  <c r="C29" i="5"/>
  <c r="D29" i="5"/>
  <c r="E29" i="5"/>
  <c r="F29" i="5"/>
  <c r="G29" i="5"/>
  <c r="H29" i="5"/>
  <c r="I29" i="5"/>
  <c r="A30" i="5"/>
  <c r="B30" i="5"/>
  <c r="C30" i="5"/>
  <c r="D30" i="5"/>
  <c r="E30" i="5"/>
  <c r="F30" i="5"/>
  <c r="G30" i="5"/>
  <c r="H30" i="5"/>
  <c r="I30" i="5"/>
  <c r="A31" i="5"/>
  <c r="B31" i="5"/>
  <c r="C31" i="5"/>
  <c r="D31" i="5"/>
  <c r="E31" i="5"/>
  <c r="F31" i="5"/>
  <c r="G31" i="5"/>
  <c r="H31" i="5"/>
  <c r="I31" i="5"/>
  <c r="A32" i="5"/>
  <c r="B32" i="5"/>
  <c r="C32" i="5"/>
  <c r="D32" i="5"/>
  <c r="E32" i="5"/>
  <c r="F32" i="5"/>
  <c r="G32" i="5"/>
  <c r="H32" i="5"/>
  <c r="I32" i="5"/>
  <c r="A33" i="5"/>
  <c r="B33" i="5"/>
  <c r="C33" i="5"/>
  <c r="D33" i="5"/>
  <c r="E33" i="5"/>
  <c r="F33" i="5"/>
  <c r="G33" i="5"/>
  <c r="H33" i="5"/>
  <c r="I33" i="5"/>
  <c r="A34" i="5"/>
  <c r="B34" i="5"/>
  <c r="C34" i="5"/>
  <c r="D34" i="5"/>
  <c r="E34" i="5"/>
  <c r="F34" i="5"/>
  <c r="G34" i="5"/>
  <c r="H34" i="5"/>
  <c r="I34" i="5"/>
  <c r="A35" i="5"/>
  <c r="B35" i="5"/>
  <c r="C35" i="5"/>
  <c r="D35" i="5"/>
  <c r="E35" i="5"/>
  <c r="F35" i="5"/>
  <c r="G35" i="5"/>
  <c r="H35" i="5"/>
  <c r="I35" i="5"/>
  <c r="A36" i="5"/>
  <c r="B36" i="5"/>
  <c r="C36" i="5"/>
  <c r="D36" i="5"/>
  <c r="E36" i="5"/>
  <c r="F36" i="5"/>
  <c r="G36" i="5"/>
  <c r="H36" i="5"/>
  <c r="I36" i="5"/>
  <c r="A37" i="5"/>
  <c r="B37" i="5"/>
  <c r="C37" i="5"/>
  <c r="D37" i="5"/>
  <c r="E37" i="5"/>
  <c r="F37" i="5"/>
  <c r="G37" i="5"/>
  <c r="H37" i="5"/>
  <c r="I37" i="5"/>
  <c r="A38" i="5"/>
  <c r="B38" i="5"/>
  <c r="C38" i="5"/>
  <c r="D38" i="5"/>
  <c r="E38" i="5"/>
  <c r="F38" i="5"/>
  <c r="G38" i="5"/>
  <c r="H38" i="5"/>
  <c r="I38" i="5"/>
  <c r="A39" i="5"/>
  <c r="B39" i="5"/>
  <c r="C39" i="5"/>
  <c r="D39" i="5"/>
  <c r="E39" i="5"/>
  <c r="F39" i="5"/>
  <c r="G39" i="5"/>
  <c r="H39" i="5"/>
  <c r="I39" i="5"/>
  <c r="A40" i="5"/>
  <c r="B40" i="5"/>
  <c r="C40" i="5"/>
  <c r="D40" i="5"/>
  <c r="E40" i="5"/>
  <c r="F40" i="5"/>
  <c r="G40" i="5"/>
  <c r="H40" i="5"/>
  <c r="I40" i="5"/>
  <c r="A41" i="5"/>
  <c r="B41" i="5"/>
  <c r="C41" i="5"/>
  <c r="D41" i="5"/>
  <c r="E41" i="5"/>
  <c r="F41" i="5"/>
  <c r="G41" i="5"/>
  <c r="H41" i="5"/>
  <c r="I41" i="5"/>
  <c r="A42" i="5"/>
  <c r="B42" i="5"/>
  <c r="C42" i="5"/>
  <c r="D42" i="5"/>
  <c r="E42" i="5"/>
  <c r="F42" i="5"/>
  <c r="G42" i="5"/>
  <c r="H42" i="5"/>
  <c r="I42" i="5"/>
  <c r="A43" i="5"/>
  <c r="B43" i="5"/>
  <c r="C43" i="5"/>
  <c r="D43" i="5"/>
  <c r="E43" i="5"/>
  <c r="F43" i="5"/>
  <c r="G43" i="5"/>
  <c r="H43" i="5"/>
  <c r="I43" i="5"/>
  <c r="A44" i="5"/>
  <c r="B44" i="5"/>
  <c r="C44" i="5"/>
  <c r="D44" i="5"/>
  <c r="E44" i="5"/>
  <c r="F44" i="5"/>
  <c r="G44" i="5"/>
  <c r="H44" i="5"/>
  <c r="I44" i="5"/>
  <c r="A45" i="5"/>
  <c r="B45" i="5"/>
  <c r="C45" i="5"/>
  <c r="D45" i="5"/>
  <c r="E45" i="5"/>
  <c r="F45" i="5"/>
  <c r="G45" i="5"/>
  <c r="H45" i="5"/>
  <c r="I45" i="5"/>
  <c r="A46" i="5"/>
  <c r="B46" i="5"/>
  <c r="C46" i="5"/>
  <c r="D46" i="5"/>
  <c r="E46" i="5"/>
  <c r="F46" i="5"/>
  <c r="G46" i="5"/>
  <c r="H46" i="5"/>
  <c r="I46" i="5"/>
  <c r="A47" i="5"/>
  <c r="B47" i="5"/>
  <c r="C47" i="5"/>
  <c r="D47" i="5"/>
  <c r="E47" i="5"/>
  <c r="F47" i="5"/>
  <c r="G47" i="5"/>
  <c r="H47" i="5"/>
  <c r="I47" i="5"/>
  <c r="A48" i="5"/>
  <c r="B48" i="5"/>
  <c r="C48" i="5"/>
  <c r="D48" i="5"/>
  <c r="E48" i="5"/>
  <c r="F48" i="5"/>
  <c r="G48" i="5"/>
  <c r="H48" i="5"/>
  <c r="I48" i="5"/>
  <c r="A49" i="5"/>
  <c r="B49" i="5"/>
  <c r="C49" i="5"/>
  <c r="D49" i="5"/>
  <c r="E49" i="5"/>
  <c r="F49" i="5"/>
  <c r="G49" i="5"/>
  <c r="H49" i="5"/>
  <c r="I49" i="5"/>
  <c r="A50" i="5"/>
  <c r="B50" i="5"/>
  <c r="C50" i="5"/>
  <c r="D50" i="5"/>
  <c r="E50" i="5"/>
  <c r="F50" i="5"/>
  <c r="G50" i="5"/>
  <c r="H50" i="5"/>
  <c r="I50" i="5"/>
  <c r="A51" i="5"/>
  <c r="B51" i="5"/>
  <c r="C51" i="5"/>
  <c r="D51" i="5"/>
  <c r="E51" i="5"/>
  <c r="F51" i="5"/>
  <c r="G51" i="5"/>
  <c r="H51" i="5"/>
  <c r="I51" i="5"/>
  <c r="A52" i="5"/>
  <c r="B52" i="5"/>
  <c r="C52" i="5"/>
  <c r="D52" i="5"/>
  <c r="E52" i="5"/>
  <c r="F52" i="5"/>
  <c r="G52" i="5"/>
  <c r="H52" i="5"/>
  <c r="I52" i="5"/>
  <c r="A53" i="5"/>
  <c r="B53" i="5"/>
  <c r="C53" i="5"/>
  <c r="D53" i="5"/>
  <c r="E53" i="5"/>
  <c r="F53" i="5"/>
  <c r="G53" i="5"/>
  <c r="H53" i="5"/>
  <c r="I53" i="5"/>
  <c r="A54" i="5"/>
  <c r="B54" i="5"/>
  <c r="C54" i="5"/>
  <c r="D54" i="5"/>
  <c r="E54" i="5"/>
  <c r="F54" i="5"/>
  <c r="G54" i="5"/>
  <c r="H54" i="5"/>
  <c r="I54" i="5"/>
  <c r="A55" i="5"/>
  <c r="B55" i="5"/>
  <c r="C55" i="5"/>
  <c r="D55" i="5"/>
  <c r="E55" i="5"/>
  <c r="F55" i="5"/>
  <c r="G55" i="5"/>
  <c r="H55" i="5"/>
  <c r="I55" i="5"/>
  <c r="A56" i="5"/>
  <c r="B56" i="5"/>
  <c r="C56" i="5"/>
  <c r="D56" i="5"/>
  <c r="E56" i="5"/>
  <c r="F56" i="5"/>
  <c r="G56" i="5"/>
  <c r="H56" i="5"/>
  <c r="I56" i="5"/>
  <c r="A57" i="5"/>
  <c r="B57" i="5"/>
  <c r="C57" i="5"/>
  <c r="D57" i="5"/>
  <c r="E57" i="5"/>
  <c r="F57" i="5"/>
  <c r="G57" i="5"/>
  <c r="H57" i="5"/>
  <c r="I57" i="5"/>
  <c r="A58" i="5"/>
  <c r="B58" i="5"/>
  <c r="C58" i="5"/>
  <c r="D58" i="5"/>
  <c r="E58" i="5"/>
  <c r="F58" i="5"/>
  <c r="G58" i="5"/>
  <c r="H58" i="5"/>
  <c r="I58" i="5"/>
  <c r="A59" i="5"/>
  <c r="B59" i="5"/>
  <c r="C59" i="5"/>
  <c r="D59" i="5"/>
  <c r="E59" i="5"/>
  <c r="F59" i="5"/>
  <c r="G59" i="5"/>
  <c r="H59" i="5"/>
  <c r="I59" i="5"/>
  <c r="A60" i="5"/>
  <c r="B60" i="5"/>
  <c r="C60" i="5"/>
  <c r="D60" i="5"/>
  <c r="E60" i="5"/>
  <c r="F60" i="5"/>
  <c r="G60" i="5"/>
  <c r="H60" i="5"/>
  <c r="I60" i="5"/>
  <c r="A61" i="5"/>
  <c r="B61" i="5"/>
  <c r="C61" i="5"/>
  <c r="D61" i="5"/>
  <c r="E61" i="5"/>
  <c r="F61" i="5"/>
  <c r="G61" i="5"/>
  <c r="H61" i="5"/>
  <c r="I61" i="5"/>
  <c r="A62" i="5"/>
  <c r="B62" i="5"/>
  <c r="C62" i="5"/>
  <c r="D62" i="5"/>
  <c r="E62" i="5"/>
  <c r="F62" i="5"/>
  <c r="G62" i="5"/>
  <c r="H62" i="5"/>
  <c r="I62" i="5"/>
  <c r="A63" i="5"/>
  <c r="B63" i="5"/>
  <c r="C63" i="5"/>
  <c r="D63" i="5"/>
  <c r="E63" i="5"/>
  <c r="F63" i="5"/>
  <c r="G63" i="5"/>
  <c r="H63" i="5"/>
  <c r="I63" i="5"/>
  <c r="A64" i="5"/>
  <c r="B64" i="5"/>
  <c r="C64" i="5"/>
  <c r="D64" i="5"/>
  <c r="E64" i="5"/>
  <c r="F64" i="5"/>
  <c r="G64" i="5"/>
  <c r="H64" i="5"/>
  <c r="I64" i="5"/>
  <c r="A65" i="5"/>
  <c r="B65" i="5"/>
  <c r="C65" i="5"/>
  <c r="D65" i="5"/>
  <c r="E65" i="5"/>
  <c r="F65" i="5"/>
  <c r="G65" i="5"/>
  <c r="H65" i="5"/>
  <c r="I65" i="5"/>
  <c r="A66" i="5"/>
  <c r="B66" i="5"/>
  <c r="C66" i="5"/>
  <c r="D66" i="5"/>
  <c r="E66" i="5"/>
  <c r="F66" i="5"/>
  <c r="G66" i="5"/>
  <c r="H66" i="5"/>
  <c r="I66" i="5"/>
  <c r="A67" i="5"/>
  <c r="B67" i="5"/>
  <c r="C67" i="5"/>
  <c r="D67" i="5"/>
  <c r="E67" i="5"/>
  <c r="F67" i="5"/>
  <c r="G67" i="5"/>
  <c r="H67" i="5"/>
  <c r="I67" i="5"/>
  <c r="A68" i="5"/>
  <c r="B68" i="5"/>
  <c r="C68" i="5"/>
  <c r="D68" i="5"/>
  <c r="E68" i="5"/>
  <c r="F68" i="5"/>
  <c r="G68" i="5"/>
  <c r="H68" i="5"/>
  <c r="I68" i="5"/>
  <c r="A69" i="5"/>
  <c r="B69" i="5"/>
  <c r="C69" i="5"/>
  <c r="D69" i="5"/>
  <c r="E69" i="5"/>
  <c r="F69" i="5"/>
  <c r="G69" i="5"/>
  <c r="H69" i="5"/>
  <c r="I69" i="5"/>
  <c r="A70" i="5"/>
  <c r="B70" i="5"/>
  <c r="C70" i="5"/>
  <c r="D70" i="5"/>
  <c r="E70" i="5"/>
  <c r="F70" i="5"/>
  <c r="G70" i="5"/>
  <c r="H70" i="5"/>
  <c r="I70" i="5"/>
  <c r="A71" i="5"/>
  <c r="B71" i="5"/>
  <c r="C71" i="5"/>
  <c r="D71" i="5"/>
  <c r="E71" i="5"/>
  <c r="F71" i="5"/>
  <c r="G71" i="5"/>
  <c r="H71" i="5"/>
  <c r="I71" i="5"/>
  <c r="A72" i="5"/>
  <c r="B72" i="5"/>
  <c r="C72" i="5"/>
  <c r="D72" i="5"/>
  <c r="E72" i="5"/>
  <c r="F72" i="5"/>
  <c r="G72" i="5"/>
  <c r="H72" i="5"/>
  <c r="I72" i="5"/>
  <c r="A73" i="5"/>
  <c r="B73" i="5"/>
  <c r="C73" i="5"/>
  <c r="D73" i="5"/>
  <c r="E73" i="5"/>
  <c r="F73" i="5"/>
  <c r="G73" i="5"/>
  <c r="H73" i="5"/>
  <c r="I73" i="5"/>
  <c r="A74" i="5"/>
  <c r="B74" i="5"/>
  <c r="C74" i="5"/>
  <c r="D74" i="5"/>
  <c r="E74" i="5"/>
  <c r="F74" i="5"/>
  <c r="G74" i="5"/>
  <c r="H74" i="5"/>
  <c r="I74" i="5"/>
  <c r="A75" i="5"/>
  <c r="B75" i="5"/>
  <c r="C75" i="5"/>
  <c r="D75" i="5"/>
  <c r="E75" i="5"/>
  <c r="F75" i="5"/>
  <c r="G75" i="5"/>
  <c r="H75" i="5"/>
  <c r="I75" i="5"/>
  <c r="A76" i="5"/>
  <c r="B76" i="5"/>
  <c r="C76" i="5"/>
  <c r="D76" i="5"/>
  <c r="E76" i="5"/>
  <c r="F76" i="5"/>
  <c r="G76" i="5"/>
  <c r="H76" i="5"/>
  <c r="I76" i="5"/>
  <c r="A77" i="5"/>
  <c r="B77" i="5"/>
  <c r="C77" i="5"/>
  <c r="D77" i="5"/>
  <c r="E77" i="5"/>
  <c r="F77" i="5"/>
  <c r="G77" i="5"/>
  <c r="H77" i="5"/>
  <c r="I77" i="5"/>
  <c r="A78" i="5"/>
  <c r="B78" i="5"/>
  <c r="C78" i="5"/>
  <c r="D78" i="5"/>
  <c r="E78" i="5"/>
  <c r="F78" i="5"/>
  <c r="G78" i="5"/>
  <c r="H78" i="5"/>
  <c r="I78" i="5"/>
  <c r="A79" i="5"/>
  <c r="B79" i="5"/>
  <c r="C79" i="5"/>
  <c r="D79" i="5"/>
  <c r="E79" i="5"/>
  <c r="F79" i="5"/>
  <c r="G79" i="5"/>
  <c r="H79" i="5"/>
  <c r="I79" i="5"/>
  <c r="A80" i="5"/>
  <c r="B80" i="5"/>
  <c r="C80" i="5"/>
  <c r="D80" i="5"/>
  <c r="E80" i="5"/>
  <c r="F80" i="5"/>
  <c r="G80" i="5"/>
  <c r="H80" i="5"/>
  <c r="I80" i="5"/>
  <c r="A81" i="5"/>
  <c r="B81" i="5"/>
  <c r="C81" i="5"/>
  <c r="D81" i="5"/>
  <c r="E81" i="5"/>
  <c r="F81" i="5"/>
  <c r="G81" i="5"/>
  <c r="H81" i="5"/>
  <c r="I81" i="5"/>
  <c r="A82" i="5"/>
  <c r="B82" i="5"/>
  <c r="C82" i="5"/>
  <c r="D82" i="5"/>
  <c r="E82" i="5"/>
  <c r="F82" i="5"/>
  <c r="G82" i="5"/>
  <c r="H82" i="5"/>
  <c r="I82" i="5"/>
  <c r="A83" i="5"/>
  <c r="B83" i="5"/>
  <c r="C83" i="5"/>
  <c r="D83" i="5"/>
  <c r="E83" i="5"/>
  <c r="F83" i="5"/>
  <c r="G83" i="5"/>
  <c r="H83" i="5"/>
  <c r="I83" i="5"/>
  <c r="A84" i="5"/>
  <c r="B84" i="5"/>
  <c r="C84" i="5"/>
  <c r="D84" i="5"/>
  <c r="E84" i="5"/>
  <c r="F84" i="5"/>
  <c r="G84" i="5"/>
  <c r="H84" i="5"/>
  <c r="I84" i="5"/>
  <c r="A85" i="5"/>
  <c r="B85" i="5"/>
  <c r="C85" i="5"/>
  <c r="D85" i="5"/>
  <c r="E85" i="5"/>
  <c r="F85" i="5"/>
  <c r="G85" i="5"/>
  <c r="H85" i="5"/>
  <c r="I85" i="5"/>
  <c r="A86" i="5"/>
  <c r="B86" i="5"/>
  <c r="C86" i="5"/>
  <c r="D86" i="5"/>
  <c r="E86" i="5"/>
  <c r="F86" i="5"/>
  <c r="G86" i="5"/>
  <c r="H86" i="5"/>
  <c r="I86" i="5"/>
  <c r="A87" i="5"/>
  <c r="B87" i="5"/>
  <c r="C87" i="5"/>
  <c r="D87" i="5"/>
  <c r="E87" i="5"/>
  <c r="F87" i="5"/>
  <c r="G87" i="5"/>
  <c r="H87" i="5"/>
  <c r="I87" i="5"/>
  <c r="A88" i="5"/>
  <c r="B88" i="5"/>
  <c r="C88" i="5"/>
  <c r="D88" i="5"/>
  <c r="E88" i="5"/>
  <c r="F88" i="5"/>
  <c r="G88" i="5"/>
  <c r="H88" i="5"/>
  <c r="I88" i="5"/>
  <c r="A89" i="5"/>
  <c r="B89" i="5"/>
  <c r="C89" i="5"/>
  <c r="D89" i="5"/>
  <c r="E89" i="5"/>
  <c r="F89" i="5"/>
  <c r="G89" i="5"/>
  <c r="H89" i="5"/>
  <c r="I89" i="5"/>
  <c r="A90" i="5"/>
  <c r="B90" i="5"/>
  <c r="C90" i="5"/>
  <c r="D90" i="5"/>
  <c r="E90" i="5"/>
  <c r="F90" i="5"/>
  <c r="G90" i="5"/>
  <c r="H90" i="5"/>
  <c r="I90" i="5"/>
  <c r="A91" i="5"/>
  <c r="B91" i="5"/>
  <c r="C91" i="5"/>
  <c r="D91" i="5"/>
  <c r="E91" i="5"/>
  <c r="F91" i="5"/>
  <c r="G91" i="5"/>
  <c r="H91" i="5"/>
  <c r="I91" i="5"/>
  <c r="A92" i="5"/>
  <c r="B92" i="5"/>
  <c r="C92" i="5"/>
  <c r="D92" i="5"/>
  <c r="E92" i="5"/>
  <c r="F92" i="5"/>
  <c r="G92" i="5"/>
  <c r="H92" i="5"/>
  <c r="I92" i="5"/>
  <c r="A93" i="5"/>
  <c r="B93" i="5"/>
  <c r="C93" i="5"/>
  <c r="D93" i="5"/>
  <c r="E93" i="5"/>
  <c r="F93" i="5"/>
  <c r="G93" i="5"/>
  <c r="H93" i="5"/>
  <c r="I93" i="5"/>
  <c r="A94" i="5"/>
  <c r="B94" i="5"/>
  <c r="C94" i="5"/>
  <c r="D94" i="5"/>
  <c r="E94" i="5"/>
  <c r="F94" i="5"/>
  <c r="G94" i="5"/>
  <c r="H94" i="5"/>
  <c r="I94" i="5"/>
  <c r="A95" i="5"/>
  <c r="B95" i="5"/>
  <c r="C95" i="5"/>
  <c r="D95" i="5"/>
  <c r="E95" i="5"/>
  <c r="F95" i="5"/>
  <c r="G95" i="5"/>
  <c r="H95" i="5"/>
  <c r="I95" i="5"/>
  <c r="A96" i="5"/>
  <c r="B96" i="5"/>
  <c r="C96" i="5"/>
  <c r="D96" i="5"/>
  <c r="E96" i="5"/>
  <c r="F96" i="5"/>
  <c r="G96" i="5"/>
  <c r="H96" i="5"/>
  <c r="I96" i="5"/>
  <c r="A97" i="5"/>
  <c r="B97" i="5"/>
  <c r="C97" i="5"/>
  <c r="D97" i="5"/>
  <c r="E97" i="5"/>
  <c r="F97" i="5"/>
  <c r="G97" i="5"/>
  <c r="H97" i="5"/>
  <c r="I97" i="5"/>
  <c r="A98" i="5"/>
  <c r="B98" i="5"/>
  <c r="C98" i="5"/>
  <c r="D98" i="5"/>
  <c r="E98" i="5"/>
  <c r="F98" i="5"/>
  <c r="G98" i="5"/>
  <c r="H98" i="5"/>
  <c r="I98" i="5"/>
  <c r="A99" i="5"/>
  <c r="B99" i="5"/>
  <c r="C99" i="5"/>
  <c r="D99" i="5"/>
  <c r="E99" i="5"/>
  <c r="F99" i="5"/>
  <c r="G99" i="5"/>
  <c r="H99" i="5"/>
  <c r="I99" i="5"/>
  <c r="A100" i="5"/>
  <c r="B100" i="5"/>
  <c r="C100" i="5"/>
  <c r="D100" i="5"/>
  <c r="E100" i="5"/>
  <c r="F100" i="5"/>
  <c r="G100" i="5"/>
  <c r="H100" i="5"/>
  <c r="I100" i="5"/>
  <c r="A101" i="5"/>
  <c r="B101" i="5"/>
  <c r="C101" i="5"/>
  <c r="D101" i="5"/>
  <c r="E101" i="5"/>
  <c r="F101" i="5"/>
  <c r="G101" i="5"/>
  <c r="H101" i="5"/>
  <c r="I101" i="5"/>
  <c r="A102" i="5"/>
  <c r="B102" i="5"/>
  <c r="C102" i="5"/>
  <c r="D102" i="5"/>
  <c r="E102" i="5"/>
  <c r="F102" i="5"/>
  <c r="G102" i="5"/>
  <c r="H102" i="5"/>
  <c r="I102" i="5"/>
  <c r="A103" i="5"/>
  <c r="B103" i="5"/>
  <c r="C103" i="5"/>
  <c r="D103" i="5"/>
  <c r="E103" i="5"/>
  <c r="F103" i="5"/>
  <c r="G103" i="5"/>
  <c r="H103" i="5"/>
  <c r="I103" i="5"/>
  <c r="A104" i="5"/>
  <c r="B104" i="5"/>
  <c r="C104" i="5"/>
  <c r="D104" i="5"/>
  <c r="E104" i="5"/>
  <c r="F104" i="5"/>
  <c r="G104" i="5"/>
  <c r="H104" i="5"/>
  <c r="I104" i="5"/>
  <c r="A105" i="5"/>
  <c r="B105" i="5"/>
  <c r="C105" i="5"/>
  <c r="D105" i="5"/>
  <c r="E105" i="5"/>
  <c r="F105" i="5"/>
  <c r="G105" i="5"/>
  <c r="H105" i="5"/>
  <c r="I105" i="5"/>
  <c r="A106" i="5"/>
  <c r="B106" i="5"/>
  <c r="C106" i="5"/>
  <c r="D106" i="5"/>
  <c r="E106" i="5"/>
  <c r="F106" i="5"/>
  <c r="G106" i="5"/>
  <c r="H106" i="5"/>
  <c r="I106" i="5"/>
  <c r="A107" i="5"/>
  <c r="B107" i="5"/>
  <c r="C107" i="5"/>
  <c r="D107" i="5"/>
  <c r="E107" i="5"/>
  <c r="F107" i="5"/>
  <c r="G107" i="5"/>
  <c r="H107" i="5"/>
  <c r="I107" i="5"/>
  <c r="A108" i="5"/>
  <c r="B108" i="5"/>
  <c r="C108" i="5"/>
  <c r="D108" i="5"/>
  <c r="E108" i="5"/>
  <c r="F108" i="5"/>
  <c r="G108" i="5"/>
  <c r="H108" i="5"/>
  <c r="I108" i="5"/>
  <c r="A109" i="5"/>
  <c r="B109" i="5"/>
  <c r="C109" i="5"/>
  <c r="D109" i="5"/>
  <c r="E109" i="5"/>
  <c r="F109" i="5"/>
  <c r="G109" i="5"/>
  <c r="H109" i="5"/>
  <c r="I109" i="5"/>
  <c r="A110" i="5"/>
  <c r="B110" i="5"/>
  <c r="C110" i="5"/>
  <c r="D110" i="5"/>
  <c r="E110" i="5"/>
  <c r="F110" i="5"/>
  <c r="G110" i="5"/>
  <c r="H110" i="5"/>
  <c r="I110" i="5"/>
  <c r="A111" i="5"/>
  <c r="B111" i="5"/>
  <c r="C111" i="5"/>
  <c r="D111" i="5"/>
  <c r="E111" i="5"/>
  <c r="F111" i="5"/>
  <c r="G111" i="5"/>
  <c r="H111" i="5"/>
  <c r="I111" i="5"/>
  <c r="A112" i="5"/>
  <c r="B112" i="5"/>
  <c r="C112" i="5"/>
  <c r="D112" i="5"/>
  <c r="E112" i="5"/>
  <c r="F112" i="5"/>
  <c r="G112" i="5"/>
  <c r="H112" i="5"/>
  <c r="I112" i="5"/>
  <c r="A113" i="5"/>
  <c r="B113" i="5"/>
  <c r="C113" i="5"/>
  <c r="D113" i="5"/>
  <c r="E113" i="5"/>
  <c r="F113" i="5"/>
  <c r="G113" i="5"/>
  <c r="H113" i="5"/>
  <c r="I113" i="5"/>
  <c r="A114" i="5"/>
  <c r="B114" i="5"/>
  <c r="C114" i="5"/>
  <c r="D114" i="5"/>
  <c r="E114" i="5"/>
  <c r="F114" i="5"/>
  <c r="G114" i="5"/>
  <c r="H114" i="5"/>
  <c r="I114" i="5"/>
  <c r="A115" i="5"/>
  <c r="B115" i="5"/>
  <c r="C115" i="5"/>
  <c r="D115" i="5"/>
  <c r="E115" i="5"/>
  <c r="F115" i="5"/>
  <c r="G115" i="5"/>
  <c r="H115" i="5"/>
  <c r="I115" i="5"/>
  <c r="A116" i="5"/>
  <c r="B116" i="5"/>
  <c r="C116" i="5"/>
  <c r="D116" i="5"/>
  <c r="E116" i="5"/>
  <c r="F116" i="5"/>
  <c r="G116" i="5"/>
  <c r="H116" i="5"/>
  <c r="I116" i="5"/>
  <c r="A117" i="5"/>
  <c r="B117" i="5"/>
  <c r="C117" i="5"/>
  <c r="D117" i="5"/>
  <c r="E117" i="5"/>
  <c r="F117" i="5"/>
  <c r="G117" i="5"/>
  <c r="H117" i="5"/>
  <c r="I117" i="5"/>
  <c r="A118" i="5"/>
  <c r="B118" i="5"/>
  <c r="C118" i="5"/>
  <c r="D118" i="5"/>
  <c r="E118" i="5"/>
  <c r="F118" i="5"/>
  <c r="G118" i="5"/>
  <c r="H118" i="5"/>
  <c r="I118" i="5"/>
  <c r="A119" i="5"/>
  <c r="B119" i="5"/>
  <c r="C119" i="5"/>
  <c r="D119" i="5"/>
  <c r="E119" i="5"/>
  <c r="F119" i="5"/>
  <c r="G119" i="5"/>
  <c r="H119" i="5"/>
  <c r="I119" i="5"/>
  <c r="A120" i="5"/>
  <c r="B120" i="5"/>
  <c r="C120" i="5"/>
  <c r="D120" i="5"/>
  <c r="E120" i="5"/>
  <c r="F120" i="5"/>
  <c r="G120" i="5"/>
  <c r="H120" i="5"/>
  <c r="I120" i="5"/>
  <c r="A121" i="5"/>
  <c r="B121" i="5"/>
  <c r="C121" i="5"/>
  <c r="D121" i="5"/>
  <c r="E121" i="5"/>
  <c r="F121" i="5"/>
  <c r="G121" i="5"/>
  <c r="H121" i="5"/>
  <c r="I121" i="5"/>
  <c r="A122" i="5"/>
  <c r="B122" i="5"/>
  <c r="C122" i="5"/>
  <c r="D122" i="5"/>
  <c r="E122" i="5"/>
  <c r="F122" i="5"/>
  <c r="G122" i="5"/>
  <c r="H122" i="5"/>
  <c r="I122" i="5"/>
  <c r="A123" i="5"/>
  <c r="B123" i="5"/>
  <c r="C123" i="5"/>
  <c r="D123" i="5"/>
  <c r="E123" i="5"/>
  <c r="F123" i="5"/>
  <c r="G123" i="5"/>
  <c r="H123" i="5"/>
  <c r="I123" i="5"/>
  <c r="A124" i="5"/>
  <c r="B124" i="5"/>
  <c r="C124" i="5"/>
  <c r="D124" i="5"/>
  <c r="E124" i="5"/>
  <c r="F124" i="5"/>
  <c r="G124" i="5"/>
  <c r="H124" i="5"/>
  <c r="I124" i="5"/>
  <c r="A125" i="5"/>
  <c r="B125" i="5"/>
  <c r="C125" i="5"/>
  <c r="D125" i="5"/>
  <c r="E125" i="5"/>
  <c r="F125" i="5"/>
  <c r="G125" i="5"/>
  <c r="H125" i="5"/>
  <c r="I125" i="5"/>
  <c r="A126" i="5"/>
  <c r="B126" i="5"/>
  <c r="C126" i="5"/>
  <c r="D126" i="5"/>
  <c r="E126" i="5"/>
  <c r="F126" i="5"/>
  <c r="G126" i="5"/>
  <c r="H126" i="5"/>
  <c r="I126" i="5"/>
  <c r="A127" i="5"/>
  <c r="B127" i="5"/>
  <c r="C127" i="5"/>
  <c r="D127" i="5"/>
  <c r="E127" i="5"/>
  <c r="F127" i="5"/>
  <c r="G127" i="5"/>
  <c r="H127" i="5"/>
  <c r="I127" i="5"/>
  <c r="A128" i="5"/>
  <c r="B128" i="5"/>
  <c r="C128" i="5"/>
  <c r="D128" i="5"/>
  <c r="E128" i="5"/>
  <c r="F128" i="5"/>
  <c r="G128" i="5"/>
  <c r="H128" i="5"/>
  <c r="I128" i="5"/>
  <c r="A129" i="5"/>
  <c r="B129" i="5"/>
  <c r="C129" i="5"/>
  <c r="D129" i="5"/>
  <c r="E129" i="5"/>
  <c r="F129" i="5"/>
  <c r="G129" i="5"/>
  <c r="H129" i="5"/>
  <c r="I129" i="5"/>
  <c r="A130" i="5"/>
  <c r="B130" i="5"/>
  <c r="C130" i="5"/>
  <c r="D130" i="5"/>
  <c r="E130" i="5"/>
  <c r="F130" i="5"/>
  <c r="G130" i="5"/>
  <c r="H130" i="5"/>
  <c r="I130" i="5"/>
  <c r="A131" i="5"/>
  <c r="B131" i="5"/>
  <c r="C131" i="5"/>
  <c r="D131" i="5"/>
  <c r="E131" i="5"/>
  <c r="F131" i="5"/>
  <c r="G131" i="5"/>
  <c r="H131" i="5"/>
  <c r="I131" i="5"/>
  <c r="A132" i="5"/>
  <c r="B132" i="5"/>
  <c r="C132" i="5"/>
  <c r="D132" i="5"/>
  <c r="E132" i="5"/>
  <c r="F132" i="5"/>
  <c r="G132" i="5"/>
  <c r="H132" i="5"/>
  <c r="I132" i="5"/>
  <c r="A133" i="5"/>
  <c r="B133" i="5"/>
  <c r="C133" i="5"/>
  <c r="D133" i="5"/>
  <c r="E133" i="5"/>
  <c r="F133" i="5"/>
  <c r="G133" i="5"/>
  <c r="H133" i="5"/>
  <c r="I133" i="5"/>
  <c r="A134" i="5"/>
  <c r="B134" i="5"/>
  <c r="C134" i="5"/>
  <c r="D134" i="5"/>
  <c r="E134" i="5"/>
  <c r="F134" i="5"/>
  <c r="G134" i="5"/>
  <c r="H134" i="5"/>
  <c r="I134" i="5"/>
  <c r="A135" i="5"/>
  <c r="B135" i="5"/>
  <c r="C135" i="5"/>
  <c r="D135" i="5"/>
  <c r="E135" i="5"/>
  <c r="F135" i="5"/>
  <c r="G135" i="5"/>
  <c r="H135" i="5"/>
  <c r="I135" i="5"/>
  <c r="A136" i="5"/>
  <c r="B136" i="5"/>
  <c r="C136" i="5"/>
  <c r="D136" i="5"/>
  <c r="E136" i="5"/>
  <c r="F136" i="5"/>
  <c r="G136" i="5"/>
  <c r="H136" i="5"/>
  <c r="I136" i="5"/>
  <c r="A137" i="5"/>
  <c r="B137" i="5"/>
  <c r="C137" i="5"/>
  <c r="D137" i="5"/>
  <c r="E137" i="5"/>
  <c r="F137" i="5"/>
  <c r="G137" i="5"/>
  <c r="H137" i="5"/>
  <c r="I137" i="5"/>
  <c r="A138" i="5"/>
  <c r="B138" i="5"/>
  <c r="C138" i="5"/>
  <c r="D138" i="5"/>
  <c r="E138" i="5"/>
  <c r="F138" i="5"/>
  <c r="G138" i="5"/>
  <c r="H138" i="5"/>
  <c r="I138" i="5"/>
  <c r="A139" i="5"/>
  <c r="B139" i="5"/>
  <c r="C139" i="5"/>
  <c r="D139" i="5"/>
  <c r="E139" i="5"/>
  <c r="F139" i="5"/>
  <c r="G139" i="5"/>
  <c r="H139" i="5"/>
  <c r="I139" i="5"/>
  <c r="A140" i="5"/>
  <c r="B140" i="5"/>
  <c r="C140" i="5"/>
  <c r="D140" i="5"/>
  <c r="E140" i="5"/>
  <c r="F140" i="5"/>
  <c r="G140" i="5"/>
  <c r="H140" i="5"/>
  <c r="I140" i="5"/>
  <c r="A141" i="5"/>
  <c r="B141" i="5"/>
  <c r="C141" i="5"/>
  <c r="D141" i="5"/>
  <c r="E141" i="5"/>
  <c r="F141" i="5"/>
  <c r="G141" i="5"/>
  <c r="H141" i="5"/>
  <c r="I141" i="5"/>
  <c r="A142" i="5"/>
  <c r="B142" i="5"/>
  <c r="C142" i="5"/>
  <c r="D142" i="5"/>
  <c r="E142" i="5"/>
  <c r="F142" i="5"/>
  <c r="G142" i="5"/>
  <c r="H142" i="5"/>
  <c r="I142" i="5"/>
  <c r="A143" i="5"/>
  <c r="B143" i="5"/>
  <c r="C143" i="5"/>
  <c r="D143" i="5"/>
  <c r="E143" i="5"/>
  <c r="F143" i="5"/>
  <c r="G143" i="5"/>
  <c r="H143" i="5"/>
  <c r="I143" i="5"/>
  <c r="A144" i="5"/>
  <c r="B144" i="5"/>
  <c r="C144" i="5"/>
  <c r="D144" i="5"/>
  <c r="E144" i="5"/>
  <c r="F144" i="5"/>
  <c r="G144" i="5"/>
  <c r="H144" i="5"/>
  <c r="I144" i="5"/>
  <c r="A145" i="5"/>
  <c r="B145" i="5"/>
  <c r="C145" i="5"/>
  <c r="D145" i="5"/>
  <c r="E145" i="5"/>
  <c r="F145" i="5"/>
  <c r="G145" i="5"/>
  <c r="H145" i="5"/>
  <c r="I145" i="5"/>
  <c r="A146" i="5"/>
  <c r="B146" i="5"/>
  <c r="C146" i="5"/>
  <c r="D146" i="5"/>
  <c r="E146" i="5"/>
  <c r="F146" i="5"/>
  <c r="G146" i="5"/>
  <c r="H146" i="5"/>
  <c r="I146" i="5"/>
  <c r="A147" i="5"/>
  <c r="B147" i="5"/>
  <c r="C147" i="5"/>
  <c r="D147" i="5"/>
  <c r="E147" i="5"/>
  <c r="F147" i="5"/>
  <c r="G147" i="5"/>
  <c r="H147" i="5"/>
  <c r="I147" i="5"/>
  <c r="A148" i="5"/>
  <c r="B148" i="5"/>
  <c r="C148" i="5"/>
  <c r="D148" i="5"/>
  <c r="E148" i="5"/>
  <c r="F148" i="5"/>
  <c r="G148" i="5"/>
  <c r="H148" i="5"/>
  <c r="I148" i="5"/>
  <c r="A149" i="5"/>
  <c r="B149" i="5"/>
  <c r="C149" i="5"/>
  <c r="D149" i="5"/>
  <c r="E149" i="5"/>
  <c r="F149" i="5"/>
  <c r="G149" i="5"/>
  <c r="H149" i="5"/>
  <c r="I149" i="5"/>
  <c r="A150" i="5"/>
  <c r="B150" i="5"/>
  <c r="C150" i="5"/>
  <c r="D150" i="5"/>
  <c r="E150" i="5"/>
  <c r="F150" i="5"/>
  <c r="G150" i="5"/>
  <c r="H150" i="5"/>
  <c r="I150" i="5"/>
  <c r="A151" i="5"/>
  <c r="B151" i="5"/>
  <c r="C151" i="5"/>
  <c r="D151" i="5"/>
  <c r="E151" i="5"/>
  <c r="F151" i="5"/>
  <c r="G151" i="5"/>
  <c r="H151" i="5"/>
  <c r="I151" i="5"/>
  <c r="A152" i="5"/>
  <c r="B152" i="5"/>
  <c r="C152" i="5"/>
  <c r="D152" i="5"/>
  <c r="E152" i="5"/>
  <c r="F152" i="5"/>
  <c r="G152" i="5"/>
  <c r="H152" i="5"/>
  <c r="I152" i="5"/>
  <c r="A153" i="5"/>
  <c r="B153" i="5"/>
  <c r="C153" i="5"/>
  <c r="D153" i="5"/>
  <c r="E153" i="5"/>
  <c r="F153" i="5"/>
  <c r="G153" i="5"/>
  <c r="H153" i="5"/>
  <c r="I153" i="5"/>
  <c r="A154" i="5"/>
  <c r="B154" i="5"/>
  <c r="C154" i="5"/>
  <c r="D154" i="5"/>
  <c r="E154" i="5"/>
  <c r="F154" i="5"/>
  <c r="G154" i="5"/>
  <c r="H154" i="5"/>
  <c r="I154" i="5"/>
  <c r="A155" i="5"/>
  <c r="B155" i="5"/>
  <c r="C155" i="5"/>
  <c r="D155" i="5"/>
  <c r="E155" i="5"/>
  <c r="F155" i="5"/>
  <c r="G155" i="5"/>
  <c r="H155" i="5"/>
  <c r="I155" i="5"/>
  <c r="A156" i="5"/>
  <c r="B156" i="5"/>
  <c r="C156" i="5"/>
  <c r="D156" i="5"/>
  <c r="E156" i="5"/>
  <c r="F156" i="5"/>
  <c r="G156" i="5"/>
  <c r="H156" i="5"/>
  <c r="I156" i="5"/>
  <c r="A157" i="5"/>
  <c r="B157" i="5"/>
  <c r="C157" i="5"/>
  <c r="D157" i="5"/>
  <c r="E157" i="5"/>
  <c r="F157" i="5"/>
  <c r="G157" i="5"/>
  <c r="H157" i="5"/>
  <c r="I157" i="5"/>
  <c r="A158" i="5"/>
  <c r="B158" i="5"/>
  <c r="C158" i="5"/>
  <c r="D158" i="5"/>
  <c r="E158" i="5"/>
  <c r="F158" i="5"/>
  <c r="G158" i="5"/>
  <c r="H158" i="5"/>
  <c r="I158" i="5"/>
  <c r="A159" i="5"/>
  <c r="B159" i="5"/>
  <c r="C159" i="5"/>
  <c r="D159" i="5"/>
  <c r="E159" i="5"/>
  <c r="F159" i="5"/>
  <c r="G159" i="5"/>
  <c r="H159" i="5"/>
  <c r="I159" i="5"/>
  <c r="A160" i="5"/>
  <c r="B160" i="5"/>
  <c r="C160" i="5"/>
  <c r="D160" i="5"/>
  <c r="E160" i="5"/>
  <c r="F160" i="5"/>
  <c r="G160" i="5"/>
  <c r="H160" i="5"/>
  <c r="I160" i="5"/>
  <c r="A161" i="5"/>
  <c r="B161" i="5"/>
  <c r="C161" i="5"/>
  <c r="D161" i="5"/>
  <c r="E161" i="5"/>
  <c r="F161" i="5"/>
  <c r="G161" i="5"/>
  <c r="H161" i="5"/>
  <c r="I161" i="5"/>
  <c r="A162" i="5"/>
  <c r="B162" i="5"/>
  <c r="C162" i="5"/>
  <c r="D162" i="5"/>
  <c r="E162" i="5"/>
  <c r="F162" i="5"/>
  <c r="G162" i="5"/>
  <c r="H162" i="5"/>
  <c r="I162" i="5"/>
  <c r="A163" i="5"/>
  <c r="B163" i="5"/>
  <c r="C163" i="5"/>
  <c r="D163" i="5"/>
  <c r="E163" i="5"/>
  <c r="F163" i="5"/>
  <c r="G163" i="5"/>
  <c r="H163" i="5"/>
  <c r="I163" i="5"/>
  <c r="A164" i="5"/>
  <c r="B164" i="5"/>
  <c r="C164" i="5"/>
  <c r="D164" i="5"/>
  <c r="E164" i="5"/>
  <c r="F164" i="5"/>
  <c r="G164" i="5"/>
  <c r="H164" i="5"/>
  <c r="I164" i="5"/>
  <c r="A165" i="5"/>
  <c r="B165" i="5"/>
  <c r="C165" i="5"/>
  <c r="D165" i="5"/>
  <c r="E165" i="5"/>
  <c r="F165" i="5"/>
  <c r="G165" i="5"/>
  <c r="H165" i="5"/>
  <c r="I165" i="5"/>
  <c r="A166" i="5"/>
  <c r="B166" i="5"/>
  <c r="C166" i="5"/>
  <c r="D166" i="5"/>
  <c r="E166" i="5"/>
  <c r="F166" i="5"/>
  <c r="G166" i="5"/>
  <c r="H166" i="5"/>
  <c r="I166" i="5"/>
  <c r="A167" i="5"/>
  <c r="B167" i="5"/>
  <c r="C167" i="5"/>
  <c r="D167" i="5"/>
  <c r="E167" i="5"/>
  <c r="F167" i="5"/>
  <c r="G167" i="5"/>
  <c r="H167" i="5"/>
  <c r="I167" i="5"/>
  <c r="A168" i="5"/>
  <c r="B168" i="5"/>
  <c r="C168" i="5"/>
  <c r="D168" i="5"/>
  <c r="E168" i="5"/>
  <c r="F168" i="5"/>
  <c r="G168" i="5"/>
  <c r="H168" i="5"/>
  <c r="I168" i="5"/>
  <c r="A169" i="5"/>
  <c r="B169" i="5"/>
  <c r="C169" i="5"/>
  <c r="D169" i="5"/>
  <c r="E169" i="5"/>
  <c r="F169" i="5"/>
  <c r="G169" i="5"/>
  <c r="H169" i="5"/>
  <c r="I169" i="5"/>
  <c r="A118" i="1"/>
  <c r="B118" i="1"/>
  <c r="B118" i="2" s="1"/>
  <c r="C118" i="1"/>
  <c r="D118" i="1"/>
  <c r="E118" i="1"/>
  <c r="F118" i="1"/>
  <c r="G118" i="1"/>
  <c r="H118" i="1"/>
  <c r="I118" i="1"/>
  <c r="Q118" i="1"/>
  <c r="A119" i="1"/>
  <c r="A119" i="2" s="1"/>
  <c r="B119" i="1"/>
  <c r="C119" i="1"/>
  <c r="D119" i="1"/>
  <c r="E119" i="1"/>
  <c r="F119" i="1"/>
  <c r="G119" i="1"/>
  <c r="H119" i="1"/>
  <c r="I119" i="1"/>
  <c r="Q119" i="1"/>
  <c r="A120" i="1"/>
  <c r="B120" i="1"/>
  <c r="C120" i="1"/>
  <c r="D120" i="1"/>
  <c r="D120" i="2" s="1"/>
  <c r="E120" i="1"/>
  <c r="F120" i="1"/>
  <c r="G120" i="1"/>
  <c r="H120" i="1"/>
  <c r="I120" i="1"/>
  <c r="Q120" i="1"/>
  <c r="A121" i="1"/>
  <c r="B121" i="1"/>
  <c r="B121" i="2" s="1"/>
  <c r="C121" i="1"/>
  <c r="D121" i="1"/>
  <c r="E121" i="1"/>
  <c r="F121" i="1"/>
  <c r="G121" i="1"/>
  <c r="H121" i="1"/>
  <c r="I121" i="1"/>
  <c r="Q121" i="1"/>
  <c r="A122" i="1"/>
  <c r="B122" i="1"/>
  <c r="C122" i="1"/>
  <c r="D122" i="1"/>
  <c r="E122" i="1"/>
  <c r="F122" i="1"/>
  <c r="G122" i="1"/>
  <c r="H122" i="1"/>
  <c r="I122" i="1"/>
  <c r="Q122" i="1"/>
  <c r="A123" i="1"/>
  <c r="B123" i="1"/>
  <c r="C123" i="1"/>
  <c r="D123" i="1"/>
  <c r="E123" i="1"/>
  <c r="F123" i="1"/>
  <c r="G123" i="1"/>
  <c r="H123" i="1"/>
  <c r="I123" i="1"/>
  <c r="Q123" i="1"/>
  <c r="A124" i="1"/>
  <c r="B124" i="1"/>
  <c r="B124" i="2" s="1"/>
  <c r="C124" i="1"/>
  <c r="D124" i="1"/>
  <c r="D124" i="2" s="1"/>
  <c r="F124" i="1"/>
  <c r="H124" i="1"/>
  <c r="I124" i="1"/>
  <c r="Q124" i="1"/>
  <c r="A125" i="1"/>
  <c r="B125" i="1"/>
  <c r="C125" i="1"/>
  <c r="D125" i="1"/>
  <c r="F125" i="1"/>
  <c r="H125" i="1"/>
  <c r="I125" i="1"/>
  <c r="Q125" i="1"/>
  <c r="A126" i="1"/>
  <c r="B126" i="1"/>
  <c r="B126" i="2" s="1"/>
  <c r="C126" i="1"/>
  <c r="D126" i="1"/>
  <c r="D126" i="2" s="1"/>
  <c r="F126" i="1"/>
  <c r="H126" i="1"/>
  <c r="I126" i="1"/>
  <c r="Q126" i="1"/>
  <c r="A127" i="1"/>
  <c r="B127" i="1"/>
  <c r="C127" i="1"/>
  <c r="D127" i="1"/>
  <c r="D127" i="2" s="1"/>
  <c r="F127" i="1"/>
  <c r="H127" i="1"/>
  <c r="I127" i="1"/>
  <c r="Q127" i="1"/>
  <c r="A128" i="1"/>
  <c r="B128" i="1"/>
  <c r="C128" i="1"/>
  <c r="D128" i="1"/>
  <c r="D128" i="2" s="1"/>
  <c r="F128" i="1"/>
  <c r="H128" i="1"/>
  <c r="I128" i="1"/>
  <c r="Q128" i="1"/>
  <c r="A129" i="1"/>
  <c r="B129" i="1"/>
  <c r="C129" i="1"/>
  <c r="D129" i="1"/>
  <c r="D129" i="2" s="1"/>
  <c r="F129" i="1"/>
  <c r="H129" i="1"/>
  <c r="I129" i="1"/>
  <c r="Q129" i="1"/>
  <c r="A130" i="1"/>
  <c r="B130" i="1"/>
  <c r="C130" i="1"/>
  <c r="D130" i="1"/>
  <c r="D130" i="2" s="1"/>
  <c r="F130" i="1"/>
  <c r="H130" i="1"/>
  <c r="I130" i="1"/>
  <c r="Q130" i="1"/>
  <c r="A131" i="1"/>
  <c r="B131" i="1"/>
  <c r="C131" i="1"/>
  <c r="D131" i="1"/>
  <c r="D131" i="2" s="1"/>
  <c r="F131" i="1"/>
  <c r="H131" i="1"/>
  <c r="I131" i="1"/>
  <c r="Q131" i="1"/>
  <c r="A132" i="1"/>
  <c r="B132" i="1"/>
  <c r="B132" i="2" s="1"/>
  <c r="C132" i="1"/>
  <c r="D132" i="1"/>
  <c r="D132" i="2" s="1"/>
  <c r="F132" i="1"/>
  <c r="H132" i="1"/>
  <c r="I132" i="1"/>
  <c r="Q132" i="1"/>
  <c r="A133" i="1"/>
  <c r="B133" i="1"/>
  <c r="C133" i="1"/>
  <c r="D133" i="1"/>
  <c r="F133" i="1"/>
  <c r="H133" i="1"/>
  <c r="I133" i="1"/>
  <c r="Q133" i="1"/>
  <c r="A134" i="1"/>
  <c r="B134" i="1"/>
  <c r="B134" i="2" s="1"/>
  <c r="C134" i="1"/>
  <c r="D134" i="1"/>
  <c r="D134" i="2" s="1"/>
  <c r="F134" i="1"/>
  <c r="H134" i="1"/>
  <c r="I134" i="1"/>
  <c r="Q134" i="1"/>
  <c r="A135" i="1"/>
  <c r="B135" i="1"/>
  <c r="C135" i="1"/>
  <c r="D135" i="1"/>
  <c r="D135" i="2" s="1"/>
  <c r="F135" i="1"/>
  <c r="H135" i="1"/>
  <c r="I135" i="1"/>
  <c r="A4" i="2"/>
  <c r="B4" i="2"/>
  <c r="C4" i="2"/>
  <c r="D4" i="2"/>
  <c r="E4" i="2"/>
  <c r="F4" i="2"/>
  <c r="G4" i="2"/>
  <c r="H4" i="2"/>
  <c r="I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I6" i="2"/>
  <c r="A7" i="2"/>
  <c r="B7" i="2"/>
  <c r="C7" i="2"/>
  <c r="D7" i="2"/>
  <c r="E7" i="2"/>
  <c r="F7" i="2"/>
  <c r="G7" i="2"/>
  <c r="H7" i="2"/>
  <c r="I7" i="2"/>
  <c r="A8" i="2"/>
  <c r="B8" i="2"/>
  <c r="C8" i="2"/>
  <c r="D8" i="2"/>
  <c r="E8" i="2"/>
  <c r="F8" i="2"/>
  <c r="G8" i="2"/>
  <c r="H8" i="2"/>
  <c r="I8" i="2"/>
  <c r="A9" i="2"/>
  <c r="B9" i="2"/>
  <c r="C9" i="2"/>
  <c r="D9" i="2"/>
  <c r="E9" i="2"/>
  <c r="F9" i="2"/>
  <c r="G9" i="2"/>
  <c r="H9" i="2"/>
  <c r="I9" i="2"/>
  <c r="A10" i="2"/>
  <c r="B10" i="2"/>
  <c r="C10" i="2"/>
  <c r="D10" i="2"/>
  <c r="E10" i="2"/>
  <c r="F10" i="2"/>
  <c r="G10" i="2"/>
  <c r="H10" i="2"/>
  <c r="I10" i="2"/>
  <c r="A11" i="2"/>
  <c r="B11" i="2"/>
  <c r="C11" i="2"/>
  <c r="D11" i="2"/>
  <c r="E11" i="2"/>
  <c r="F11" i="2"/>
  <c r="G11" i="2"/>
  <c r="H11" i="2"/>
  <c r="I11" i="2"/>
  <c r="A12" i="2"/>
  <c r="B12" i="2"/>
  <c r="C12" i="2"/>
  <c r="D12" i="2"/>
  <c r="E12" i="2"/>
  <c r="F12" i="2"/>
  <c r="G12" i="2"/>
  <c r="H12" i="2"/>
  <c r="I12" i="2"/>
  <c r="A13" i="2"/>
  <c r="B13" i="2"/>
  <c r="C13" i="2"/>
  <c r="D13" i="2"/>
  <c r="E13" i="2"/>
  <c r="F13" i="2"/>
  <c r="G13" i="2"/>
  <c r="H13" i="2"/>
  <c r="I13" i="2"/>
  <c r="A14" i="2"/>
  <c r="B14" i="2"/>
  <c r="C14" i="2"/>
  <c r="D14" i="2"/>
  <c r="E14" i="2"/>
  <c r="F14" i="2"/>
  <c r="G14" i="2"/>
  <c r="H14" i="2"/>
  <c r="I14" i="2"/>
  <c r="A15" i="2"/>
  <c r="B15" i="2"/>
  <c r="C15" i="2"/>
  <c r="D15" i="2"/>
  <c r="F15" i="2"/>
  <c r="G15" i="2"/>
  <c r="H15" i="2"/>
  <c r="I15" i="2"/>
  <c r="A16" i="2"/>
  <c r="B16" i="2"/>
  <c r="C16" i="2"/>
  <c r="D16" i="2"/>
  <c r="E16" i="2"/>
  <c r="F16" i="2"/>
  <c r="G16" i="2"/>
  <c r="H16" i="2"/>
  <c r="I16" i="2"/>
  <c r="A17" i="2"/>
  <c r="B17" i="2"/>
  <c r="C17" i="2"/>
  <c r="D17" i="2"/>
  <c r="E17" i="2"/>
  <c r="F17" i="2"/>
  <c r="G17" i="2"/>
  <c r="H17" i="2"/>
  <c r="I17" i="2"/>
  <c r="A18" i="2"/>
  <c r="B18" i="2"/>
  <c r="C18" i="2"/>
  <c r="D18" i="2"/>
  <c r="E18" i="2"/>
  <c r="F18" i="2"/>
  <c r="G18" i="2"/>
  <c r="H18" i="2"/>
  <c r="I18" i="2"/>
  <c r="A19" i="2"/>
  <c r="B19" i="2"/>
  <c r="C19" i="2"/>
  <c r="D19" i="2"/>
  <c r="E19" i="2"/>
  <c r="F19" i="2"/>
  <c r="G19" i="2"/>
  <c r="H19" i="2"/>
  <c r="I19" i="2"/>
  <c r="A20" i="2"/>
  <c r="B20" i="2"/>
  <c r="C20" i="2"/>
  <c r="D20" i="2"/>
  <c r="E20" i="2"/>
  <c r="F20" i="2"/>
  <c r="G20" i="2"/>
  <c r="H20" i="2"/>
  <c r="I20" i="2"/>
  <c r="A21" i="2"/>
  <c r="B21" i="2"/>
  <c r="C21" i="2"/>
  <c r="D21" i="2"/>
  <c r="E21" i="2"/>
  <c r="F21" i="2"/>
  <c r="G21" i="2"/>
  <c r="H21" i="2"/>
  <c r="I21" i="2"/>
  <c r="A22" i="2"/>
  <c r="B22" i="2"/>
  <c r="C22" i="2"/>
  <c r="D22" i="2"/>
  <c r="E22" i="2"/>
  <c r="F22" i="2"/>
  <c r="G22" i="2"/>
  <c r="H22" i="2"/>
  <c r="I22" i="2"/>
  <c r="A23" i="2"/>
  <c r="B23" i="2"/>
  <c r="C23" i="2"/>
  <c r="D23" i="2"/>
  <c r="E23" i="2"/>
  <c r="F23" i="2"/>
  <c r="G23" i="2"/>
  <c r="H23" i="2"/>
  <c r="I23" i="2"/>
  <c r="A24" i="2"/>
  <c r="B24" i="2"/>
  <c r="C24" i="2"/>
  <c r="D24" i="2"/>
  <c r="E24" i="2"/>
  <c r="F24" i="2"/>
  <c r="G24" i="2"/>
  <c r="H24" i="2"/>
  <c r="I24" i="2"/>
  <c r="A25" i="2"/>
  <c r="B25" i="2"/>
  <c r="C25" i="2"/>
  <c r="D25" i="2"/>
  <c r="E25" i="2"/>
  <c r="F25" i="2"/>
  <c r="G25" i="2"/>
  <c r="H25" i="2"/>
  <c r="I25" i="2"/>
  <c r="A26" i="2"/>
  <c r="B26" i="2"/>
  <c r="C26" i="2"/>
  <c r="D26" i="2"/>
  <c r="E26" i="2"/>
  <c r="F26" i="2"/>
  <c r="G26" i="2"/>
  <c r="H26" i="2"/>
  <c r="I26" i="2"/>
  <c r="A27" i="2"/>
  <c r="B27" i="2"/>
  <c r="C27" i="2"/>
  <c r="D27" i="2"/>
  <c r="E27" i="2"/>
  <c r="F27" i="2"/>
  <c r="G27" i="2"/>
  <c r="H27" i="2"/>
  <c r="I27" i="2"/>
  <c r="A28" i="2"/>
  <c r="B28" i="2"/>
  <c r="C28" i="2"/>
  <c r="D28" i="2"/>
  <c r="E28" i="2"/>
  <c r="F28" i="2"/>
  <c r="G28" i="2"/>
  <c r="H28" i="2"/>
  <c r="I28" i="2"/>
  <c r="A29" i="2"/>
  <c r="B29" i="2"/>
  <c r="C29" i="2"/>
  <c r="D29" i="2"/>
  <c r="E29" i="2"/>
  <c r="F29" i="2"/>
  <c r="G29" i="2"/>
  <c r="H29" i="2"/>
  <c r="I29" i="2"/>
  <c r="A30" i="2"/>
  <c r="B30" i="2"/>
  <c r="C30" i="2"/>
  <c r="D30" i="2"/>
  <c r="E30" i="2"/>
  <c r="F30" i="2"/>
  <c r="G30" i="2"/>
  <c r="H30" i="2"/>
  <c r="I30" i="2"/>
  <c r="A31" i="2"/>
  <c r="B31" i="2"/>
  <c r="C31" i="2"/>
  <c r="D31" i="2"/>
  <c r="E31" i="2"/>
  <c r="F31" i="2"/>
  <c r="G31" i="2"/>
  <c r="H31" i="2"/>
  <c r="I31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I65" i="2"/>
  <c r="A66" i="2"/>
  <c r="B66" i="2"/>
  <c r="C66" i="2"/>
  <c r="D66" i="2"/>
  <c r="E66" i="2"/>
  <c r="F66" i="2"/>
  <c r="G66" i="2"/>
  <c r="H66" i="2"/>
  <c r="I66" i="2"/>
  <c r="A67" i="2"/>
  <c r="B67" i="2"/>
  <c r="C67" i="2"/>
  <c r="D67" i="2"/>
  <c r="E67" i="2"/>
  <c r="F67" i="2"/>
  <c r="G67" i="2"/>
  <c r="H67" i="2"/>
  <c r="I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I70" i="2"/>
  <c r="A71" i="2"/>
  <c r="B71" i="2"/>
  <c r="C71" i="2"/>
  <c r="D71" i="2"/>
  <c r="E71" i="2"/>
  <c r="F71" i="2"/>
  <c r="G71" i="2"/>
  <c r="H71" i="2"/>
  <c r="I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I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I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I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I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I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I85" i="2"/>
  <c r="A86" i="2"/>
  <c r="B86" i="2"/>
  <c r="C86" i="2"/>
  <c r="D86" i="2"/>
  <c r="E86" i="2"/>
  <c r="F86" i="2"/>
  <c r="G86" i="2"/>
  <c r="H86" i="2"/>
  <c r="I86" i="2"/>
  <c r="A87" i="2"/>
  <c r="B87" i="2"/>
  <c r="C87" i="2"/>
  <c r="D87" i="2"/>
  <c r="E87" i="2"/>
  <c r="F87" i="2"/>
  <c r="G87" i="2"/>
  <c r="H87" i="2"/>
  <c r="I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I101" i="2"/>
  <c r="A102" i="2"/>
  <c r="B102" i="2"/>
  <c r="C102" i="2"/>
  <c r="D102" i="2"/>
  <c r="E102" i="2"/>
  <c r="F102" i="2"/>
  <c r="G102" i="2"/>
  <c r="H102" i="2"/>
  <c r="I102" i="2"/>
  <c r="A103" i="2"/>
  <c r="B103" i="2"/>
  <c r="C103" i="2"/>
  <c r="D103" i="2"/>
  <c r="E103" i="2"/>
  <c r="F103" i="2"/>
  <c r="G103" i="2"/>
  <c r="H103" i="2"/>
  <c r="I103" i="2"/>
  <c r="A104" i="2"/>
  <c r="B104" i="2"/>
  <c r="C104" i="2"/>
  <c r="D104" i="2"/>
  <c r="E104" i="2"/>
  <c r="F104" i="2"/>
  <c r="G104" i="2"/>
  <c r="H104" i="2"/>
  <c r="I104" i="2"/>
  <c r="A105" i="2"/>
  <c r="B105" i="2"/>
  <c r="C105" i="2"/>
  <c r="D105" i="2"/>
  <c r="E105" i="2"/>
  <c r="F105" i="2"/>
  <c r="G105" i="2"/>
  <c r="H105" i="2"/>
  <c r="I105" i="2"/>
  <c r="A106" i="2"/>
  <c r="B106" i="2"/>
  <c r="C106" i="2"/>
  <c r="D106" i="2"/>
  <c r="E106" i="2"/>
  <c r="F106" i="2"/>
  <c r="G106" i="2"/>
  <c r="H106" i="2"/>
  <c r="I106" i="2"/>
  <c r="A107" i="2"/>
  <c r="B107" i="2"/>
  <c r="C107" i="2"/>
  <c r="D107" i="2"/>
  <c r="E107" i="2"/>
  <c r="F107" i="2"/>
  <c r="G107" i="2"/>
  <c r="H107" i="2"/>
  <c r="I107" i="2"/>
  <c r="A108" i="2"/>
  <c r="B108" i="2"/>
  <c r="C108" i="2"/>
  <c r="D108" i="2"/>
  <c r="E108" i="2"/>
  <c r="F108" i="2"/>
  <c r="G108" i="2"/>
  <c r="H108" i="2"/>
  <c r="I108" i="2"/>
  <c r="A109" i="2"/>
  <c r="B109" i="2"/>
  <c r="C109" i="2"/>
  <c r="D109" i="2"/>
  <c r="E109" i="2"/>
  <c r="F109" i="2"/>
  <c r="G109" i="2"/>
  <c r="H109" i="2"/>
  <c r="I109" i="2"/>
  <c r="A110" i="2"/>
  <c r="B110" i="2"/>
  <c r="C110" i="2"/>
  <c r="D110" i="2"/>
  <c r="E110" i="2"/>
  <c r="F110" i="2"/>
  <c r="G110" i="2"/>
  <c r="H110" i="2"/>
  <c r="I110" i="2"/>
  <c r="A111" i="2"/>
  <c r="B111" i="2"/>
  <c r="C111" i="2"/>
  <c r="D111" i="2"/>
  <c r="E111" i="2"/>
  <c r="F111" i="2"/>
  <c r="G111" i="2"/>
  <c r="H111" i="2"/>
  <c r="I111" i="2"/>
  <c r="A112" i="2"/>
  <c r="B112" i="2"/>
  <c r="C112" i="2"/>
  <c r="D112" i="2"/>
  <c r="E112" i="2"/>
  <c r="F112" i="2"/>
  <c r="G112" i="2"/>
  <c r="H112" i="2"/>
  <c r="I112" i="2"/>
  <c r="A113" i="2"/>
  <c r="B113" i="2"/>
  <c r="C113" i="2"/>
  <c r="D113" i="2"/>
  <c r="E113" i="2"/>
  <c r="F113" i="2"/>
  <c r="G113" i="2"/>
  <c r="H113" i="2"/>
  <c r="I113" i="2"/>
  <c r="A114" i="2"/>
  <c r="B114" i="2"/>
  <c r="C114" i="2"/>
  <c r="D114" i="2"/>
  <c r="E114" i="2"/>
  <c r="F114" i="2"/>
  <c r="G114" i="2"/>
  <c r="H114" i="2"/>
  <c r="I114" i="2"/>
  <c r="A115" i="2"/>
  <c r="B115" i="2"/>
  <c r="C115" i="2"/>
  <c r="D115" i="2"/>
  <c r="E115" i="2"/>
  <c r="F115" i="2"/>
  <c r="G115" i="2"/>
  <c r="H115" i="2"/>
  <c r="I115" i="2"/>
  <c r="A116" i="2"/>
  <c r="B116" i="2"/>
  <c r="C116" i="2"/>
  <c r="D116" i="2"/>
  <c r="E116" i="2"/>
  <c r="F116" i="2"/>
  <c r="G116" i="2"/>
  <c r="H116" i="2"/>
  <c r="I116" i="2"/>
  <c r="A117" i="2"/>
  <c r="B117" i="2"/>
  <c r="C117" i="2"/>
  <c r="D117" i="2"/>
  <c r="E117" i="2"/>
  <c r="F117" i="2"/>
  <c r="G117" i="2"/>
  <c r="H117" i="2"/>
  <c r="I117" i="2"/>
  <c r="A118" i="2"/>
  <c r="C118" i="2"/>
  <c r="D118" i="2"/>
  <c r="E118" i="2"/>
  <c r="F118" i="2"/>
  <c r="G118" i="2"/>
  <c r="H118" i="2"/>
  <c r="I118" i="2"/>
  <c r="B119" i="2"/>
  <c r="C119" i="2"/>
  <c r="D119" i="2"/>
  <c r="E119" i="2"/>
  <c r="F119" i="2"/>
  <c r="G119" i="2"/>
  <c r="H119" i="2"/>
  <c r="I119" i="2"/>
  <c r="A120" i="2"/>
  <c r="B120" i="2"/>
  <c r="C120" i="2"/>
  <c r="E120" i="2"/>
  <c r="F120" i="2"/>
  <c r="G120" i="2"/>
  <c r="H120" i="2"/>
  <c r="I120" i="2"/>
  <c r="A121" i="2"/>
  <c r="C121" i="2"/>
  <c r="D121" i="2"/>
  <c r="E121" i="2"/>
  <c r="F121" i="2"/>
  <c r="G121" i="2"/>
  <c r="H121" i="2"/>
  <c r="I121" i="2"/>
  <c r="A122" i="2"/>
  <c r="B122" i="2"/>
  <c r="C122" i="2"/>
  <c r="D122" i="2"/>
  <c r="E122" i="2"/>
  <c r="F122" i="2"/>
  <c r="G122" i="2"/>
  <c r="H122" i="2"/>
  <c r="I122" i="2"/>
  <c r="A123" i="2"/>
  <c r="B123" i="2"/>
  <c r="C123" i="2"/>
  <c r="D123" i="2"/>
  <c r="E123" i="2"/>
  <c r="F123" i="2"/>
  <c r="G123" i="2"/>
  <c r="H123" i="2"/>
  <c r="I123" i="2"/>
  <c r="A124" i="2"/>
  <c r="C124" i="2"/>
  <c r="E124" i="2"/>
  <c r="F124" i="2"/>
  <c r="G124" i="2"/>
  <c r="H124" i="2"/>
  <c r="I124" i="2"/>
  <c r="A125" i="2"/>
  <c r="B125" i="2"/>
  <c r="C125" i="2"/>
  <c r="D125" i="2"/>
  <c r="E125" i="2"/>
  <c r="F125" i="2"/>
  <c r="G125" i="2"/>
  <c r="H125" i="2"/>
  <c r="I125" i="2"/>
  <c r="A126" i="2"/>
  <c r="C126" i="2"/>
  <c r="E126" i="2"/>
  <c r="F126" i="2"/>
  <c r="G126" i="2"/>
  <c r="H126" i="2"/>
  <c r="I126" i="2"/>
  <c r="A127" i="2"/>
  <c r="B127" i="2"/>
  <c r="C127" i="2"/>
  <c r="E127" i="2"/>
  <c r="F127" i="2"/>
  <c r="G127" i="2"/>
  <c r="H127" i="2"/>
  <c r="I127" i="2"/>
  <c r="A128" i="2"/>
  <c r="B128" i="2"/>
  <c r="C128" i="2"/>
  <c r="E128" i="2"/>
  <c r="F128" i="2"/>
  <c r="G128" i="2"/>
  <c r="H128" i="2"/>
  <c r="I128" i="2"/>
  <c r="A129" i="2"/>
  <c r="B129" i="2"/>
  <c r="C129" i="2"/>
  <c r="E129" i="2"/>
  <c r="F129" i="2"/>
  <c r="G129" i="2"/>
  <c r="H129" i="2"/>
  <c r="I129" i="2"/>
  <c r="A130" i="2"/>
  <c r="B130" i="2"/>
  <c r="C130" i="2"/>
  <c r="E130" i="2"/>
  <c r="F130" i="2"/>
  <c r="G130" i="2"/>
  <c r="H130" i="2"/>
  <c r="I130" i="2"/>
  <c r="A131" i="2"/>
  <c r="B131" i="2"/>
  <c r="C131" i="2"/>
  <c r="E131" i="2"/>
  <c r="F131" i="2"/>
  <c r="G131" i="2"/>
  <c r="H131" i="2"/>
  <c r="I131" i="2"/>
  <c r="A132" i="2"/>
  <c r="C132" i="2"/>
  <c r="E132" i="2"/>
  <c r="F132" i="2"/>
  <c r="G132" i="2"/>
  <c r="H132" i="2"/>
  <c r="I132" i="2"/>
  <c r="A133" i="2"/>
  <c r="B133" i="2"/>
  <c r="C133" i="2"/>
  <c r="D133" i="2"/>
  <c r="E133" i="2"/>
  <c r="F133" i="2"/>
  <c r="G133" i="2"/>
  <c r="H133" i="2"/>
  <c r="I133" i="2"/>
  <c r="A134" i="2"/>
  <c r="C134" i="2"/>
  <c r="E134" i="2"/>
  <c r="F134" i="2"/>
  <c r="G134" i="2"/>
  <c r="H134" i="2"/>
  <c r="I134" i="2"/>
  <c r="A135" i="2"/>
  <c r="B135" i="2"/>
  <c r="C135" i="2"/>
  <c r="E135" i="2"/>
  <c r="F135" i="2"/>
  <c r="G135" i="2"/>
  <c r="H135" i="2"/>
  <c r="I135" i="2"/>
  <c r="A136" i="2"/>
  <c r="B136" i="2"/>
  <c r="C136" i="2"/>
  <c r="D136" i="2"/>
  <c r="E136" i="2"/>
  <c r="F136" i="2"/>
  <c r="G136" i="2"/>
  <c r="H136" i="2"/>
  <c r="I136" i="2"/>
  <c r="A137" i="2"/>
  <c r="B137" i="2"/>
  <c r="C137" i="2"/>
  <c r="D137" i="2"/>
  <c r="E137" i="2"/>
  <c r="F137" i="2"/>
  <c r="G137" i="2"/>
  <c r="H137" i="2"/>
  <c r="I137" i="2"/>
  <c r="A138" i="2"/>
  <c r="B138" i="2"/>
  <c r="C138" i="2"/>
  <c r="D138" i="2"/>
  <c r="E138" i="2"/>
  <c r="F138" i="2"/>
  <c r="G138" i="2"/>
  <c r="H138" i="2"/>
  <c r="I138" i="2"/>
  <c r="A139" i="2"/>
  <c r="B139" i="2"/>
  <c r="C139" i="2"/>
  <c r="D139" i="2"/>
  <c r="E139" i="2"/>
  <c r="F139" i="2"/>
  <c r="G139" i="2"/>
  <c r="H139" i="2"/>
  <c r="I139" i="2"/>
  <c r="A140" i="2"/>
  <c r="B140" i="2"/>
  <c r="C140" i="2"/>
  <c r="D140" i="2"/>
  <c r="E140" i="2"/>
  <c r="F140" i="2"/>
  <c r="G140" i="2"/>
  <c r="H140" i="2"/>
  <c r="I140" i="2"/>
  <c r="A141" i="2"/>
  <c r="B141" i="2"/>
  <c r="C141" i="2"/>
  <c r="D141" i="2"/>
  <c r="E141" i="2"/>
  <c r="F141" i="2"/>
  <c r="G141" i="2"/>
  <c r="H141" i="2"/>
  <c r="I141" i="2"/>
  <c r="A142" i="2"/>
  <c r="B142" i="2"/>
  <c r="C142" i="2"/>
  <c r="D142" i="2"/>
  <c r="E142" i="2"/>
  <c r="F142" i="2"/>
  <c r="G142" i="2"/>
  <c r="H142" i="2"/>
  <c r="I142" i="2"/>
  <c r="A143" i="2"/>
  <c r="B143" i="2"/>
  <c r="C143" i="2"/>
  <c r="D143" i="2"/>
  <c r="E143" i="2"/>
  <c r="F143" i="2"/>
  <c r="G143" i="2"/>
  <c r="H143" i="2"/>
  <c r="I143" i="2"/>
  <c r="A144" i="2"/>
  <c r="B144" i="2"/>
  <c r="C144" i="2"/>
  <c r="D144" i="2"/>
  <c r="E144" i="2"/>
  <c r="F144" i="2"/>
  <c r="G144" i="2"/>
  <c r="H144" i="2"/>
  <c r="I144" i="2"/>
  <c r="A145" i="2"/>
  <c r="B145" i="2"/>
  <c r="C145" i="2"/>
  <c r="D145" i="2"/>
  <c r="E145" i="2"/>
  <c r="F145" i="2"/>
  <c r="G145" i="2"/>
  <c r="H145" i="2"/>
  <c r="I145" i="2"/>
  <c r="A146" i="2"/>
  <c r="B146" i="2"/>
  <c r="C146" i="2"/>
  <c r="D146" i="2"/>
  <c r="E146" i="2"/>
  <c r="F146" i="2"/>
  <c r="G146" i="2"/>
  <c r="H146" i="2"/>
  <c r="I146" i="2"/>
  <c r="A147" i="2"/>
  <c r="B147" i="2"/>
  <c r="C147" i="2"/>
  <c r="D147" i="2"/>
  <c r="E147" i="2"/>
  <c r="F147" i="2"/>
  <c r="G147" i="2"/>
  <c r="H147" i="2"/>
  <c r="I147" i="2"/>
  <c r="A148" i="2"/>
  <c r="B148" i="2"/>
  <c r="C148" i="2"/>
  <c r="D148" i="2"/>
  <c r="E148" i="2"/>
  <c r="F148" i="2"/>
  <c r="G148" i="2"/>
  <c r="H148" i="2"/>
  <c r="I148" i="2"/>
  <c r="A149" i="2"/>
  <c r="B149" i="2"/>
  <c r="C149" i="2"/>
  <c r="D149" i="2"/>
  <c r="E149" i="2"/>
  <c r="F149" i="2"/>
  <c r="G149" i="2"/>
  <c r="H149" i="2"/>
  <c r="I149" i="2"/>
  <c r="A150" i="2"/>
  <c r="B150" i="2"/>
  <c r="C150" i="2"/>
  <c r="D150" i="2"/>
  <c r="E150" i="2"/>
  <c r="F150" i="2"/>
  <c r="G150" i="2"/>
  <c r="H150" i="2"/>
  <c r="I150" i="2"/>
  <c r="A151" i="2"/>
  <c r="B151" i="2"/>
  <c r="C151" i="2"/>
  <c r="D151" i="2"/>
  <c r="E151" i="2"/>
  <c r="F151" i="2"/>
  <c r="G151" i="2"/>
  <c r="H151" i="2"/>
  <c r="I151" i="2"/>
  <c r="A152" i="2"/>
  <c r="B152" i="2"/>
  <c r="C152" i="2"/>
  <c r="D152" i="2"/>
  <c r="E152" i="2"/>
  <c r="F152" i="2"/>
  <c r="G152" i="2"/>
  <c r="H152" i="2"/>
  <c r="I152" i="2"/>
  <c r="A153" i="2"/>
  <c r="B153" i="2"/>
  <c r="C153" i="2"/>
  <c r="D153" i="2"/>
  <c r="E153" i="2"/>
  <c r="F153" i="2"/>
  <c r="G153" i="2"/>
  <c r="H153" i="2"/>
  <c r="I153" i="2"/>
  <c r="A154" i="2"/>
  <c r="B154" i="2"/>
  <c r="C154" i="2"/>
  <c r="D154" i="2"/>
  <c r="E154" i="2"/>
  <c r="F154" i="2"/>
  <c r="G154" i="2"/>
  <c r="H154" i="2"/>
  <c r="I154" i="2"/>
  <c r="A155" i="2"/>
  <c r="B155" i="2"/>
  <c r="C155" i="2"/>
  <c r="D155" i="2"/>
  <c r="E155" i="2"/>
  <c r="F155" i="2"/>
  <c r="G155" i="2"/>
  <c r="H155" i="2"/>
  <c r="I155" i="2"/>
  <c r="A156" i="2"/>
  <c r="B156" i="2"/>
  <c r="C156" i="2"/>
  <c r="D156" i="2"/>
  <c r="E156" i="2"/>
  <c r="F156" i="2"/>
  <c r="G156" i="2"/>
  <c r="H156" i="2"/>
  <c r="I156" i="2"/>
  <c r="A157" i="2"/>
  <c r="B157" i="2"/>
  <c r="C157" i="2"/>
  <c r="D157" i="2"/>
  <c r="E157" i="2"/>
  <c r="F157" i="2"/>
  <c r="G157" i="2"/>
  <c r="H157" i="2"/>
  <c r="I157" i="2"/>
  <c r="A158" i="2"/>
  <c r="B158" i="2"/>
  <c r="C158" i="2"/>
  <c r="D158" i="2"/>
  <c r="E158" i="2"/>
  <c r="F158" i="2"/>
  <c r="G158" i="2"/>
  <c r="H158" i="2"/>
  <c r="I158" i="2"/>
  <c r="A159" i="2"/>
  <c r="B159" i="2"/>
  <c r="C159" i="2"/>
  <c r="D159" i="2"/>
  <c r="E159" i="2"/>
  <c r="F159" i="2"/>
  <c r="G159" i="2"/>
  <c r="H159" i="2"/>
  <c r="I159" i="2"/>
  <c r="A160" i="2"/>
  <c r="B160" i="2"/>
  <c r="C160" i="2"/>
  <c r="D160" i="2"/>
  <c r="E160" i="2"/>
  <c r="F160" i="2"/>
  <c r="G160" i="2"/>
  <c r="H160" i="2"/>
  <c r="I160" i="2"/>
  <c r="A161" i="2"/>
  <c r="B161" i="2"/>
  <c r="C161" i="2"/>
  <c r="D161" i="2"/>
  <c r="E161" i="2"/>
  <c r="F161" i="2"/>
  <c r="G161" i="2"/>
  <c r="H161" i="2"/>
  <c r="I161" i="2"/>
  <c r="A162" i="2"/>
  <c r="B162" i="2"/>
  <c r="C162" i="2"/>
  <c r="D162" i="2"/>
  <c r="E162" i="2"/>
  <c r="F162" i="2"/>
  <c r="G162" i="2"/>
  <c r="H162" i="2"/>
  <c r="I162" i="2"/>
  <c r="A163" i="2"/>
  <c r="B163" i="2"/>
  <c r="C163" i="2"/>
  <c r="D163" i="2"/>
  <c r="E163" i="2"/>
  <c r="F163" i="2"/>
  <c r="G163" i="2"/>
  <c r="H163" i="2"/>
  <c r="I163" i="2"/>
  <c r="A164" i="2"/>
  <c r="B164" i="2"/>
  <c r="C164" i="2"/>
  <c r="D164" i="2"/>
  <c r="E164" i="2"/>
  <c r="F164" i="2"/>
  <c r="G164" i="2"/>
  <c r="H164" i="2"/>
  <c r="I164" i="2"/>
  <c r="A165" i="2"/>
  <c r="B165" i="2"/>
  <c r="C165" i="2"/>
  <c r="D165" i="2"/>
  <c r="E165" i="2"/>
  <c r="F165" i="2"/>
  <c r="G165" i="2"/>
  <c r="H165" i="2"/>
  <c r="I165" i="2"/>
  <c r="A166" i="2"/>
  <c r="B166" i="2"/>
  <c r="C166" i="2"/>
  <c r="D166" i="2"/>
  <c r="E166" i="2"/>
  <c r="F166" i="2"/>
  <c r="G166" i="2"/>
  <c r="H166" i="2"/>
  <c r="I166" i="2"/>
  <c r="A167" i="2"/>
  <c r="B167" i="2"/>
  <c r="C167" i="2"/>
  <c r="D167" i="2"/>
  <c r="E167" i="2"/>
  <c r="F167" i="2"/>
  <c r="G167" i="2"/>
  <c r="H167" i="2"/>
  <c r="I167" i="2"/>
  <c r="A168" i="2"/>
  <c r="B168" i="2"/>
  <c r="C168" i="2"/>
  <c r="D168" i="2"/>
  <c r="E168" i="2"/>
  <c r="F168" i="2"/>
  <c r="G168" i="2"/>
  <c r="H168" i="2"/>
  <c r="I168" i="2"/>
  <c r="A169" i="2"/>
  <c r="B169" i="2"/>
  <c r="C169" i="2"/>
  <c r="D169" i="2"/>
  <c r="E169" i="2"/>
  <c r="F169" i="2"/>
  <c r="G169" i="2"/>
  <c r="H169" i="2"/>
  <c r="I169" i="2"/>
  <c r="A170" i="2"/>
  <c r="B170" i="2"/>
  <c r="C170" i="2"/>
  <c r="D170" i="2"/>
  <c r="E170" i="2"/>
  <c r="F170" i="2"/>
  <c r="G170" i="2"/>
  <c r="H170" i="2"/>
  <c r="I170" i="2"/>
  <c r="A171" i="2"/>
  <c r="B171" i="2"/>
  <c r="C171" i="2"/>
  <c r="D171" i="2"/>
  <c r="E171" i="2"/>
  <c r="F171" i="2"/>
  <c r="G171" i="2"/>
  <c r="H171" i="2"/>
  <c r="I171" i="2"/>
  <c r="A172" i="2"/>
  <c r="B172" i="2"/>
  <c r="C172" i="2"/>
  <c r="D172" i="2"/>
  <c r="E172" i="2"/>
  <c r="F172" i="2"/>
  <c r="G172" i="2"/>
  <c r="H172" i="2"/>
  <c r="I172" i="2"/>
  <c r="A173" i="2"/>
  <c r="B173" i="2"/>
  <c r="C173" i="2"/>
  <c r="D173" i="2"/>
  <c r="E173" i="2"/>
  <c r="F173" i="2"/>
  <c r="G173" i="2"/>
  <c r="H173" i="2"/>
  <c r="I173" i="2"/>
  <c r="A174" i="2"/>
  <c r="B174" i="2"/>
  <c r="C174" i="2"/>
  <c r="D174" i="2"/>
  <c r="E174" i="2"/>
  <c r="F174" i="2"/>
  <c r="G174" i="2"/>
  <c r="H174" i="2"/>
  <c r="I174" i="2"/>
  <c r="A175" i="2"/>
  <c r="B175" i="2"/>
  <c r="C175" i="2"/>
  <c r="D175" i="2"/>
  <c r="E175" i="2"/>
  <c r="F175" i="2"/>
  <c r="G175" i="2"/>
  <c r="H175" i="2"/>
  <c r="I175" i="2"/>
  <c r="A176" i="2"/>
  <c r="B176" i="2"/>
  <c r="C176" i="2"/>
  <c r="D176" i="2"/>
  <c r="E176" i="2"/>
  <c r="F176" i="2"/>
  <c r="G176" i="2"/>
  <c r="H176" i="2"/>
  <c r="I176" i="2"/>
  <c r="A177" i="2"/>
  <c r="B177" i="2"/>
  <c r="C177" i="2"/>
  <c r="D177" i="2"/>
  <c r="E177" i="2"/>
  <c r="F177" i="2"/>
  <c r="G177" i="2"/>
  <c r="H177" i="2"/>
  <c r="I177" i="2"/>
  <c r="A178" i="2"/>
  <c r="B178" i="2"/>
  <c r="C178" i="2"/>
  <c r="D178" i="2"/>
  <c r="E178" i="2"/>
  <c r="F178" i="2"/>
  <c r="G178" i="2"/>
  <c r="H178" i="2"/>
  <c r="I178" i="2"/>
  <c r="A179" i="2"/>
  <c r="B179" i="2"/>
  <c r="C179" i="2"/>
  <c r="D179" i="2"/>
  <c r="E179" i="2"/>
  <c r="F179" i="2"/>
  <c r="G179" i="2"/>
  <c r="H179" i="2"/>
  <c r="I179" i="2"/>
  <c r="A180" i="2"/>
  <c r="B180" i="2"/>
  <c r="C180" i="2"/>
  <c r="D180" i="2"/>
  <c r="E180" i="2"/>
  <c r="F180" i="2"/>
  <c r="G180" i="2"/>
  <c r="H180" i="2"/>
  <c r="I180" i="2"/>
  <c r="A181" i="2"/>
  <c r="B181" i="2"/>
  <c r="C181" i="2"/>
  <c r="D181" i="2"/>
  <c r="E181" i="2"/>
  <c r="F181" i="2"/>
  <c r="G181" i="2"/>
  <c r="H181" i="2"/>
  <c r="I181" i="2"/>
  <c r="A182" i="2"/>
  <c r="B182" i="2"/>
  <c r="C182" i="2"/>
  <c r="D182" i="2"/>
  <c r="E182" i="2"/>
  <c r="F182" i="2"/>
  <c r="G182" i="2"/>
  <c r="H182" i="2"/>
  <c r="I182" i="2"/>
  <c r="A183" i="2"/>
  <c r="B183" i="2"/>
  <c r="C183" i="2"/>
  <c r="D183" i="2"/>
  <c r="E183" i="2"/>
  <c r="F183" i="2"/>
  <c r="G183" i="2"/>
  <c r="H183" i="2"/>
  <c r="I183" i="2"/>
  <c r="A184" i="2"/>
  <c r="B184" i="2"/>
  <c r="C184" i="2"/>
  <c r="D184" i="2"/>
  <c r="E184" i="2"/>
  <c r="F184" i="2"/>
  <c r="G184" i="2"/>
  <c r="H184" i="2"/>
  <c r="I184" i="2"/>
  <c r="A185" i="2"/>
  <c r="B185" i="2"/>
  <c r="C185" i="2"/>
  <c r="D185" i="2"/>
  <c r="E185" i="2"/>
  <c r="F185" i="2"/>
  <c r="G185" i="2"/>
  <c r="H185" i="2"/>
  <c r="I185" i="2"/>
  <c r="A186" i="2"/>
  <c r="B186" i="2"/>
  <c r="C186" i="2"/>
  <c r="D186" i="2"/>
  <c r="E186" i="2"/>
  <c r="F186" i="2"/>
  <c r="G186" i="2"/>
  <c r="H186" i="2"/>
  <c r="I186" i="2"/>
  <c r="A187" i="2"/>
  <c r="B187" i="2"/>
  <c r="C187" i="2"/>
  <c r="D187" i="2"/>
  <c r="E187" i="2"/>
  <c r="F187" i="2"/>
  <c r="G187" i="2"/>
  <c r="H187" i="2"/>
  <c r="I187" i="2"/>
  <c r="A188" i="2"/>
  <c r="B188" i="2"/>
  <c r="C188" i="2"/>
  <c r="D188" i="2"/>
  <c r="E188" i="2"/>
  <c r="F188" i="2"/>
  <c r="G188" i="2"/>
  <c r="H188" i="2"/>
  <c r="I188" i="2"/>
  <c r="A189" i="2"/>
  <c r="B189" i="2"/>
  <c r="C189" i="2"/>
  <c r="D189" i="2"/>
  <c r="E189" i="2"/>
  <c r="F189" i="2"/>
  <c r="G189" i="2"/>
  <c r="H189" i="2"/>
  <c r="I189" i="2"/>
  <c r="A190" i="2"/>
  <c r="B190" i="2"/>
  <c r="C190" i="2"/>
  <c r="D190" i="2"/>
  <c r="E190" i="2"/>
  <c r="F190" i="2"/>
  <c r="G190" i="2"/>
  <c r="H190" i="2"/>
  <c r="I190" i="2"/>
  <c r="A191" i="2"/>
  <c r="B191" i="2"/>
  <c r="C191" i="2"/>
  <c r="D191" i="2"/>
  <c r="E191" i="2"/>
  <c r="F191" i="2"/>
  <c r="G191" i="2"/>
  <c r="H191" i="2"/>
  <c r="I191" i="2"/>
  <c r="A192" i="2"/>
  <c r="B192" i="2"/>
  <c r="C192" i="2"/>
  <c r="D192" i="2"/>
  <c r="E192" i="2"/>
  <c r="F192" i="2"/>
  <c r="G192" i="2"/>
  <c r="H192" i="2"/>
  <c r="I192" i="2"/>
  <c r="A193" i="2"/>
  <c r="B193" i="2"/>
  <c r="C193" i="2"/>
  <c r="D193" i="2"/>
  <c r="E193" i="2"/>
  <c r="F193" i="2"/>
  <c r="G193" i="2"/>
  <c r="H193" i="2"/>
  <c r="I193" i="2"/>
  <c r="A194" i="2"/>
  <c r="B194" i="2"/>
  <c r="C194" i="2"/>
  <c r="D194" i="2"/>
  <c r="E194" i="2"/>
  <c r="F194" i="2"/>
  <c r="G194" i="2"/>
  <c r="H194" i="2"/>
  <c r="I194" i="2"/>
  <c r="A195" i="2"/>
  <c r="B195" i="2"/>
  <c r="C195" i="2"/>
  <c r="D195" i="2"/>
  <c r="E195" i="2"/>
  <c r="F195" i="2"/>
  <c r="G195" i="2"/>
  <c r="H195" i="2"/>
  <c r="I195" i="2"/>
  <c r="A196" i="2"/>
  <c r="B196" i="2"/>
  <c r="C196" i="2"/>
  <c r="D196" i="2"/>
  <c r="E196" i="2"/>
  <c r="F196" i="2"/>
  <c r="G196" i="2"/>
  <c r="H196" i="2"/>
  <c r="I196" i="2"/>
  <c r="A197" i="2"/>
  <c r="B197" i="2"/>
  <c r="C197" i="2"/>
  <c r="D197" i="2"/>
  <c r="E197" i="2"/>
  <c r="F197" i="2"/>
  <c r="G197" i="2"/>
  <c r="H197" i="2"/>
  <c r="I197" i="2"/>
  <c r="A198" i="2"/>
  <c r="B198" i="2"/>
  <c r="C198" i="2"/>
  <c r="D198" i="2"/>
  <c r="E198" i="2"/>
  <c r="F198" i="2"/>
  <c r="G198" i="2"/>
  <c r="H198" i="2"/>
  <c r="I198" i="2"/>
  <c r="A199" i="2"/>
  <c r="B199" i="2"/>
  <c r="C199" i="2"/>
  <c r="D199" i="2"/>
  <c r="E199" i="2"/>
  <c r="F199" i="2"/>
  <c r="G199" i="2"/>
  <c r="H199" i="2"/>
  <c r="I199" i="2"/>
  <c r="A200" i="2"/>
  <c r="B200" i="2"/>
  <c r="C200" i="2"/>
  <c r="D200" i="2"/>
  <c r="E200" i="2"/>
  <c r="F200" i="2"/>
  <c r="G200" i="2"/>
  <c r="H200" i="2"/>
  <c r="I200" i="2"/>
  <c r="A201" i="2"/>
  <c r="B201" i="2"/>
  <c r="C201" i="2"/>
  <c r="D201" i="2"/>
  <c r="E201" i="2"/>
  <c r="F201" i="2"/>
  <c r="G201" i="2"/>
  <c r="H201" i="2"/>
  <c r="I201" i="2"/>
  <c r="A202" i="2"/>
  <c r="B202" i="2"/>
  <c r="C202" i="2"/>
  <c r="D202" i="2"/>
  <c r="E202" i="2"/>
  <c r="F202" i="2"/>
  <c r="G202" i="2"/>
  <c r="H202" i="2"/>
  <c r="I202" i="2"/>
  <c r="A203" i="2"/>
  <c r="B203" i="2"/>
  <c r="C203" i="2"/>
  <c r="D203" i="2"/>
  <c r="E203" i="2"/>
  <c r="F203" i="2"/>
  <c r="G203" i="2"/>
  <c r="H203" i="2"/>
  <c r="I203" i="2"/>
  <c r="A204" i="2"/>
  <c r="B204" i="2"/>
  <c r="C204" i="2"/>
  <c r="D204" i="2"/>
  <c r="E204" i="2"/>
  <c r="F204" i="2"/>
  <c r="G204" i="2"/>
  <c r="H204" i="2"/>
  <c r="I204" i="2"/>
  <c r="A205" i="2"/>
  <c r="B205" i="2"/>
  <c r="C205" i="2"/>
  <c r="D205" i="2"/>
  <c r="E205" i="2"/>
  <c r="F205" i="2"/>
  <c r="G205" i="2"/>
  <c r="H205" i="2"/>
  <c r="I205" i="2"/>
  <c r="A206" i="2"/>
  <c r="B206" i="2"/>
  <c r="C206" i="2"/>
  <c r="D206" i="2"/>
  <c r="E206" i="2"/>
  <c r="F206" i="2"/>
  <c r="G206" i="2"/>
  <c r="H206" i="2"/>
  <c r="I206" i="2"/>
  <c r="A207" i="2"/>
  <c r="B207" i="2"/>
  <c r="C207" i="2"/>
  <c r="D207" i="2"/>
  <c r="E207" i="2"/>
  <c r="F207" i="2"/>
  <c r="G207" i="2"/>
  <c r="H207" i="2"/>
  <c r="I207" i="2"/>
  <c r="A208" i="2"/>
  <c r="B208" i="2"/>
  <c r="C208" i="2"/>
  <c r="D208" i="2"/>
  <c r="E208" i="2"/>
  <c r="F208" i="2"/>
  <c r="G208" i="2"/>
  <c r="H208" i="2"/>
  <c r="I208" i="2"/>
  <c r="A4" i="1"/>
  <c r="B4" i="1"/>
  <c r="C4" i="1"/>
  <c r="D4" i="1"/>
  <c r="E4" i="1"/>
  <c r="F4" i="1"/>
  <c r="G4" i="1"/>
  <c r="H4" i="1"/>
  <c r="I4" i="1"/>
  <c r="A5" i="1"/>
  <c r="B5" i="1"/>
  <c r="C5" i="1"/>
  <c r="D5" i="1"/>
  <c r="E5" i="1"/>
  <c r="F5" i="1"/>
  <c r="G5" i="1"/>
  <c r="H5" i="1"/>
  <c r="I5" i="1"/>
  <c r="A6" i="1"/>
  <c r="B6" i="1"/>
  <c r="C6" i="1"/>
  <c r="D6" i="1"/>
  <c r="E6" i="1"/>
  <c r="F6" i="1"/>
  <c r="G6" i="1"/>
  <c r="H6" i="1"/>
  <c r="I6" i="1"/>
  <c r="A7" i="1"/>
  <c r="B7" i="1"/>
  <c r="C7" i="1"/>
  <c r="D7" i="1"/>
  <c r="E7" i="1"/>
  <c r="F7" i="1"/>
  <c r="G7" i="1"/>
  <c r="H7" i="1"/>
  <c r="I7" i="1"/>
  <c r="A8" i="1"/>
  <c r="B8" i="1"/>
  <c r="C8" i="1"/>
  <c r="D8" i="1"/>
  <c r="E8" i="1"/>
  <c r="F8" i="1"/>
  <c r="G8" i="1"/>
  <c r="H8" i="1"/>
  <c r="I8" i="1"/>
  <c r="A9" i="1"/>
  <c r="B9" i="1"/>
  <c r="C9" i="1"/>
  <c r="D9" i="1"/>
  <c r="E9" i="1"/>
  <c r="F9" i="1"/>
  <c r="G9" i="1"/>
  <c r="H9" i="1"/>
  <c r="I9" i="1"/>
  <c r="A10" i="1"/>
  <c r="B10" i="1"/>
  <c r="C10" i="1"/>
  <c r="D10" i="1"/>
  <c r="E10" i="1"/>
  <c r="F10" i="1"/>
  <c r="G10" i="1"/>
  <c r="H10" i="1"/>
  <c r="I10" i="1"/>
  <c r="A11" i="1"/>
  <c r="B11" i="1"/>
  <c r="C11" i="1"/>
  <c r="D11" i="1"/>
  <c r="E11" i="1"/>
  <c r="F11" i="1"/>
  <c r="G11" i="1"/>
  <c r="H11" i="1"/>
  <c r="I11" i="1"/>
  <c r="A12" i="1"/>
  <c r="B12" i="1"/>
  <c r="C12" i="1"/>
  <c r="D12" i="1"/>
  <c r="E12" i="1"/>
  <c r="F12" i="1"/>
  <c r="G12" i="1"/>
  <c r="H12" i="1"/>
  <c r="I12" i="1"/>
  <c r="A13" i="1"/>
  <c r="B13" i="1"/>
  <c r="C13" i="1"/>
  <c r="D13" i="1"/>
  <c r="E13" i="1"/>
  <c r="F13" i="1"/>
  <c r="G13" i="1"/>
  <c r="H13" i="1"/>
  <c r="I13" i="1"/>
  <c r="A14" i="1"/>
  <c r="B14" i="1"/>
  <c r="C14" i="1"/>
  <c r="D14" i="1"/>
  <c r="E14" i="1"/>
  <c r="F14" i="1"/>
  <c r="G14" i="1"/>
  <c r="H14" i="1"/>
  <c r="I14" i="1"/>
  <c r="A15" i="1"/>
  <c r="B15" i="1"/>
  <c r="C15" i="1"/>
  <c r="D15" i="1"/>
  <c r="E15" i="1"/>
  <c r="F15" i="1"/>
  <c r="G15" i="1"/>
  <c r="H15" i="1"/>
  <c r="I15" i="1"/>
  <c r="A16" i="1"/>
  <c r="B16" i="1"/>
  <c r="C16" i="1"/>
  <c r="D16" i="1"/>
  <c r="E16" i="1"/>
  <c r="F16" i="1"/>
  <c r="G16" i="1"/>
  <c r="H16" i="1"/>
  <c r="I16" i="1"/>
  <c r="A17" i="1"/>
  <c r="B17" i="1"/>
  <c r="C17" i="1"/>
  <c r="D17" i="1"/>
  <c r="E17" i="1"/>
  <c r="F17" i="1"/>
  <c r="G17" i="1"/>
  <c r="H17" i="1"/>
  <c r="I17" i="1"/>
  <c r="A18" i="1"/>
  <c r="B18" i="1"/>
  <c r="C18" i="1"/>
  <c r="D18" i="1"/>
  <c r="E18" i="1"/>
  <c r="F18" i="1"/>
  <c r="G18" i="1"/>
  <c r="H18" i="1"/>
  <c r="I18" i="1"/>
  <c r="A19" i="1"/>
  <c r="B19" i="1"/>
  <c r="C19" i="1"/>
  <c r="D19" i="1"/>
  <c r="E19" i="1"/>
  <c r="F19" i="1"/>
  <c r="G19" i="1"/>
  <c r="H19" i="1"/>
  <c r="I19" i="1"/>
  <c r="A20" i="1"/>
  <c r="B20" i="1"/>
  <c r="C20" i="1"/>
  <c r="D20" i="1"/>
  <c r="E20" i="1"/>
  <c r="F20" i="1"/>
  <c r="G20" i="1"/>
  <c r="H20" i="1"/>
  <c r="I20" i="1"/>
  <c r="A21" i="1"/>
  <c r="B21" i="1"/>
  <c r="C21" i="1"/>
  <c r="D21" i="1"/>
  <c r="E21" i="1"/>
  <c r="F21" i="1"/>
  <c r="G21" i="1"/>
  <c r="H21" i="1"/>
  <c r="I21" i="1"/>
  <c r="A22" i="1"/>
  <c r="B22" i="1"/>
  <c r="C22" i="1"/>
  <c r="D22" i="1"/>
  <c r="E22" i="1"/>
  <c r="F22" i="1"/>
  <c r="G22" i="1"/>
  <c r="H22" i="1"/>
  <c r="I22" i="1"/>
  <c r="A23" i="1"/>
  <c r="B23" i="1"/>
  <c r="C23" i="1"/>
  <c r="D23" i="1"/>
  <c r="E23" i="1"/>
  <c r="F23" i="1"/>
  <c r="G23" i="1"/>
  <c r="H23" i="1"/>
  <c r="I23" i="1"/>
  <c r="A24" i="1"/>
  <c r="B24" i="1"/>
  <c r="C24" i="1"/>
  <c r="D24" i="1"/>
  <c r="E24" i="1"/>
  <c r="F24" i="1"/>
  <c r="G24" i="1"/>
  <c r="H24" i="1"/>
  <c r="I24" i="1"/>
  <c r="A25" i="1"/>
  <c r="B25" i="1"/>
  <c r="C25" i="1"/>
  <c r="D25" i="1"/>
  <c r="E25" i="1"/>
  <c r="F25" i="1"/>
  <c r="G25" i="1"/>
  <c r="H25" i="1"/>
  <c r="I25" i="1"/>
  <c r="A26" i="1"/>
  <c r="B26" i="1"/>
  <c r="C26" i="1"/>
  <c r="D26" i="1"/>
  <c r="E26" i="1"/>
  <c r="F26" i="1"/>
  <c r="G26" i="1"/>
  <c r="H26" i="1"/>
  <c r="I26" i="1"/>
  <c r="A27" i="1"/>
  <c r="B27" i="1"/>
  <c r="C27" i="1"/>
  <c r="D27" i="1"/>
  <c r="E27" i="1"/>
  <c r="F27" i="1"/>
  <c r="G27" i="1"/>
  <c r="H27" i="1"/>
  <c r="I27" i="1"/>
  <c r="A28" i="1"/>
  <c r="B28" i="1"/>
  <c r="C28" i="1"/>
  <c r="D28" i="1"/>
  <c r="E28" i="1"/>
  <c r="F28" i="1"/>
  <c r="G28" i="1"/>
  <c r="H28" i="1"/>
  <c r="I28" i="1"/>
  <c r="A29" i="1"/>
  <c r="B29" i="1"/>
  <c r="C29" i="1"/>
  <c r="D29" i="1"/>
  <c r="E29" i="1"/>
  <c r="F29" i="1"/>
  <c r="G29" i="1"/>
  <c r="H29" i="1"/>
  <c r="I29" i="1"/>
  <c r="A30" i="1"/>
  <c r="B30" i="1"/>
  <c r="C30" i="1"/>
  <c r="D30" i="1"/>
  <c r="E30" i="1"/>
  <c r="F30" i="1"/>
  <c r="G30" i="1"/>
  <c r="H30" i="1"/>
  <c r="I30" i="1"/>
  <c r="A31" i="1"/>
  <c r="B31" i="1"/>
  <c r="C31" i="1"/>
  <c r="D31" i="1"/>
  <c r="E31" i="1"/>
  <c r="F31" i="1"/>
  <c r="G31" i="1"/>
  <c r="H31" i="1"/>
  <c r="I31" i="1"/>
  <c r="A32" i="1"/>
  <c r="B32" i="1"/>
  <c r="C32" i="1"/>
  <c r="D32" i="1"/>
  <c r="E32" i="1"/>
  <c r="F32" i="1"/>
  <c r="G32" i="1"/>
  <c r="H32" i="1"/>
  <c r="I32" i="1"/>
  <c r="A33" i="1"/>
  <c r="B33" i="1"/>
  <c r="C33" i="1"/>
  <c r="D33" i="1"/>
  <c r="E33" i="1"/>
  <c r="F33" i="1"/>
  <c r="G33" i="1"/>
  <c r="H33" i="1"/>
  <c r="I33" i="1"/>
  <c r="A34" i="1"/>
  <c r="B34" i="1"/>
  <c r="C34" i="1"/>
  <c r="D34" i="1"/>
  <c r="E34" i="1"/>
  <c r="F34" i="1"/>
  <c r="G34" i="1"/>
  <c r="H34" i="1"/>
  <c r="I34" i="1"/>
  <c r="A35" i="1"/>
  <c r="B35" i="1"/>
  <c r="C35" i="1"/>
  <c r="D35" i="1"/>
  <c r="E35" i="1"/>
  <c r="F35" i="1"/>
  <c r="G35" i="1"/>
  <c r="H35" i="1"/>
  <c r="I35" i="1"/>
  <c r="A36" i="1"/>
  <c r="B36" i="1"/>
  <c r="C36" i="1"/>
  <c r="D36" i="1"/>
  <c r="E36" i="1"/>
  <c r="F36" i="1"/>
  <c r="G36" i="1"/>
  <c r="H36" i="1"/>
  <c r="I36" i="1"/>
  <c r="A37" i="1"/>
  <c r="B37" i="1"/>
  <c r="C37" i="1"/>
  <c r="D37" i="1"/>
  <c r="E37" i="1"/>
  <c r="F37" i="1"/>
  <c r="G37" i="1"/>
  <c r="H37" i="1"/>
  <c r="I37" i="1"/>
  <c r="A38" i="1"/>
  <c r="B38" i="1"/>
  <c r="C38" i="1"/>
  <c r="D38" i="1"/>
  <c r="E38" i="1"/>
  <c r="F38" i="1"/>
  <c r="G38" i="1"/>
  <c r="H38" i="1"/>
  <c r="I38" i="1"/>
  <c r="A39" i="1"/>
  <c r="B39" i="1"/>
  <c r="C39" i="1"/>
  <c r="D39" i="1"/>
  <c r="E39" i="1"/>
  <c r="F39" i="1"/>
  <c r="G39" i="1"/>
  <c r="H39" i="1"/>
  <c r="I39" i="1"/>
  <c r="A40" i="1"/>
  <c r="B40" i="1"/>
  <c r="C40" i="1"/>
  <c r="D40" i="1"/>
  <c r="E40" i="1"/>
  <c r="F40" i="1"/>
  <c r="G40" i="1"/>
  <c r="H40" i="1"/>
  <c r="I40" i="1"/>
  <c r="A41" i="1"/>
  <c r="B41" i="1"/>
  <c r="C41" i="1"/>
  <c r="D41" i="1"/>
  <c r="E41" i="1"/>
  <c r="F41" i="1"/>
  <c r="G41" i="1"/>
  <c r="H41" i="1"/>
  <c r="I41" i="1"/>
  <c r="A42" i="1"/>
  <c r="B42" i="1"/>
  <c r="C42" i="1"/>
  <c r="D42" i="1"/>
  <c r="E42" i="1"/>
  <c r="F42" i="1"/>
  <c r="G42" i="1"/>
  <c r="H42" i="1"/>
  <c r="I42" i="1"/>
  <c r="A43" i="1"/>
  <c r="B43" i="1"/>
  <c r="C43" i="1"/>
  <c r="D43" i="1"/>
  <c r="E43" i="1"/>
  <c r="F43" i="1"/>
  <c r="G43" i="1"/>
  <c r="H43" i="1"/>
  <c r="I43" i="1"/>
  <c r="A44" i="1"/>
  <c r="B44" i="1"/>
  <c r="C44" i="1"/>
  <c r="D44" i="1"/>
  <c r="E44" i="1"/>
  <c r="F44" i="1"/>
  <c r="G44" i="1"/>
  <c r="H44" i="1"/>
  <c r="I44" i="1"/>
  <c r="A45" i="1"/>
  <c r="B45" i="1"/>
  <c r="C45" i="1"/>
  <c r="D45" i="1"/>
  <c r="E45" i="1"/>
  <c r="F45" i="1"/>
  <c r="G45" i="1"/>
  <c r="H45" i="1"/>
  <c r="I45" i="1"/>
  <c r="A46" i="1"/>
  <c r="B46" i="1"/>
  <c r="C46" i="1"/>
  <c r="D46" i="1"/>
  <c r="E46" i="1"/>
  <c r="F46" i="1"/>
  <c r="G46" i="1"/>
  <c r="H46" i="1"/>
  <c r="I46" i="1"/>
  <c r="A47" i="1"/>
  <c r="B47" i="1"/>
  <c r="C47" i="1"/>
  <c r="D47" i="1"/>
  <c r="E47" i="1"/>
  <c r="F47" i="1"/>
  <c r="G47" i="1"/>
  <c r="H47" i="1"/>
  <c r="I47" i="1"/>
  <c r="A48" i="1"/>
  <c r="B48" i="1"/>
  <c r="C48" i="1"/>
  <c r="D48" i="1"/>
  <c r="E48" i="1"/>
  <c r="F48" i="1"/>
  <c r="G48" i="1"/>
  <c r="H48" i="1"/>
  <c r="I48" i="1"/>
  <c r="A49" i="1"/>
  <c r="B49" i="1"/>
  <c r="C49" i="1"/>
  <c r="D49" i="1"/>
  <c r="E49" i="1"/>
  <c r="F49" i="1"/>
  <c r="G49" i="1"/>
  <c r="H49" i="1"/>
  <c r="I49" i="1"/>
  <c r="A50" i="1"/>
  <c r="B50" i="1"/>
  <c r="C50" i="1"/>
  <c r="D50" i="1"/>
  <c r="E50" i="1"/>
  <c r="F50" i="1"/>
  <c r="G50" i="1"/>
  <c r="H50" i="1"/>
  <c r="I50" i="1"/>
  <c r="A51" i="1"/>
  <c r="B51" i="1"/>
  <c r="C51" i="1"/>
  <c r="D51" i="1"/>
  <c r="E51" i="1"/>
  <c r="F51" i="1"/>
  <c r="G51" i="1"/>
  <c r="H51" i="1"/>
  <c r="I51" i="1"/>
  <c r="A52" i="1"/>
  <c r="B52" i="1"/>
  <c r="C52" i="1"/>
  <c r="D52" i="1"/>
  <c r="E52" i="1"/>
  <c r="F52" i="1"/>
  <c r="G52" i="1"/>
  <c r="H52" i="1"/>
  <c r="I52" i="1"/>
  <c r="A53" i="1"/>
  <c r="B53" i="1"/>
  <c r="C53" i="1"/>
  <c r="D53" i="1"/>
  <c r="E53" i="1"/>
  <c r="F53" i="1"/>
  <c r="G53" i="1"/>
  <c r="H53" i="1"/>
  <c r="I53" i="1"/>
  <c r="A54" i="1"/>
  <c r="B54" i="1"/>
  <c r="C54" i="1"/>
  <c r="D54" i="1"/>
  <c r="E54" i="1"/>
  <c r="F54" i="1"/>
  <c r="G54" i="1"/>
  <c r="H54" i="1"/>
  <c r="I54" i="1"/>
  <c r="A55" i="1"/>
  <c r="B55" i="1"/>
  <c r="C55" i="1"/>
  <c r="D55" i="1"/>
  <c r="E55" i="1"/>
  <c r="F55" i="1"/>
  <c r="G55" i="1"/>
  <c r="H55" i="1"/>
  <c r="I55" i="1"/>
  <c r="A56" i="1"/>
  <c r="B56" i="1"/>
  <c r="C56" i="1"/>
  <c r="D56" i="1"/>
  <c r="E56" i="1"/>
  <c r="F56" i="1"/>
  <c r="G56" i="1"/>
  <c r="H56" i="1"/>
  <c r="I56" i="1"/>
  <c r="A57" i="1"/>
  <c r="B57" i="1"/>
  <c r="C57" i="1"/>
  <c r="D57" i="1"/>
  <c r="E57" i="1"/>
  <c r="F57" i="1"/>
  <c r="G57" i="1"/>
  <c r="H57" i="1"/>
  <c r="I57" i="1"/>
  <c r="A58" i="1"/>
  <c r="B58" i="1"/>
  <c r="C58" i="1"/>
  <c r="D58" i="1"/>
  <c r="E58" i="1"/>
  <c r="F58" i="1"/>
  <c r="G58" i="1"/>
  <c r="H58" i="1"/>
  <c r="I58" i="1"/>
  <c r="A59" i="1"/>
  <c r="B59" i="1"/>
  <c r="C59" i="1"/>
  <c r="D59" i="1"/>
  <c r="E59" i="1"/>
  <c r="F59" i="1"/>
  <c r="G59" i="1"/>
  <c r="H59" i="1"/>
  <c r="I59" i="1"/>
  <c r="A60" i="1"/>
  <c r="B60" i="1"/>
  <c r="C60" i="1"/>
  <c r="D60" i="1"/>
  <c r="E60" i="1"/>
  <c r="F60" i="1"/>
  <c r="G60" i="1"/>
  <c r="H60" i="1"/>
  <c r="I60" i="1"/>
  <c r="A61" i="1"/>
  <c r="B61" i="1"/>
  <c r="C61" i="1"/>
  <c r="D61" i="1"/>
  <c r="E61" i="1"/>
  <c r="F61" i="1"/>
  <c r="G61" i="1"/>
  <c r="H61" i="1"/>
  <c r="I61" i="1"/>
  <c r="A62" i="1"/>
  <c r="B62" i="1"/>
  <c r="C62" i="1"/>
  <c r="D62" i="1"/>
  <c r="E62" i="1"/>
  <c r="F62" i="1"/>
  <c r="G62" i="1"/>
  <c r="H62" i="1"/>
  <c r="I62" i="1"/>
  <c r="A63" i="1"/>
  <c r="B63" i="1"/>
  <c r="C63" i="1"/>
  <c r="D63" i="1"/>
  <c r="E63" i="1"/>
  <c r="F63" i="1"/>
  <c r="G63" i="1"/>
  <c r="H63" i="1"/>
  <c r="I63" i="1"/>
  <c r="A64" i="1"/>
  <c r="B64" i="1"/>
  <c r="C64" i="1"/>
  <c r="D64" i="1"/>
  <c r="E64" i="1"/>
  <c r="F64" i="1"/>
  <c r="G64" i="1"/>
  <c r="H64" i="1"/>
  <c r="I64" i="1"/>
  <c r="A65" i="1"/>
  <c r="B65" i="1"/>
  <c r="C65" i="1"/>
  <c r="D65" i="1"/>
  <c r="E65" i="1"/>
  <c r="F65" i="1"/>
  <c r="G65" i="1"/>
  <c r="H65" i="1"/>
  <c r="I65" i="1"/>
  <c r="A66" i="1"/>
  <c r="B66" i="1"/>
  <c r="C66" i="1"/>
  <c r="D66" i="1"/>
  <c r="E66" i="1"/>
  <c r="F66" i="1"/>
  <c r="G66" i="1"/>
  <c r="H66" i="1"/>
  <c r="I66" i="1"/>
  <c r="A67" i="1"/>
  <c r="B67" i="1"/>
  <c r="C67" i="1"/>
  <c r="D67" i="1"/>
  <c r="E67" i="1"/>
  <c r="F67" i="1"/>
  <c r="G67" i="1"/>
  <c r="H67" i="1"/>
  <c r="I67" i="1"/>
  <c r="A68" i="1"/>
  <c r="B68" i="1"/>
  <c r="C68" i="1"/>
  <c r="D68" i="1"/>
  <c r="E68" i="1"/>
  <c r="F68" i="1"/>
  <c r="G68" i="1"/>
  <c r="H68" i="1"/>
  <c r="I68" i="1"/>
  <c r="A69" i="1"/>
  <c r="B69" i="1"/>
  <c r="C69" i="1"/>
  <c r="D69" i="1"/>
  <c r="E69" i="1"/>
  <c r="F69" i="1"/>
  <c r="G69" i="1"/>
  <c r="H69" i="1"/>
  <c r="I69" i="1"/>
  <c r="A70" i="1"/>
  <c r="B70" i="1"/>
  <c r="C70" i="1"/>
  <c r="D70" i="1"/>
  <c r="E70" i="1"/>
  <c r="F70" i="1"/>
  <c r="G70" i="1"/>
  <c r="H70" i="1"/>
  <c r="I70" i="1"/>
  <c r="A71" i="1"/>
  <c r="B71" i="1"/>
  <c r="C71" i="1"/>
  <c r="D71" i="1"/>
  <c r="E71" i="1"/>
  <c r="F71" i="1"/>
  <c r="G71" i="1"/>
  <c r="H71" i="1"/>
  <c r="I71" i="1"/>
  <c r="A72" i="1"/>
  <c r="B72" i="1"/>
  <c r="C72" i="1"/>
  <c r="D72" i="1"/>
  <c r="E72" i="1"/>
  <c r="F72" i="1"/>
  <c r="G72" i="1"/>
  <c r="H72" i="1"/>
  <c r="I72" i="1"/>
  <c r="A73" i="1"/>
  <c r="B73" i="1"/>
  <c r="C73" i="1"/>
  <c r="D73" i="1"/>
  <c r="E73" i="1"/>
  <c r="F73" i="1"/>
  <c r="G73" i="1"/>
  <c r="H73" i="1"/>
  <c r="I73" i="1"/>
  <c r="A74" i="1"/>
  <c r="B74" i="1"/>
  <c r="C74" i="1"/>
  <c r="D74" i="1"/>
  <c r="E74" i="1"/>
  <c r="F74" i="1"/>
  <c r="G74" i="1"/>
  <c r="H74" i="1"/>
  <c r="I74" i="1"/>
  <c r="A75" i="1"/>
  <c r="B75" i="1"/>
  <c r="C75" i="1"/>
  <c r="D75" i="1"/>
  <c r="E75" i="1"/>
  <c r="F75" i="1"/>
  <c r="G75" i="1"/>
  <c r="H75" i="1"/>
  <c r="I75" i="1"/>
  <c r="A76" i="1"/>
  <c r="B76" i="1"/>
  <c r="C76" i="1"/>
  <c r="D76" i="1"/>
  <c r="E76" i="1"/>
  <c r="F76" i="1"/>
  <c r="G76" i="1"/>
  <c r="H76" i="1"/>
  <c r="I76" i="1"/>
  <c r="A77" i="1"/>
  <c r="B77" i="1"/>
  <c r="C77" i="1"/>
  <c r="D77" i="1"/>
  <c r="E77" i="1"/>
  <c r="F77" i="1"/>
  <c r="G77" i="1"/>
  <c r="H77" i="1"/>
  <c r="I77" i="1"/>
  <c r="A78" i="1"/>
  <c r="B78" i="1"/>
  <c r="C78" i="1"/>
  <c r="D78" i="1"/>
  <c r="E78" i="1"/>
  <c r="F78" i="1"/>
  <c r="G78" i="1"/>
  <c r="H78" i="1"/>
  <c r="I78" i="1"/>
  <c r="A79" i="1"/>
  <c r="B79" i="1"/>
  <c r="C79" i="1"/>
  <c r="D79" i="1"/>
  <c r="E79" i="1"/>
  <c r="F79" i="1"/>
  <c r="G79" i="1"/>
  <c r="H79" i="1"/>
  <c r="I79" i="1"/>
  <c r="A80" i="1"/>
  <c r="B80" i="1"/>
  <c r="C80" i="1"/>
  <c r="D80" i="1"/>
  <c r="E80" i="1"/>
  <c r="F80" i="1"/>
  <c r="G80" i="1"/>
  <c r="H80" i="1"/>
  <c r="I80" i="1"/>
  <c r="A81" i="1"/>
  <c r="B81" i="1"/>
  <c r="C81" i="1"/>
  <c r="D81" i="1"/>
  <c r="E81" i="1"/>
  <c r="F81" i="1"/>
  <c r="G81" i="1"/>
  <c r="H81" i="1"/>
  <c r="I81" i="1"/>
  <c r="A82" i="1"/>
  <c r="B82" i="1"/>
  <c r="C82" i="1"/>
  <c r="D82" i="1"/>
  <c r="E82" i="1"/>
  <c r="F82" i="1"/>
  <c r="G82" i="1"/>
  <c r="H82" i="1"/>
  <c r="I82" i="1"/>
  <c r="A83" i="1"/>
  <c r="B83" i="1"/>
  <c r="C83" i="1"/>
  <c r="D83" i="1"/>
  <c r="E83" i="1"/>
  <c r="F83" i="1"/>
  <c r="G83" i="1"/>
  <c r="H83" i="1"/>
  <c r="I83" i="1"/>
  <c r="A84" i="1"/>
  <c r="B84" i="1"/>
  <c r="C84" i="1"/>
  <c r="D84" i="1"/>
  <c r="E84" i="1"/>
  <c r="F84" i="1"/>
  <c r="G84" i="1"/>
  <c r="H84" i="1"/>
  <c r="I84" i="1"/>
  <c r="A85" i="1"/>
  <c r="B85" i="1"/>
  <c r="C85" i="1"/>
  <c r="D85" i="1"/>
  <c r="E85" i="1"/>
  <c r="F85" i="1"/>
  <c r="G85" i="1"/>
  <c r="H85" i="1"/>
  <c r="I85" i="1"/>
  <c r="A86" i="1"/>
  <c r="B86" i="1"/>
  <c r="C86" i="1"/>
  <c r="D86" i="1"/>
  <c r="E86" i="1"/>
  <c r="F86" i="1"/>
  <c r="G86" i="1"/>
  <c r="H86" i="1"/>
  <c r="I86" i="1"/>
  <c r="A87" i="1"/>
  <c r="B87" i="1"/>
  <c r="C87" i="1"/>
  <c r="D87" i="1"/>
  <c r="E87" i="1"/>
  <c r="F87" i="1"/>
  <c r="G87" i="1"/>
  <c r="H87" i="1"/>
  <c r="I87" i="1"/>
  <c r="A88" i="1"/>
  <c r="B88" i="1"/>
  <c r="C88" i="1"/>
  <c r="D88" i="1"/>
  <c r="E88" i="1"/>
  <c r="F88" i="1"/>
  <c r="G88" i="1"/>
  <c r="H88" i="1"/>
  <c r="I88" i="1"/>
  <c r="A89" i="1"/>
  <c r="B89" i="1"/>
  <c r="C89" i="1"/>
  <c r="D89" i="1"/>
  <c r="E89" i="1"/>
  <c r="F89" i="1"/>
  <c r="G89" i="1"/>
  <c r="H89" i="1"/>
  <c r="I89" i="1"/>
  <c r="A90" i="1"/>
  <c r="B90" i="1"/>
  <c r="C90" i="1"/>
  <c r="D90" i="1"/>
  <c r="E90" i="1"/>
  <c r="F90" i="1"/>
  <c r="G90" i="1"/>
  <c r="H90" i="1"/>
  <c r="I90" i="1"/>
  <c r="A91" i="1"/>
  <c r="B91" i="1"/>
  <c r="C91" i="1"/>
  <c r="D91" i="1"/>
  <c r="E91" i="1"/>
  <c r="F91" i="1"/>
  <c r="G91" i="1"/>
  <c r="H91" i="1"/>
  <c r="I91" i="1"/>
  <c r="A92" i="1"/>
  <c r="B92" i="1"/>
  <c r="C92" i="1"/>
  <c r="D92" i="1"/>
  <c r="E92" i="1"/>
  <c r="F92" i="1"/>
  <c r="G92" i="1"/>
  <c r="H92" i="1"/>
  <c r="I92" i="1"/>
  <c r="A93" i="1"/>
  <c r="B93" i="1"/>
  <c r="C93" i="1"/>
  <c r="D93" i="1"/>
  <c r="E93" i="1"/>
  <c r="F93" i="1"/>
  <c r="G93" i="1"/>
  <c r="H93" i="1"/>
  <c r="I93" i="1"/>
  <c r="A94" i="1"/>
  <c r="B94" i="1"/>
  <c r="C94" i="1"/>
  <c r="D94" i="1"/>
  <c r="E94" i="1"/>
  <c r="F94" i="1"/>
  <c r="G94" i="1"/>
  <c r="H94" i="1"/>
  <c r="I94" i="1"/>
  <c r="A95" i="1"/>
  <c r="B95" i="1"/>
  <c r="C95" i="1"/>
  <c r="D95" i="1"/>
  <c r="E95" i="1"/>
  <c r="F95" i="1"/>
  <c r="F95" i="2" s="1"/>
  <c r="G95" i="1"/>
  <c r="G95" i="2" s="1"/>
  <c r="H95" i="1"/>
  <c r="H95" i="2" s="1"/>
  <c r="I95" i="1"/>
  <c r="I95" i="2" s="1"/>
  <c r="A96" i="1"/>
  <c r="B96" i="1"/>
  <c r="C96" i="1"/>
  <c r="D96" i="1"/>
  <c r="E96" i="1"/>
  <c r="F96" i="1"/>
  <c r="G96" i="1"/>
  <c r="H96" i="1"/>
  <c r="I96" i="1"/>
  <c r="A97" i="1"/>
  <c r="B97" i="1"/>
  <c r="C97" i="1"/>
  <c r="D97" i="1"/>
  <c r="E97" i="1"/>
  <c r="F97" i="1"/>
  <c r="G97" i="1"/>
  <c r="H97" i="1"/>
  <c r="I97" i="1"/>
  <c r="A98" i="1"/>
  <c r="B98" i="1"/>
  <c r="C98" i="1"/>
  <c r="D98" i="1"/>
  <c r="E98" i="1"/>
  <c r="F98" i="1"/>
  <c r="G98" i="1"/>
  <c r="H98" i="1"/>
  <c r="I98" i="1"/>
  <c r="A99" i="1"/>
  <c r="B99" i="1"/>
  <c r="C99" i="1"/>
  <c r="D99" i="1"/>
  <c r="E99" i="1"/>
  <c r="F99" i="1"/>
  <c r="G99" i="1"/>
  <c r="H99" i="1"/>
  <c r="I99" i="1"/>
  <c r="A100" i="1"/>
  <c r="B100" i="1"/>
  <c r="C100" i="1"/>
  <c r="D100" i="1"/>
  <c r="E100" i="1"/>
  <c r="F100" i="1"/>
  <c r="G100" i="1"/>
  <c r="H100" i="1"/>
  <c r="I100" i="1"/>
  <c r="A101" i="1"/>
  <c r="B101" i="1"/>
  <c r="C101" i="1"/>
  <c r="D101" i="1"/>
  <c r="E101" i="1"/>
  <c r="F101" i="1"/>
  <c r="G101" i="1"/>
  <c r="H101" i="1"/>
  <c r="I101" i="1"/>
  <c r="A102" i="1"/>
  <c r="B102" i="1"/>
  <c r="C102" i="1"/>
  <c r="D102" i="1"/>
  <c r="E102" i="1"/>
  <c r="F102" i="1"/>
  <c r="G102" i="1"/>
  <c r="H102" i="1"/>
  <c r="I102" i="1"/>
  <c r="A103" i="1"/>
  <c r="B103" i="1"/>
  <c r="C103" i="1"/>
  <c r="D103" i="1"/>
  <c r="E103" i="1"/>
  <c r="F103" i="1"/>
  <c r="G103" i="1"/>
  <c r="H103" i="1"/>
  <c r="I103" i="1"/>
  <c r="A104" i="1"/>
  <c r="B104" i="1"/>
  <c r="C104" i="1"/>
  <c r="D104" i="1"/>
  <c r="E104" i="1"/>
  <c r="F104" i="1"/>
  <c r="G104" i="1"/>
  <c r="H104" i="1"/>
  <c r="I104" i="1"/>
  <c r="A105" i="1"/>
  <c r="B105" i="1"/>
  <c r="C105" i="1"/>
  <c r="D105" i="1"/>
  <c r="E105" i="1"/>
  <c r="F105" i="1"/>
  <c r="G105" i="1"/>
  <c r="H105" i="1"/>
  <c r="I105" i="1"/>
  <c r="A106" i="1"/>
  <c r="B106" i="1"/>
  <c r="C106" i="1"/>
  <c r="D106" i="1"/>
  <c r="E106" i="1"/>
  <c r="F106" i="1"/>
  <c r="G106" i="1"/>
  <c r="H106" i="1"/>
  <c r="I106" i="1"/>
  <c r="A107" i="1"/>
  <c r="B107" i="1"/>
  <c r="C107" i="1"/>
  <c r="D107" i="1"/>
  <c r="E107" i="1"/>
  <c r="F107" i="1"/>
  <c r="G107" i="1"/>
  <c r="H107" i="1"/>
  <c r="I107" i="1"/>
  <c r="A108" i="1"/>
  <c r="B108" i="1"/>
  <c r="C108" i="1"/>
  <c r="D108" i="1"/>
  <c r="E108" i="1"/>
  <c r="F108" i="1"/>
  <c r="G108" i="1"/>
  <c r="H108" i="1"/>
  <c r="I108" i="1"/>
  <c r="A109" i="1"/>
  <c r="B109" i="1"/>
  <c r="C109" i="1"/>
  <c r="D109" i="1"/>
  <c r="E109" i="1"/>
  <c r="F109" i="1"/>
  <c r="G109" i="1"/>
  <c r="H109" i="1"/>
  <c r="I109" i="1"/>
  <c r="A110" i="1"/>
  <c r="B110" i="1"/>
  <c r="C110" i="1"/>
  <c r="D110" i="1"/>
  <c r="E110" i="1"/>
  <c r="F110" i="1"/>
  <c r="G110" i="1"/>
  <c r="H110" i="1"/>
  <c r="I110" i="1"/>
  <c r="A111" i="1"/>
  <c r="B111" i="1"/>
  <c r="C111" i="1"/>
  <c r="D111" i="1"/>
  <c r="E111" i="1"/>
  <c r="F111" i="1"/>
  <c r="G111" i="1"/>
  <c r="H111" i="1"/>
  <c r="I111" i="1"/>
  <c r="A112" i="1"/>
  <c r="B112" i="1"/>
  <c r="C112" i="1"/>
  <c r="D112" i="1"/>
  <c r="E112" i="1"/>
  <c r="F112" i="1"/>
  <c r="G112" i="1"/>
  <c r="H112" i="1"/>
  <c r="I112" i="1"/>
  <c r="A113" i="1"/>
  <c r="B113" i="1"/>
  <c r="C113" i="1"/>
  <c r="D113" i="1"/>
  <c r="E113" i="1"/>
  <c r="F113" i="1"/>
  <c r="G113" i="1"/>
  <c r="H113" i="1"/>
  <c r="I113" i="1"/>
  <c r="A114" i="1"/>
  <c r="B114" i="1"/>
  <c r="C114" i="1"/>
  <c r="D114" i="1"/>
  <c r="E114" i="1"/>
  <c r="F114" i="1"/>
  <c r="G114" i="1"/>
  <c r="H114" i="1"/>
  <c r="I114" i="1"/>
  <c r="A115" i="1"/>
  <c r="B115" i="1"/>
  <c r="C115" i="1"/>
  <c r="D115" i="1"/>
  <c r="E115" i="1"/>
  <c r="F115" i="1"/>
  <c r="G115" i="1"/>
  <c r="H115" i="1"/>
  <c r="I115" i="1"/>
  <c r="A116" i="1"/>
  <c r="B116" i="1"/>
  <c r="C116" i="1"/>
  <c r="D116" i="1"/>
  <c r="E116" i="1"/>
  <c r="F116" i="1"/>
  <c r="G116" i="1"/>
  <c r="H116" i="1"/>
  <c r="I116" i="1"/>
  <c r="A117" i="1"/>
  <c r="B117" i="1"/>
  <c r="C117" i="1"/>
  <c r="D117" i="1"/>
  <c r="E117" i="1"/>
  <c r="F117" i="1"/>
  <c r="G117" i="1"/>
  <c r="H117" i="1"/>
  <c r="I117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AD74" i="4" l="1"/>
  <c r="AV70" i="4" l="1" a="1"/>
  <c r="AV70" i="4" s="1"/>
  <c r="AV71" i="4" a="1"/>
  <c r="AV71" i="4" s="1"/>
  <c r="AV72" i="4" a="1"/>
  <c r="AV72" i="4" s="1"/>
  <c r="AV73" i="4" a="1"/>
  <c r="AV73" i="4" s="1"/>
  <c r="AV74" i="4" a="1"/>
  <c r="AV74" i="4" s="1"/>
  <c r="AV75" i="4" a="1"/>
  <c r="AV75" i="4" s="1"/>
  <c r="AV76" i="4" a="1"/>
  <c r="AV76" i="4" s="1"/>
  <c r="AV77" i="4" a="1"/>
  <c r="AV77" i="4" s="1"/>
  <c r="AV78" i="4" a="1"/>
  <c r="AV78" i="4" s="1"/>
  <c r="AV79" i="4" a="1"/>
  <c r="AV79" i="4" s="1"/>
  <c r="P48" i="2" l="1"/>
  <c r="W48" i="2"/>
  <c r="P49" i="2"/>
  <c r="W49" i="2"/>
  <c r="P50" i="2"/>
  <c r="W50" i="2"/>
  <c r="P51" i="2"/>
  <c r="W51" i="2"/>
  <c r="P52" i="2"/>
  <c r="W52" i="2"/>
  <c r="P53" i="2"/>
  <c r="W53" i="2"/>
  <c r="P54" i="2"/>
  <c r="W54" i="2"/>
  <c r="P55" i="2"/>
  <c r="W55" i="2"/>
  <c r="P56" i="2"/>
  <c r="W56" i="2"/>
  <c r="P57" i="2"/>
  <c r="W57" i="2"/>
  <c r="P58" i="2"/>
  <c r="W58" i="2"/>
  <c r="P59" i="2"/>
  <c r="W59" i="2"/>
  <c r="P60" i="2"/>
  <c r="W60" i="2"/>
  <c r="P61" i="2"/>
  <c r="W61" i="2"/>
  <c r="P62" i="2"/>
  <c r="W62" i="2"/>
  <c r="P63" i="2"/>
  <c r="W63" i="2"/>
  <c r="P64" i="2"/>
  <c r="W64" i="2"/>
  <c r="P65" i="2"/>
  <c r="W65" i="2"/>
  <c r="P66" i="2"/>
  <c r="W66" i="2"/>
  <c r="P67" i="2"/>
  <c r="W67" i="2"/>
  <c r="P68" i="2"/>
  <c r="W68" i="2"/>
  <c r="P69" i="2"/>
  <c r="W69" i="2"/>
  <c r="P70" i="2"/>
  <c r="W70" i="2"/>
  <c r="P71" i="2"/>
  <c r="W71" i="2"/>
  <c r="P72" i="2"/>
  <c r="W72" i="2"/>
  <c r="P73" i="2"/>
  <c r="W73" i="2"/>
  <c r="P74" i="2"/>
  <c r="W74" i="2"/>
  <c r="P75" i="2"/>
  <c r="W75" i="2"/>
  <c r="P76" i="2"/>
  <c r="W76" i="2"/>
  <c r="P77" i="2"/>
  <c r="W77" i="2"/>
  <c r="P78" i="2"/>
  <c r="W78" i="2"/>
  <c r="P79" i="2"/>
  <c r="W79" i="2"/>
  <c r="P80" i="2"/>
  <c r="W80" i="2"/>
  <c r="P81" i="2"/>
  <c r="W81" i="2"/>
  <c r="P82" i="2"/>
  <c r="W82" i="2"/>
  <c r="P83" i="2"/>
  <c r="W83" i="2"/>
  <c r="P84" i="2"/>
  <c r="W84" i="2"/>
  <c r="P85" i="2"/>
  <c r="W85" i="2"/>
  <c r="P86" i="2"/>
  <c r="W86" i="2"/>
  <c r="P87" i="2"/>
  <c r="W87" i="2"/>
  <c r="P88" i="2"/>
  <c r="W88" i="2"/>
  <c r="P89" i="2"/>
  <c r="W89" i="2"/>
  <c r="P90" i="2"/>
  <c r="W90" i="2"/>
  <c r="P91" i="2"/>
  <c r="W91" i="2"/>
  <c r="P92" i="2"/>
  <c r="W92" i="2"/>
  <c r="P93" i="2"/>
  <c r="W93" i="2"/>
  <c r="P94" i="2"/>
  <c r="W94" i="2"/>
  <c r="P95" i="2"/>
  <c r="W95" i="2"/>
  <c r="P96" i="2"/>
  <c r="W96" i="2"/>
  <c r="P97" i="2"/>
  <c r="W97" i="2"/>
  <c r="P98" i="2"/>
  <c r="W98" i="2"/>
  <c r="P99" i="2"/>
  <c r="W99" i="2"/>
  <c r="P100" i="2"/>
  <c r="W100" i="2"/>
  <c r="P101" i="2"/>
  <c r="W101" i="2"/>
  <c r="P102" i="2"/>
  <c r="W102" i="2"/>
  <c r="P103" i="2"/>
  <c r="W103" i="2"/>
  <c r="P104" i="2"/>
  <c r="W104" i="2"/>
  <c r="P105" i="2"/>
  <c r="W105" i="2"/>
  <c r="P106" i="2"/>
  <c r="W106" i="2"/>
  <c r="P107" i="2"/>
  <c r="W107" i="2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B3" i="1" l="1"/>
  <c r="C3" i="1"/>
  <c r="D3" i="1"/>
  <c r="E3" i="1"/>
  <c r="F3" i="1"/>
  <c r="G3" i="1"/>
  <c r="H3" i="1"/>
  <c r="I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G18" i="6"/>
  <c r="I18" i="6"/>
  <c r="Q18" i="1"/>
  <c r="G19" i="6"/>
  <c r="I19" i="6"/>
  <c r="Q19" i="1"/>
  <c r="Q20" i="1"/>
  <c r="Q21" i="1"/>
  <c r="Q22" i="1"/>
  <c r="Q23" i="1"/>
  <c r="Q24" i="1"/>
  <c r="Q25" i="1"/>
  <c r="Q26" i="1"/>
  <c r="Q27" i="1"/>
  <c r="Q28" i="1"/>
  <c r="F29" i="8"/>
  <c r="G29" i="8"/>
  <c r="Q29" i="1"/>
  <c r="Q30" i="1"/>
  <c r="Q31" i="1"/>
  <c r="Q32" i="1"/>
  <c r="Q33" i="1"/>
  <c r="G34" i="8"/>
  <c r="I34" i="8"/>
  <c r="Q34" i="1"/>
  <c r="Q35" i="1"/>
  <c r="Q36" i="1"/>
  <c r="Q37" i="1"/>
  <c r="Q38" i="1"/>
  <c r="E39" i="6"/>
  <c r="Q39" i="1"/>
  <c r="Q40" i="1"/>
  <c r="Q41" i="1"/>
  <c r="Q42" i="1"/>
  <c r="Q43" i="1"/>
  <c r="Q44" i="1"/>
  <c r="Q45" i="1"/>
  <c r="Q46" i="1"/>
  <c r="Q47" i="1"/>
  <c r="A3" i="1"/>
  <c r="U8" i="9" a="1"/>
  <c r="U8" i="9" s="1"/>
  <c r="U9" i="9" a="1"/>
  <c r="U9" i="9" s="1"/>
  <c r="U10" i="9" a="1"/>
  <c r="U10" i="9"/>
  <c r="U11" i="9" a="1"/>
  <c r="U11" i="9" s="1"/>
  <c r="U12" i="9" a="1"/>
  <c r="U12" i="9" s="1"/>
  <c r="U13" i="9" a="1"/>
  <c r="U13" i="9" s="1"/>
  <c r="U14" i="9" a="1"/>
  <c r="U14" i="9"/>
  <c r="U15" i="9" a="1"/>
  <c r="U15" i="9" s="1"/>
  <c r="U16" i="9" a="1"/>
  <c r="U16" i="9" s="1"/>
  <c r="U17" i="9" a="1"/>
  <c r="U17" i="9" s="1"/>
  <c r="U18" i="9" a="1"/>
  <c r="U18" i="9"/>
  <c r="U19" i="9" a="1"/>
  <c r="U19" i="9" s="1"/>
  <c r="U20" i="9" a="1"/>
  <c r="U20" i="9" s="1"/>
  <c r="U21" i="9" a="1"/>
  <c r="U21" i="9" s="1"/>
  <c r="U22" i="9" a="1"/>
  <c r="U22" i="9"/>
  <c r="U23" i="9" a="1"/>
  <c r="U23" i="9" s="1"/>
  <c r="U24" i="9" a="1"/>
  <c r="U24" i="9" s="1"/>
  <c r="U25" i="9" a="1"/>
  <c r="U25" i="9" s="1"/>
  <c r="U26" i="9" a="1"/>
  <c r="U26" i="9"/>
  <c r="U27" i="9" a="1"/>
  <c r="U27" i="9" s="1"/>
  <c r="U28" i="9" a="1"/>
  <c r="U28" i="9" s="1"/>
  <c r="U29" i="9" a="1"/>
  <c r="U29" i="9" s="1"/>
  <c r="U30" i="9" a="1"/>
  <c r="U30" i="9"/>
  <c r="U31" i="9" a="1"/>
  <c r="U31" i="9" s="1"/>
  <c r="U32" i="9" a="1"/>
  <c r="U32" i="9" s="1"/>
  <c r="U33" i="9" a="1"/>
  <c r="U33" i="9" s="1"/>
  <c r="U34" i="9" a="1"/>
  <c r="U34" i="9"/>
  <c r="U35" i="9" a="1"/>
  <c r="U35" i="9" s="1"/>
  <c r="U36" i="9" a="1"/>
  <c r="U36" i="9" s="1"/>
  <c r="U37" i="9" a="1"/>
  <c r="U37" i="9" s="1"/>
  <c r="U38" i="9" a="1"/>
  <c r="U38" i="9"/>
  <c r="U39" i="9" a="1"/>
  <c r="U39" i="9" s="1"/>
  <c r="AF4" i="5" a="1"/>
  <c r="AF4" i="5" s="1"/>
  <c r="AF5" i="5" a="1"/>
  <c r="AF5" i="5" s="1"/>
  <c r="AF6" i="5" a="1"/>
  <c r="AF6" i="5" s="1"/>
  <c r="AF7" i="5" a="1"/>
  <c r="AF7" i="5" s="1"/>
  <c r="AF8" i="5" a="1"/>
  <c r="AF8" i="5" s="1"/>
  <c r="AF9" i="5" a="1"/>
  <c r="AF9" i="5" s="1"/>
  <c r="AF10" i="5" a="1"/>
  <c r="AF10" i="5" s="1"/>
  <c r="AF11" i="5" a="1"/>
  <c r="AF11" i="5" s="1"/>
  <c r="AF12" i="5" a="1"/>
  <c r="AF12" i="5" s="1"/>
  <c r="AF13" i="5" a="1"/>
  <c r="AF13" i="5" s="1"/>
  <c r="AF14" i="5" a="1"/>
  <c r="AF14" i="5" s="1"/>
  <c r="AF15" i="5" a="1"/>
  <c r="AF15" i="5" s="1"/>
  <c r="AF16" i="5" a="1"/>
  <c r="AF16" i="5" s="1"/>
  <c r="AF17" i="5" a="1"/>
  <c r="AF17" i="5" s="1"/>
  <c r="AF18" i="5" a="1"/>
  <c r="AF18" i="5" s="1"/>
  <c r="AF19" i="5" a="1"/>
  <c r="AF19" i="5" s="1"/>
  <c r="AF20" i="5" a="1"/>
  <c r="AF20" i="5" s="1"/>
  <c r="AF21" i="5" a="1"/>
  <c r="AF21" i="5" s="1"/>
  <c r="AF22" i="5" a="1"/>
  <c r="AF22" i="5" s="1"/>
  <c r="AF23" i="5" a="1"/>
  <c r="AF23" i="5" s="1"/>
  <c r="AF24" i="5" a="1"/>
  <c r="AF24" i="5" s="1"/>
  <c r="AF25" i="5" a="1"/>
  <c r="AF25" i="5" s="1"/>
  <c r="AF26" i="5" a="1"/>
  <c r="AF26" i="5" s="1"/>
  <c r="AF27" i="5" a="1"/>
  <c r="AF27" i="5" s="1"/>
  <c r="AF28" i="5" a="1"/>
  <c r="AF28" i="5" s="1"/>
  <c r="AF29" i="5" a="1"/>
  <c r="AF29" i="5" s="1"/>
  <c r="AF30" i="5" a="1"/>
  <c r="AF30" i="5" s="1"/>
  <c r="AF31" i="5" a="1"/>
  <c r="AF31" i="5" s="1"/>
  <c r="AF32" i="5" a="1"/>
  <c r="AF32" i="5" s="1"/>
  <c r="AF33" i="5" a="1"/>
  <c r="AF33" i="5" s="1"/>
  <c r="AF34" i="5" a="1"/>
  <c r="AF34" i="5" s="1"/>
  <c r="AF35" i="5" a="1"/>
  <c r="AF35" i="5" s="1"/>
  <c r="AF36" i="5" a="1"/>
  <c r="AF36" i="5" s="1"/>
  <c r="AF37" i="5" a="1"/>
  <c r="AF37" i="5" s="1"/>
  <c r="AF38" i="5" a="1"/>
  <c r="AF38" i="5" s="1"/>
  <c r="AF39" i="5" a="1"/>
  <c r="AF39" i="5" s="1"/>
  <c r="AF40" i="5" a="1"/>
  <c r="AF40" i="5" s="1"/>
  <c r="AF41" i="5" a="1"/>
  <c r="AF41" i="5" s="1"/>
  <c r="AF42" i="5" a="1"/>
  <c r="AF42" i="5" s="1"/>
  <c r="AF43" i="5" a="1"/>
  <c r="AF43" i="5" s="1"/>
  <c r="AF44" i="5" a="1"/>
  <c r="AF44" i="5" s="1"/>
  <c r="AF45" i="5" a="1"/>
  <c r="AF45" i="5" s="1"/>
  <c r="AF46" i="5" a="1"/>
  <c r="AF46" i="5" s="1"/>
  <c r="AF47" i="5" a="1"/>
  <c r="AF47" i="5" s="1"/>
  <c r="AF48" i="5" a="1"/>
  <c r="AF48" i="5" s="1"/>
  <c r="AF49" i="5" a="1"/>
  <c r="AF49" i="5" s="1"/>
  <c r="AF50" i="5" a="1"/>
  <c r="AF50" i="5" s="1"/>
  <c r="AF51" i="5" a="1"/>
  <c r="AF51" i="5"/>
  <c r="AF52" i="5" a="1"/>
  <c r="AF52" i="5" s="1"/>
  <c r="AF53" i="5" a="1"/>
  <c r="AF53" i="5" s="1"/>
  <c r="AF54" i="5" a="1"/>
  <c r="AF54" i="5" s="1"/>
  <c r="AF55" i="5" a="1"/>
  <c r="AF55" i="5" s="1"/>
  <c r="AF56" i="5" a="1"/>
  <c r="AF56" i="5" s="1"/>
  <c r="AF57" i="5" a="1"/>
  <c r="AF57" i="5" s="1"/>
  <c r="AF58" i="5" a="1"/>
  <c r="AF58" i="5" s="1"/>
  <c r="AF59" i="5" a="1"/>
  <c r="AF59" i="5" s="1"/>
  <c r="AF60" i="5" a="1"/>
  <c r="AF60" i="5" s="1"/>
  <c r="AF61" i="5" a="1"/>
  <c r="AF61" i="5" s="1"/>
  <c r="AF62" i="5" a="1"/>
  <c r="AF62" i="5" s="1"/>
  <c r="AF63" i="5" a="1"/>
  <c r="AF63" i="5" s="1"/>
  <c r="AF64" i="5" a="1"/>
  <c r="AF64" i="5" s="1"/>
  <c r="AF65" i="5" a="1"/>
  <c r="AF65" i="5" s="1"/>
  <c r="AF66" i="5" a="1"/>
  <c r="AF66" i="5" s="1"/>
  <c r="AF67" i="5" a="1"/>
  <c r="AF67" i="5" s="1"/>
  <c r="AF68" i="5" a="1"/>
  <c r="AF68" i="5" s="1"/>
  <c r="AF69" i="5" a="1"/>
  <c r="AF69" i="5" s="1"/>
  <c r="AF70" i="5" a="1"/>
  <c r="AF70" i="5" s="1"/>
  <c r="AF71" i="5" a="1"/>
  <c r="AF71" i="5" s="1"/>
  <c r="AF72" i="5" a="1"/>
  <c r="AF72" i="5" s="1"/>
  <c r="AF73" i="5" a="1"/>
  <c r="AF73" i="5" s="1"/>
  <c r="AF74" i="5" a="1"/>
  <c r="AF74" i="5" s="1"/>
  <c r="AF75" i="5" a="1"/>
  <c r="AF75" i="5" s="1"/>
  <c r="AF76" i="5" a="1"/>
  <c r="AF76" i="5" s="1"/>
  <c r="AF77" i="5" a="1"/>
  <c r="AF77" i="5" s="1"/>
  <c r="AF78" i="5" a="1"/>
  <c r="AF78" i="5" s="1"/>
  <c r="AF79" i="5" a="1"/>
  <c r="AF79" i="5" s="1"/>
  <c r="AF80" i="5" a="1"/>
  <c r="AF80" i="5" s="1"/>
  <c r="AF81" i="5" a="1"/>
  <c r="AF81" i="5"/>
  <c r="AF82" i="5" a="1"/>
  <c r="AF82" i="5" s="1"/>
  <c r="AF83" i="5" a="1"/>
  <c r="AF83" i="5" s="1"/>
  <c r="AF84" i="5" a="1"/>
  <c r="AF84" i="5" s="1"/>
  <c r="AF85" i="5" a="1"/>
  <c r="AF85" i="5" s="1"/>
  <c r="AF86" i="5" a="1"/>
  <c r="AF86" i="5" s="1"/>
  <c r="AF87" i="5" a="1"/>
  <c r="AF87" i="5" s="1"/>
  <c r="AF88" i="5" a="1"/>
  <c r="AF88" i="5" s="1"/>
  <c r="AF89" i="5" a="1"/>
  <c r="AF89" i="5" s="1"/>
  <c r="AF90" i="5" a="1"/>
  <c r="AF90" i="5" s="1"/>
  <c r="AF91" i="5" a="1"/>
  <c r="AF91" i="5" s="1"/>
  <c r="AF92" i="5" a="1"/>
  <c r="AF92" i="5" s="1"/>
  <c r="AF94" i="5" a="1"/>
  <c r="AF94" i="5" s="1"/>
  <c r="AF95" i="5" a="1"/>
  <c r="AF95" i="5" s="1"/>
  <c r="AF96" i="5" a="1"/>
  <c r="AF96" i="5" s="1"/>
  <c r="AF97" i="5" a="1"/>
  <c r="AF97" i="5" s="1"/>
  <c r="AF98" i="5" a="1"/>
  <c r="AF98" i="5" s="1"/>
  <c r="AF99" i="5" a="1"/>
  <c r="AF99" i="5" s="1"/>
  <c r="AF100" i="5" a="1"/>
  <c r="AF100" i="5" s="1"/>
  <c r="AF101" i="5" a="1"/>
  <c r="AF101" i="5" s="1"/>
  <c r="AF102" i="5" a="1"/>
  <c r="AF102" i="5" s="1"/>
  <c r="AF103" i="5" a="1"/>
  <c r="AF103" i="5" s="1"/>
  <c r="AF104" i="5" a="1"/>
  <c r="AF104" i="5" s="1"/>
  <c r="AF105" i="5" a="1"/>
  <c r="AF105" i="5" s="1"/>
  <c r="AF106" i="5" a="1"/>
  <c r="AF106" i="5" s="1"/>
  <c r="AF107" i="5" a="1"/>
  <c r="AF107" i="5" s="1"/>
  <c r="AF108" i="5" a="1"/>
  <c r="AF108" i="5" s="1"/>
  <c r="AF109" i="5" a="1"/>
  <c r="AF109" i="5" s="1"/>
  <c r="AF110" i="5" a="1"/>
  <c r="AF110" i="5" s="1"/>
  <c r="AF111" i="5" a="1"/>
  <c r="AF111" i="5" s="1"/>
  <c r="AF112" i="5" a="1"/>
  <c r="AF112" i="5" s="1"/>
  <c r="AF113" i="5" a="1"/>
  <c r="AF113" i="5" s="1"/>
  <c r="AF114" i="5" a="1"/>
  <c r="AF114" i="5" s="1"/>
  <c r="AF115" i="5" a="1"/>
  <c r="AF115" i="5" s="1"/>
  <c r="AF116" i="5" a="1"/>
  <c r="AF116" i="5" s="1"/>
  <c r="AF117" i="5" a="1"/>
  <c r="AF117" i="5" s="1"/>
  <c r="AF118" i="5" a="1"/>
  <c r="AF118" i="5" s="1"/>
  <c r="AF119" i="5" a="1"/>
  <c r="AF119" i="5" s="1"/>
  <c r="AF120" i="5" a="1"/>
  <c r="AF120" i="5" s="1"/>
  <c r="AF121" i="5" a="1"/>
  <c r="AF121" i="5" s="1"/>
  <c r="AF122" i="5" a="1"/>
  <c r="AF122" i="5" s="1"/>
  <c r="AF123" i="5" a="1"/>
  <c r="AF123" i="5" s="1"/>
  <c r="AF124" i="5" a="1"/>
  <c r="AF124" i="5" s="1"/>
  <c r="AF125" i="5" a="1"/>
  <c r="AF125" i="5" s="1"/>
  <c r="AF126" i="5" a="1"/>
  <c r="AF126" i="5" s="1"/>
  <c r="AF127" i="5" a="1"/>
  <c r="AF127" i="5" s="1"/>
  <c r="AF128" i="5" a="1"/>
  <c r="AF128" i="5" s="1"/>
  <c r="AF129" i="5" a="1"/>
  <c r="AF129" i="5" s="1"/>
  <c r="AF130" i="5" a="1"/>
  <c r="AF130" i="5" s="1"/>
  <c r="AF131" i="5" a="1"/>
  <c r="AF131" i="5" s="1"/>
  <c r="AF132" i="5" a="1"/>
  <c r="AF132" i="5" s="1"/>
  <c r="AF133" i="5" a="1"/>
  <c r="AF133" i="5" s="1"/>
  <c r="AF134" i="5" a="1"/>
  <c r="AF134" i="5" s="1"/>
  <c r="AF135" i="5" a="1"/>
  <c r="AF135" i="5" s="1"/>
  <c r="AF136" i="5" a="1"/>
  <c r="AF136" i="5" s="1"/>
  <c r="AF137" i="5" a="1"/>
  <c r="AF137" i="5" s="1"/>
  <c r="AF138" i="5" a="1"/>
  <c r="AF138" i="5" s="1"/>
  <c r="AF139" i="5" a="1"/>
  <c r="AF139" i="5" s="1"/>
  <c r="AF140" i="5" a="1"/>
  <c r="AF140" i="5" s="1"/>
  <c r="AF141" i="5" a="1"/>
  <c r="AF141" i="5" s="1"/>
  <c r="AF142" i="5" a="1"/>
  <c r="AF142" i="5" s="1"/>
  <c r="AF143" i="5" a="1"/>
  <c r="AF143" i="5" s="1"/>
  <c r="AF144" i="5" a="1"/>
  <c r="AF144" i="5" s="1"/>
  <c r="AF145" i="5" a="1"/>
  <c r="AF145" i="5" s="1"/>
  <c r="AF146" i="5" a="1"/>
  <c r="AF146" i="5" s="1"/>
  <c r="AF147" i="5" a="1"/>
  <c r="AF147" i="5" s="1"/>
  <c r="AF148" i="5" a="1"/>
  <c r="AF148" i="5" s="1"/>
  <c r="AF149" i="5" a="1"/>
  <c r="AF149" i="5" s="1"/>
  <c r="AF150" i="5" a="1"/>
  <c r="AF150" i="5" s="1"/>
  <c r="AF151" i="5" a="1"/>
  <c r="AF151" i="5" s="1"/>
  <c r="AF152" i="5" a="1"/>
  <c r="AF152" i="5" s="1"/>
  <c r="AF153" i="5" a="1"/>
  <c r="AF153" i="5" s="1"/>
  <c r="AF154" i="5" a="1"/>
  <c r="AF154" i="5" s="1"/>
  <c r="AF155" i="5" a="1"/>
  <c r="AF155" i="5" s="1"/>
  <c r="AF156" i="5" a="1"/>
  <c r="AF156" i="5"/>
  <c r="AF157" i="5" a="1"/>
  <c r="AF157" i="5" s="1"/>
  <c r="AF158" i="5" a="1"/>
  <c r="AF158" i="5" s="1"/>
  <c r="AF159" i="5" a="1"/>
  <c r="AF159" i="5" s="1"/>
  <c r="AF160" i="5" a="1"/>
  <c r="AF160" i="5" s="1"/>
  <c r="AF161" i="5" a="1"/>
  <c r="AF161" i="5" s="1"/>
  <c r="AF162" i="5" a="1"/>
  <c r="AF162" i="5" s="1"/>
  <c r="AF163" i="5" a="1"/>
  <c r="AF163" i="5" s="1"/>
  <c r="AF164" i="5" a="1"/>
  <c r="AF164" i="5" s="1"/>
  <c r="AF165" i="5" a="1"/>
  <c r="AF165" i="5" s="1"/>
  <c r="AF166" i="5" a="1"/>
  <c r="AF166" i="5" s="1"/>
  <c r="AF167" i="5" a="1"/>
  <c r="AF167" i="5" s="1"/>
  <c r="AF168" i="5" a="1"/>
  <c r="AF168" i="5" s="1"/>
  <c r="AF169" i="5" a="1"/>
  <c r="AF169" i="5" s="1"/>
  <c r="AF170" i="5" a="1"/>
  <c r="AF170" i="5" s="1"/>
  <c r="AF171" i="5" a="1"/>
  <c r="AF171" i="5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 s="1"/>
  <c r="AV27" i="4" a="1"/>
  <c r="AV27" i="4" s="1"/>
  <c r="AV28" i="4" a="1"/>
  <c r="AV28" i="4" s="1"/>
  <c r="AV29" i="4" a="1"/>
  <c r="AV29" i="4" s="1"/>
  <c r="AV30" i="4" a="1"/>
  <c r="AV30" i="4" s="1"/>
  <c r="AV31" i="4" a="1"/>
  <c r="AV31" i="4" s="1"/>
  <c r="AV32" i="4" a="1"/>
  <c r="AV32" i="4" s="1"/>
  <c r="AV33" i="4" a="1"/>
  <c r="AV33" i="4" s="1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 s="1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 s="1"/>
  <c r="AV50" i="4" a="1"/>
  <c r="AV50" i="4" s="1"/>
  <c r="AV51" i="4" a="1"/>
  <c r="AV51" i="4" s="1"/>
  <c r="AV52" i="4" a="1"/>
  <c r="AV52" i="4" s="1"/>
  <c r="AV53" i="4" a="1"/>
  <c r="AV53" i="4" s="1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 s="1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V67" i="4" a="1"/>
  <c r="AV67" i="4" s="1"/>
  <c r="AV68" i="4" a="1"/>
  <c r="AV68" i="4" s="1"/>
  <c r="AV69" i="4" a="1"/>
  <c r="AV69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9" i="8"/>
  <c r="F9" i="8"/>
  <c r="G9" i="8"/>
  <c r="H9" i="8"/>
  <c r="I9" i="8"/>
  <c r="E10" i="8"/>
  <c r="F10" i="8"/>
  <c r="G10" i="8"/>
  <c r="H10" i="8"/>
  <c r="I10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21" i="8"/>
  <c r="F21" i="8"/>
  <c r="G21" i="8"/>
  <c r="H21" i="8"/>
  <c r="I21" i="8"/>
  <c r="E22" i="8"/>
  <c r="F22" i="8"/>
  <c r="G22" i="8"/>
  <c r="H22" i="8"/>
  <c r="I22" i="8"/>
  <c r="E23" i="8"/>
  <c r="F23" i="8"/>
  <c r="G23" i="8"/>
  <c r="H23" i="8"/>
  <c r="I23" i="8"/>
  <c r="E24" i="8"/>
  <c r="F24" i="8"/>
  <c r="G24" i="8"/>
  <c r="H24" i="8"/>
  <c r="I24" i="8"/>
  <c r="E25" i="8"/>
  <c r="F25" i="8"/>
  <c r="G25" i="8"/>
  <c r="H25" i="8"/>
  <c r="I25" i="8"/>
  <c r="E26" i="8"/>
  <c r="F26" i="8"/>
  <c r="G26" i="8"/>
  <c r="H26" i="8"/>
  <c r="I26" i="8"/>
  <c r="E27" i="8"/>
  <c r="F27" i="8"/>
  <c r="G27" i="8"/>
  <c r="H27" i="8"/>
  <c r="I27" i="8"/>
  <c r="E28" i="8"/>
  <c r="F28" i="8"/>
  <c r="G28" i="8"/>
  <c r="H28" i="8"/>
  <c r="I28" i="8"/>
  <c r="E29" i="8"/>
  <c r="H29" i="8"/>
  <c r="I29" i="8"/>
  <c r="E30" i="8"/>
  <c r="F30" i="8"/>
  <c r="G30" i="8"/>
  <c r="H30" i="8"/>
  <c r="I30" i="8"/>
  <c r="E31" i="8"/>
  <c r="F31" i="8"/>
  <c r="G31" i="8"/>
  <c r="H31" i="8"/>
  <c r="I31" i="8"/>
  <c r="E32" i="8"/>
  <c r="F32" i="8"/>
  <c r="G32" i="8"/>
  <c r="H32" i="8"/>
  <c r="I32" i="8"/>
  <c r="E33" i="8"/>
  <c r="F33" i="8"/>
  <c r="G33" i="8"/>
  <c r="H33" i="8"/>
  <c r="I33" i="8"/>
  <c r="F34" i="8"/>
  <c r="E35" i="8"/>
  <c r="F35" i="8"/>
  <c r="G35" i="8"/>
  <c r="H35" i="8"/>
  <c r="I35" i="8"/>
  <c r="E36" i="8"/>
  <c r="F36" i="8"/>
  <c r="G36" i="8"/>
  <c r="H36" i="8"/>
  <c r="I36" i="8"/>
  <c r="E37" i="8"/>
  <c r="F37" i="8"/>
  <c r="G37" i="8"/>
  <c r="H37" i="8"/>
  <c r="I37" i="8"/>
  <c r="E38" i="8"/>
  <c r="F38" i="8"/>
  <c r="G38" i="8"/>
  <c r="H38" i="8"/>
  <c r="I38" i="8"/>
  <c r="E39" i="8"/>
  <c r="F39" i="8"/>
  <c r="G39" i="8"/>
  <c r="H39" i="8"/>
  <c r="I39" i="8"/>
  <c r="E40" i="8"/>
  <c r="F40" i="8"/>
  <c r="G40" i="8"/>
  <c r="H40" i="8"/>
  <c r="I40" i="8"/>
  <c r="E41" i="8"/>
  <c r="F41" i="8"/>
  <c r="G41" i="8"/>
  <c r="H41" i="8"/>
  <c r="I41" i="8"/>
  <c r="E42" i="8"/>
  <c r="F42" i="8"/>
  <c r="G42" i="8"/>
  <c r="H42" i="8"/>
  <c r="I42" i="8"/>
  <c r="E43" i="8"/>
  <c r="F43" i="8"/>
  <c r="G43" i="8"/>
  <c r="H43" i="8"/>
  <c r="I43" i="8"/>
  <c r="E44" i="8"/>
  <c r="F44" i="8"/>
  <c r="G44" i="8"/>
  <c r="H44" i="8"/>
  <c r="I44" i="8"/>
  <c r="E45" i="8"/>
  <c r="F45" i="8"/>
  <c r="G45" i="8"/>
  <c r="H45" i="8"/>
  <c r="I45" i="8"/>
  <c r="E46" i="8"/>
  <c r="F46" i="8"/>
  <c r="G46" i="8"/>
  <c r="H46" i="8"/>
  <c r="I46" i="8"/>
  <c r="E47" i="8"/>
  <c r="F47" i="8"/>
  <c r="G47" i="8"/>
  <c r="H47" i="8"/>
  <c r="I47" i="8"/>
  <c r="A48" i="8"/>
  <c r="B48" i="8"/>
  <c r="C48" i="8"/>
  <c r="D48" i="8"/>
  <c r="E48" i="8"/>
  <c r="F48" i="8"/>
  <c r="G48" i="8"/>
  <c r="H48" i="8"/>
  <c r="I48" i="8"/>
  <c r="A49" i="8"/>
  <c r="B49" i="8"/>
  <c r="C49" i="8"/>
  <c r="D49" i="8"/>
  <c r="E49" i="8"/>
  <c r="F49" i="8"/>
  <c r="G49" i="8"/>
  <c r="H49" i="8"/>
  <c r="I49" i="8"/>
  <c r="A50" i="8"/>
  <c r="B50" i="8"/>
  <c r="C50" i="8"/>
  <c r="D50" i="8"/>
  <c r="E50" i="8"/>
  <c r="F50" i="8"/>
  <c r="G50" i="8"/>
  <c r="H50" i="8"/>
  <c r="I50" i="8"/>
  <c r="A51" i="8"/>
  <c r="B51" i="8"/>
  <c r="C51" i="8"/>
  <c r="D51" i="8"/>
  <c r="E51" i="8"/>
  <c r="F51" i="8"/>
  <c r="G51" i="8"/>
  <c r="H51" i="8"/>
  <c r="I51" i="8"/>
  <c r="A52" i="8"/>
  <c r="B52" i="8"/>
  <c r="C52" i="8"/>
  <c r="D52" i="8"/>
  <c r="E52" i="8"/>
  <c r="F52" i="8"/>
  <c r="G52" i="8"/>
  <c r="H52" i="8"/>
  <c r="I52" i="8"/>
  <c r="A53" i="8"/>
  <c r="B53" i="8"/>
  <c r="C53" i="8"/>
  <c r="D53" i="8"/>
  <c r="E53" i="8"/>
  <c r="F53" i="8"/>
  <c r="G53" i="8"/>
  <c r="H53" i="8"/>
  <c r="I53" i="8"/>
  <c r="A54" i="8"/>
  <c r="B54" i="8"/>
  <c r="C54" i="8"/>
  <c r="D54" i="8"/>
  <c r="E54" i="8"/>
  <c r="F54" i="8"/>
  <c r="G54" i="8"/>
  <c r="H54" i="8"/>
  <c r="I54" i="8"/>
  <c r="A55" i="8"/>
  <c r="B55" i="8"/>
  <c r="C55" i="8"/>
  <c r="D55" i="8"/>
  <c r="E55" i="8"/>
  <c r="F55" i="8"/>
  <c r="G55" i="8"/>
  <c r="H55" i="8"/>
  <c r="I55" i="8"/>
  <c r="A56" i="8"/>
  <c r="B56" i="8"/>
  <c r="C56" i="8"/>
  <c r="D56" i="8"/>
  <c r="E56" i="8"/>
  <c r="F56" i="8"/>
  <c r="G56" i="8"/>
  <c r="H56" i="8"/>
  <c r="I56" i="8"/>
  <c r="A57" i="8"/>
  <c r="B57" i="8"/>
  <c r="C57" i="8"/>
  <c r="D57" i="8"/>
  <c r="E57" i="8"/>
  <c r="F57" i="8"/>
  <c r="G57" i="8"/>
  <c r="H57" i="8"/>
  <c r="I57" i="8"/>
  <c r="A58" i="8"/>
  <c r="B58" i="8"/>
  <c r="C58" i="8"/>
  <c r="D58" i="8"/>
  <c r="E58" i="8"/>
  <c r="F58" i="8"/>
  <c r="G58" i="8"/>
  <c r="H58" i="8"/>
  <c r="I58" i="8"/>
  <c r="A59" i="8"/>
  <c r="B59" i="8"/>
  <c r="C59" i="8"/>
  <c r="D59" i="8"/>
  <c r="E59" i="8"/>
  <c r="F59" i="8"/>
  <c r="G59" i="8"/>
  <c r="H59" i="8"/>
  <c r="I59" i="8"/>
  <c r="A60" i="8"/>
  <c r="B60" i="8"/>
  <c r="C60" i="8"/>
  <c r="D60" i="8"/>
  <c r="E60" i="8"/>
  <c r="F60" i="8"/>
  <c r="G60" i="8"/>
  <c r="H60" i="8"/>
  <c r="I60" i="8"/>
  <c r="A61" i="8"/>
  <c r="B61" i="8"/>
  <c r="C61" i="8"/>
  <c r="D61" i="8"/>
  <c r="E61" i="8"/>
  <c r="F61" i="8"/>
  <c r="G61" i="8"/>
  <c r="H61" i="8"/>
  <c r="I61" i="8"/>
  <c r="A62" i="8"/>
  <c r="B62" i="8"/>
  <c r="C62" i="8"/>
  <c r="D62" i="8"/>
  <c r="E62" i="8"/>
  <c r="F62" i="8"/>
  <c r="G62" i="8"/>
  <c r="H62" i="8"/>
  <c r="I62" i="8"/>
  <c r="A63" i="8"/>
  <c r="B63" i="8"/>
  <c r="C63" i="8"/>
  <c r="D63" i="8"/>
  <c r="E63" i="8"/>
  <c r="F63" i="8"/>
  <c r="G63" i="8"/>
  <c r="H63" i="8"/>
  <c r="I63" i="8"/>
  <c r="A64" i="8"/>
  <c r="B64" i="8"/>
  <c r="C64" i="8"/>
  <c r="D64" i="8"/>
  <c r="E64" i="8"/>
  <c r="F64" i="8"/>
  <c r="G64" i="8"/>
  <c r="H64" i="8"/>
  <c r="I64" i="8"/>
  <c r="A65" i="8"/>
  <c r="B65" i="8"/>
  <c r="C65" i="8"/>
  <c r="D65" i="8"/>
  <c r="E65" i="8"/>
  <c r="F65" i="8"/>
  <c r="G65" i="8"/>
  <c r="H65" i="8"/>
  <c r="I65" i="8"/>
  <c r="A66" i="8"/>
  <c r="B66" i="8"/>
  <c r="C66" i="8"/>
  <c r="D66" i="8"/>
  <c r="E66" i="8"/>
  <c r="F66" i="8"/>
  <c r="G66" i="8"/>
  <c r="H66" i="8"/>
  <c r="I66" i="8"/>
  <c r="A67" i="8"/>
  <c r="B67" i="8"/>
  <c r="C67" i="8"/>
  <c r="D67" i="8"/>
  <c r="E67" i="8"/>
  <c r="F67" i="8"/>
  <c r="G67" i="8"/>
  <c r="H67" i="8"/>
  <c r="I67" i="8"/>
  <c r="A68" i="8"/>
  <c r="B68" i="8"/>
  <c r="C68" i="8"/>
  <c r="D68" i="8"/>
  <c r="E68" i="8"/>
  <c r="F68" i="8"/>
  <c r="G68" i="8"/>
  <c r="H68" i="8"/>
  <c r="I68" i="8"/>
  <c r="A69" i="8"/>
  <c r="B69" i="8"/>
  <c r="C69" i="8"/>
  <c r="D69" i="8"/>
  <c r="E69" i="8"/>
  <c r="F69" i="8"/>
  <c r="G69" i="8"/>
  <c r="H69" i="8"/>
  <c r="I69" i="8"/>
  <c r="A70" i="8"/>
  <c r="B70" i="8"/>
  <c r="C70" i="8"/>
  <c r="D70" i="8"/>
  <c r="E70" i="8"/>
  <c r="F70" i="8"/>
  <c r="G70" i="8"/>
  <c r="H70" i="8"/>
  <c r="I70" i="8"/>
  <c r="A71" i="8"/>
  <c r="B71" i="8"/>
  <c r="C71" i="8"/>
  <c r="D71" i="8"/>
  <c r="E71" i="8"/>
  <c r="F71" i="8"/>
  <c r="G71" i="8"/>
  <c r="H71" i="8"/>
  <c r="I71" i="8"/>
  <c r="A72" i="8"/>
  <c r="B72" i="8"/>
  <c r="C72" i="8"/>
  <c r="D72" i="8"/>
  <c r="E72" i="8"/>
  <c r="F72" i="8"/>
  <c r="G72" i="8"/>
  <c r="H72" i="8"/>
  <c r="I72" i="8"/>
  <c r="A73" i="8"/>
  <c r="B73" i="8"/>
  <c r="C73" i="8"/>
  <c r="D73" i="8"/>
  <c r="E73" i="8"/>
  <c r="F73" i="8"/>
  <c r="G73" i="8"/>
  <c r="H73" i="8"/>
  <c r="I73" i="8"/>
  <c r="A74" i="8"/>
  <c r="B74" i="8"/>
  <c r="C74" i="8"/>
  <c r="D74" i="8"/>
  <c r="E74" i="8"/>
  <c r="F74" i="8"/>
  <c r="G74" i="8"/>
  <c r="H74" i="8"/>
  <c r="I74" i="8"/>
  <c r="A75" i="8"/>
  <c r="B75" i="8"/>
  <c r="C75" i="8"/>
  <c r="D75" i="8"/>
  <c r="E75" i="8"/>
  <c r="F75" i="8"/>
  <c r="G75" i="8"/>
  <c r="H75" i="8"/>
  <c r="I75" i="8"/>
  <c r="A76" i="8"/>
  <c r="B76" i="8"/>
  <c r="C76" i="8"/>
  <c r="D76" i="8"/>
  <c r="E76" i="8"/>
  <c r="F76" i="8"/>
  <c r="G76" i="8"/>
  <c r="H76" i="8"/>
  <c r="I76" i="8"/>
  <c r="A77" i="8"/>
  <c r="B77" i="8"/>
  <c r="C77" i="8"/>
  <c r="D77" i="8"/>
  <c r="E77" i="8"/>
  <c r="F77" i="8"/>
  <c r="G77" i="8"/>
  <c r="H77" i="8"/>
  <c r="I77" i="8"/>
  <c r="A78" i="8"/>
  <c r="B78" i="8"/>
  <c r="C78" i="8"/>
  <c r="D78" i="8"/>
  <c r="E78" i="8"/>
  <c r="F78" i="8"/>
  <c r="G78" i="8"/>
  <c r="H78" i="8"/>
  <c r="I78" i="8"/>
  <c r="A79" i="8"/>
  <c r="B79" i="8"/>
  <c r="C79" i="8"/>
  <c r="D79" i="8"/>
  <c r="E79" i="8"/>
  <c r="F79" i="8"/>
  <c r="G79" i="8"/>
  <c r="H79" i="8"/>
  <c r="I79" i="8"/>
  <c r="A80" i="8"/>
  <c r="B80" i="8"/>
  <c r="C80" i="8"/>
  <c r="D80" i="8"/>
  <c r="E80" i="8"/>
  <c r="F80" i="8"/>
  <c r="G80" i="8"/>
  <c r="H80" i="8"/>
  <c r="I80" i="8"/>
  <c r="A81" i="8"/>
  <c r="B81" i="8"/>
  <c r="C81" i="8"/>
  <c r="D81" i="8"/>
  <c r="E81" i="8"/>
  <c r="F81" i="8"/>
  <c r="G81" i="8"/>
  <c r="H81" i="8"/>
  <c r="I81" i="8"/>
  <c r="A82" i="8"/>
  <c r="B82" i="8"/>
  <c r="C82" i="8"/>
  <c r="D82" i="8"/>
  <c r="E82" i="8"/>
  <c r="F82" i="8"/>
  <c r="G82" i="8"/>
  <c r="H82" i="8"/>
  <c r="I82" i="8"/>
  <c r="A83" i="8"/>
  <c r="B83" i="8"/>
  <c r="C83" i="8"/>
  <c r="D83" i="8"/>
  <c r="E83" i="8"/>
  <c r="F83" i="8"/>
  <c r="G83" i="8"/>
  <c r="H83" i="8"/>
  <c r="I83" i="8"/>
  <c r="A84" i="8"/>
  <c r="B84" i="8"/>
  <c r="C84" i="8"/>
  <c r="D84" i="8"/>
  <c r="E84" i="8"/>
  <c r="F84" i="8"/>
  <c r="G84" i="8"/>
  <c r="H84" i="8"/>
  <c r="I84" i="8"/>
  <c r="A85" i="8"/>
  <c r="B85" i="8"/>
  <c r="C85" i="8"/>
  <c r="D85" i="8"/>
  <c r="E85" i="8"/>
  <c r="F85" i="8"/>
  <c r="G85" i="8"/>
  <c r="H85" i="8"/>
  <c r="I85" i="8"/>
  <c r="A86" i="8"/>
  <c r="B86" i="8"/>
  <c r="C86" i="8"/>
  <c r="D86" i="8"/>
  <c r="E86" i="8"/>
  <c r="F86" i="8"/>
  <c r="G86" i="8"/>
  <c r="H86" i="8"/>
  <c r="I86" i="8"/>
  <c r="A87" i="8"/>
  <c r="B87" i="8"/>
  <c r="C87" i="8"/>
  <c r="D87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A96" i="8"/>
  <c r="B96" i="8"/>
  <c r="C96" i="8"/>
  <c r="D96" i="8"/>
  <c r="E96" i="8"/>
  <c r="F96" i="8"/>
  <c r="G96" i="8"/>
  <c r="H96" i="8"/>
  <c r="I96" i="8"/>
  <c r="A97" i="8"/>
  <c r="B97" i="8"/>
  <c r="C97" i="8"/>
  <c r="D97" i="8"/>
  <c r="E97" i="8"/>
  <c r="F97" i="8"/>
  <c r="G97" i="8"/>
  <c r="H97" i="8"/>
  <c r="I97" i="8"/>
  <c r="A98" i="8"/>
  <c r="B98" i="8"/>
  <c r="C98" i="8"/>
  <c r="D98" i="8"/>
  <c r="E98" i="8"/>
  <c r="F98" i="8"/>
  <c r="G98" i="8"/>
  <c r="H98" i="8"/>
  <c r="I98" i="8"/>
  <c r="A99" i="8"/>
  <c r="B99" i="8"/>
  <c r="C99" i="8"/>
  <c r="D99" i="8"/>
  <c r="E99" i="8"/>
  <c r="F99" i="8"/>
  <c r="G99" i="8"/>
  <c r="H99" i="8"/>
  <c r="I99" i="8"/>
  <c r="A100" i="8"/>
  <c r="B100" i="8"/>
  <c r="C100" i="8"/>
  <c r="D100" i="8"/>
  <c r="E100" i="8"/>
  <c r="F100" i="8"/>
  <c r="G100" i="8"/>
  <c r="H100" i="8"/>
  <c r="I100" i="8"/>
  <c r="A101" i="8"/>
  <c r="B101" i="8"/>
  <c r="C101" i="8"/>
  <c r="D101" i="8"/>
  <c r="E101" i="8"/>
  <c r="F101" i="8"/>
  <c r="G101" i="8"/>
  <c r="H101" i="8"/>
  <c r="I101" i="8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104" i="8"/>
  <c r="B104" i="8"/>
  <c r="C104" i="8"/>
  <c r="D104" i="8"/>
  <c r="E104" i="8"/>
  <c r="F104" i="8"/>
  <c r="G104" i="8"/>
  <c r="H104" i="8"/>
  <c r="I104" i="8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E8" i="9"/>
  <c r="F8" i="9"/>
  <c r="G8" i="9"/>
  <c r="H8" i="9"/>
  <c r="I8" i="9"/>
  <c r="X22" i="7" a="1"/>
  <c r="X22" i="7" s="1"/>
  <c r="X23" i="7" a="1"/>
  <c r="X23" i="7"/>
  <c r="X24" i="7" a="1"/>
  <c r="X24" i="7" s="1"/>
  <c r="X25" i="7" a="1"/>
  <c r="X25" i="7" s="1"/>
  <c r="X26" i="7" a="1"/>
  <c r="X26" i="7" s="1"/>
  <c r="X27" i="7" a="1"/>
  <c r="X27" i="7"/>
  <c r="X28" i="7" a="1"/>
  <c r="X28" i="7" s="1"/>
  <c r="X29" i="7" a="1"/>
  <c r="X29" i="7" s="1"/>
  <c r="X30" i="7" a="1"/>
  <c r="X30" i="7" s="1"/>
  <c r="X31" i="7" a="1"/>
  <c r="X31" i="7"/>
  <c r="X32" i="7" a="1"/>
  <c r="X32" i="7" s="1"/>
  <c r="X33" i="7" a="1"/>
  <c r="X33" i="7" s="1"/>
  <c r="X34" i="7" a="1"/>
  <c r="X34" i="7" s="1"/>
  <c r="X35" i="7" a="1"/>
  <c r="X35" i="7"/>
  <c r="X36" i="7" a="1"/>
  <c r="X36" i="7" s="1"/>
  <c r="X37" i="7" a="1"/>
  <c r="X37" i="7" s="1"/>
  <c r="X38" i="7" a="1"/>
  <c r="X38" i="7" s="1"/>
  <c r="X39" i="7" a="1"/>
  <c r="X39" i="7"/>
  <c r="X40" i="7" a="1"/>
  <c r="X40" i="7" s="1"/>
  <c r="X41" i="7" a="1"/>
  <c r="X41" i="7" s="1"/>
  <c r="X42" i="7" a="1"/>
  <c r="X42" i="7" s="1"/>
  <c r="X43" i="7" a="1"/>
  <c r="X43" i="7"/>
  <c r="X44" i="7" a="1"/>
  <c r="X44" i="7" s="1"/>
  <c r="X45" i="7" a="1"/>
  <c r="X45" i="7" s="1"/>
  <c r="X46" i="7" a="1"/>
  <c r="X46" i="7" s="1"/>
  <c r="X47" i="7" a="1"/>
  <c r="X47" i="7"/>
  <c r="X48" i="7" a="1"/>
  <c r="X48" i="7" s="1"/>
  <c r="X49" i="7" a="1"/>
  <c r="X49" i="7" s="1"/>
  <c r="X50" i="7" a="1"/>
  <c r="X50" i="7" s="1"/>
  <c r="X51" i="7" a="1"/>
  <c r="X51" i="7"/>
  <c r="X52" i="7" a="1"/>
  <c r="X52" i="7" s="1"/>
  <c r="X53" i="7" a="1"/>
  <c r="X53" i="7" s="1"/>
  <c r="X54" i="7" a="1"/>
  <c r="X54" i="7" s="1"/>
  <c r="X55" i="7" a="1"/>
  <c r="X55" i="7"/>
  <c r="X56" i="7" a="1"/>
  <c r="X56" i="7" s="1"/>
  <c r="X57" i="7" a="1"/>
  <c r="X57" i="7" s="1"/>
  <c r="X58" i="7" a="1"/>
  <c r="X58" i="7" s="1"/>
  <c r="X59" i="7" a="1"/>
  <c r="X59" i="7"/>
  <c r="X60" i="7" a="1"/>
  <c r="X60" i="7" s="1"/>
  <c r="X61" i="7" a="1"/>
  <c r="X61" i="7" s="1"/>
  <c r="X62" i="7" a="1"/>
  <c r="X62" i="7" s="1"/>
  <c r="X63" i="7" a="1"/>
  <c r="X63" i="7"/>
  <c r="X64" i="7" a="1"/>
  <c r="X64" i="7" s="1"/>
  <c r="X65" i="7" a="1"/>
  <c r="X65" i="7" s="1"/>
  <c r="X66" i="7" a="1"/>
  <c r="X66" i="7" s="1"/>
  <c r="X67" i="7" a="1"/>
  <c r="X67" i="7"/>
  <c r="X68" i="7" a="1"/>
  <c r="X68" i="7" s="1"/>
  <c r="X69" i="7" a="1"/>
  <c r="X69" i="7" s="1"/>
  <c r="X70" i="7" a="1"/>
  <c r="X70" i="7" s="1"/>
  <c r="X71" i="7" a="1"/>
  <c r="X71" i="7"/>
  <c r="X72" i="7" a="1"/>
  <c r="X72" i="7" s="1"/>
  <c r="X73" i="7" a="1"/>
  <c r="X73" i="7" s="1"/>
  <c r="X74" i="7" a="1"/>
  <c r="X74" i="7" s="1"/>
  <c r="X75" i="7" a="1"/>
  <c r="X75" i="7"/>
  <c r="X76" i="7" a="1"/>
  <c r="X76" i="7" s="1"/>
  <c r="X77" i="7" a="1"/>
  <c r="X77" i="7" s="1"/>
  <c r="X78" i="7" a="1"/>
  <c r="X78" i="7" s="1"/>
  <c r="X79" i="7" a="1"/>
  <c r="X79" i="7"/>
  <c r="X80" i="7" a="1"/>
  <c r="X80" i="7" s="1"/>
  <c r="X81" i="7" a="1"/>
  <c r="X81" i="7" s="1"/>
  <c r="X82" i="7" a="1"/>
  <c r="X82" i="7" s="1"/>
  <c r="X83" i="7" a="1"/>
  <c r="X83" i="7"/>
  <c r="X84" i="7" a="1"/>
  <c r="X84" i="7" s="1"/>
  <c r="X85" i="7" a="1"/>
  <c r="X85" i="7" s="1"/>
  <c r="X86" i="7" a="1"/>
  <c r="X86" i="7" s="1"/>
  <c r="X87" i="7" a="1"/>
  <c r="X87" i="7"/>
  <c r="X88" i="7" a="1"/>
  <c r="X88" i="7" s="1"/>
  <c r="X89" i="7" a="1"/>
  <c r="X89" i="7" s="1"/>
  <c r="X90" i="7" a="1"/>
  <c r="X90" i="7" s="1"/>
  <c r="X91" i="7" a="1"/>
  <c r="X91" i="7"/>
  <c r="X92" i="7" a="1"/>
  <c r="X92" i="7" s="1"/>
  <c r="X93" i="7" a="1"/>
  <c r="X93" i="7" s="1"/>
  <c r="X94" i="7" a="1"/>
  <c r="X94" i="7" s="1"/>
  <c r="X95" i="7" a="1"/>
  <c r="X95" i="7"/>
  <c r="X96" i="7" a="1"/>
  <c r="X96" i="7" s="1"/>
  <c r="X97" i="7" a="1"/>
  <c r="X97" i="7" s="1"/>
  <c r="X98" i="7" a="1"/>
  <c r="X98" i="7" s="1"/>
  <c r="X99" i="7" a="1"/>
  <c r="X99" i="7"/>
  <c r="X100" i="7" a="1"/>
  <c r="X100" i="7" s="1"/>
  <c r="X101" i="7" a="1"/>
  <c r="X101" i="7" s="1"/>
  <c r="X102" i="7" a="1"/>
  <c r="X102" i="7" s="1"/>
  <c r="X103" i="7" a="1"/>
  <c r="X103" i="7"/>
  <c r="X104" i="7" a="1"/>
  <c r="X104" i="7" s="1"/>
  <c r="X105" i="7" a="1"/>
  <c r="X105" i="7" s="1"/>
  <c r="X106" i="7" a="1"/>
  <c r="X106" i="7" s="1"/>
  <c r="X107" i="7" a="1"/>
  <c r="X107" i="7"/>
  <c r="X108" i="7" a="1"/>
  <c r="X108" i="7" s="1"/>
  <c r="X109" i="7" a="1"/>
  <c r="X109" i="7" s="1"/>
  <c r="X110" i="7" a="1"/>
  <c r="X110" i="7" s="1"/>
  <c r="X111" i="7" a="1"/>
  <c r="X111" i="7"/>
  <c r="X112" i="7" a="1"/>
  <c r="X112" i="7" s="1"/>
  <c r="X113" i="7" a="1"/>
  <c r="X113" i="7" s="1"/>
  <c r="X114" i="7" a="1"/>
  <c r="X114" i="7" s="1"/>
  <c r="X115" i="7" a="1"/>
  <c r="X115" i="7" s="1"/>
  <c r="X116" i="7" a="1"/>
  <c r="X116" i="7" s="1"/>
  <c r="X117" i="7" a="1"/>
  <c r="X117" i="7" s="1"/>
  <c r="X118" i="7" a="1"/>
  <c r="X118" i="7" s="1"/>
  <c r="X119" i="7" a="1"/>
  <c r="X119" i="7" s="1"/>
  <c r="X120" i="7" a="1"/>
  <c r="X120" i="7" s="1"/>
  <c r="X121" i="7" a="1"/>
  <c r="X121" i="7" s="1"/>
  <c r="X122" i="7" a="1"/>
  <c r="X122" i="7" s="1"/>
  <c r="X123" i="7" a="1"/>
  <c r="X123" i="7" s="1"/>
  <c r="X124" i="7" a="1"/>
  <c r="X124" i="7" s="1"/>
  <c r="X125" i="7" a="1"/>
  <c r="X125" i="7" s="1"/>
  <c r="X126" i="7" a="1"/>
  <c r="X126" i="7" s="1"/>
  <c r="X127" i="7" a="1"/>
  <c r="X127" i="7" s="1"/>
  <c r="X128" i="7" a="1"/>
  <c r="X128" i="7" s="1"/>
  <c r="X129" i="7" a="1"/>
  <c r="X129" i="7" s="1"/>
  <c r="X130" i="7" a="1"/>
  <c r="X130" i="7" s="1"/>
  <c r="X131" i="7" a="1"/>
  <c r="X131" i="7" s="1"/>
  <c r="X132" i="7" a="1"/>
  <c r="X132" i="7" s="1"/>
  <c r="X133" i="7" a="1"/>
  <c r="X133" i="7" s="1"/>
  <c r="X134" i="7" a="1"/>
  <c r="X134" i="7" s="1"/>
  <c r="X135" i="7" a="1"/>
  <c r="X135" i="7" s="1"/>
  <c r="X136" i="7" a="1"/>
  <c r="X136" i="7" s="1"/>
  <c r="X137" i="7" a="1"/>
  <c r="X137" i="7" s="1"/>
  <c r="X138" i="7" a="1"/>
  <c r="X138" i="7" s="1"/>
  <c r="X139" i="7" a="1"/>
  <c r="X139" i="7" s="1"/>
  <c r="X140" i="7" a="1"/>
  <c r="X140" i="7" s="1"/>
  <c r="X141" i="7" a="1"/>
  <c r="X141" i="7" s="1"/>
  <c r="X142" i="7" a="1"/>
  <c r="X142" i="7" s="1"/>
  <c r="X143" i="7" a="1"/>
  <c r="X143" i="7" s="1"/>
  <c r="X144" i="7" a="1"/>
  <c r="X144" i="7" s="1"/>
  <c r="X145" i="7" a="1"/>
  <c r="X145" i="7" s="1"/>
  <c r="X146" i="7" a="1"/>
  <c r="X146" i="7" s="1"/>
  <c r="X147" i="7" a="1"/>
  <c r="X147" i="7" s="1"/>
  <c r="X148" i="7" a="1"/>
  <c r="X148" i="7" s="1"/>
  <c r="X149" i="7" a="1"/>
  <c r="X149" i="7" s="1"/>
  <c r="X150" i="7" a="1"/>
  <c r="X150" i="7" s="1"/>
  <c r="X151" i="7" a="1"/>
  <c r="X151" i="7" s="1"/>
  <c r="X152" i="7" a="1"/>
  <c r="X152" i="7" s="1"/>
  <c r="X153" i="7" a="1"/>
  <c r="X153" i="7" s="1"/>
  <c r="X154" i="7" a="1"/>
  <c r="X154" i="7" s="1"/>
  <c r="X155" i="7" a="1"/>
  <c r="X155" i="7" s="1"/>
  <c r="X156" i="7" a="1"/>
  <c r="X156" i="7" s="1"/>
  <c r="X157" i="7" a="1"/>
  <c r="X157" i="7" s="1"/>
  <c r="X158" i="7" a="1"/>
  <c r="X158" i="7" s="1"/>
  <c r="X159" i="7" a="1"/>
  <c r="X159" i="7" s="1"/>
  <c r="X160" i="7" a="1"/>
  <c r="X160" i="7" s="1"/>
  <c r="X161" i="7" a="1"/>
  <c r="X161" i="7" s="1"/>
  <c r="X162" i="7" a="1"/>
  <c r="X162" i="7" s="1"/>
  <c r="X163" i="7" a="1"/>
  <c r="X163" i="7" s="1"/>
  <c r="X164" i="7" a="1"/>
  <c r="X164" i="7" s="1"/>
  <c r="X165" i="7" a="1"/>
  <c r="X165" i="7" s="1"/>
  <c r="X166" i="7" a="1"/>
  <c r="X166" i="7" s="1"/>
  <c r="X167" i="7" a="1"/>
  <c r="X167" i="7" s="1"/>
  <c r="X168" i="7" a="1"/>
  <c r="X168" i="7" s="1"/>
  <c r="X169" i="7" a="1"/>
  <c r="X169" i="7" s="1"/>
  <c r="X170" i="7" a="1"/>
  <c r="X170" i="7" s="1"/>
  <c r="X171" i="7" a="1"/>
  <c r="X171" i="7" s="1"/>
  <c r="X172" i="7" a="1"/>
  <c r="X172" i="7" s="1"/>
  <c r="X173" i="7" a="1"/>
  <c r="X173" i="7" s="1"/>
  <c r="X174" i="7" a="1"/>
  <c r="X174" i="7" s="1"/>
  <c r="X175" i="7" a="1"/>
  <c r="X175" i="7" s="1"/>
  <c r="X176" i="7" a="1"/>
  <c r="X176" i="7" s="1"/>
  <c r="X177" i="7" a="1"/>
  <c r="X177" i="7" s="1"/>
  <c r="X178" i="7" a="1"/>
  <c r="X178" i="7" s="1"/>
  <c r="X4" i="7" a="1"/>
  <c r="X4" i="7" s="1"/>
  <c r="X5" i="7" a="1"/>
  <c r="X5" i="7"/>
  <c r="X6" i="7" a="1"/>
  <c r="X6" i="7" s="1"/>
  <c r="X7" i="7" a="1"/>
  <c r="X7" i="7"/>
  <c r="X8" i="7" a="1"/>
  <c r="X8" i="7" s="1"/>
  <c r="X9" i="7" a="1"/>
  <c r="X9" i="7"/>
  <c r="X10" i="7" a="1"/>
  <c r="X10" i="7" s="1"/>
  <c r="X11" i="7" a="1"/>
  <c r="X11" i="7"/>
  <c r="X12" i="7" a="1"/>
  <c r="X12" i="7" s="1"/>
  <c r="X13" i="7" a="1"/>
  <c r="X13" i="7"/>
  <c r="X14" i="7" a="1"/>
  <c r="X14" i="7" s="1"/>
  <c r="X15" i="7" a="1"/>
  <c r="X15" i="7"/>
  <c r="X16" i="7" a="1"/>
  <c r="X16" i="7" s="1"/>
  <c r="X17" i="7" a="1"/>
  <c r="X17" i="7"/>
  <c r="X18" i="7" a="1"/>
  <c r="X18" i="7" s="1"/>
  <c r="X19" i="7" a="1"/>
  <c r="X19" i="7"/>
  <c r="X20" i="7" a="1"/>
  <c r="X20" i="7" s="1"/>
  <c r="X21" i="7" a="1"/>
  <c r="X21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B54" i="7"/>
  <c r="C54" i="7"/>
  <c r="D54" i="7"/>
  <c r="E54" i="7"/>
  <c r="F54" i="7"/>
  <c r="G54" i="7"/>
  <c r="H54" i="7"/>
  <c r="I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H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H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I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H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B149" i="7"/>
  <c r="C149" i="7"/>
  <c r="D149" i="7"/>
  <c r="E149" i="7"/>
  <c r="F149" i="7"/>
  <c r="G149" i="7"/>
  <c r="H149" i="7"/>
  <c r="I149" i="7"/>
  <c r="B150" i="7"/>
  <c r="C150" i="7"/>
  <c r="D150" i="7"/>
  <c r="E150" i="7"/>
  <c r="F150" i="7"/>
  <c r="G150" i="7"/>
  <c r="H150" i="7"/>
  <c r="I150" i="7"/>
  <c r="B151" i="7"/>
  <c r="C151" i="7"/>
  <c r="D151" i="7"/>
  <c r="E151" i="7"/>
  <c r="F151" i="7"/>
  <c r="G151" i="7"/>
  <c r="H151" i="7"/>
  <c r="I151" i="7"/>
  <c r="B152" i="7"/>
  <c r="C152" i="7"/>
  <c r="D152" i="7"/>
  <c r="E152" i="7"/>
  <c r="F152" i="7"/>
  <c r="G152" i="7"/>
  <c r="H152" i="7"/>
  <c r="I152" i="7"/>
  <c r="B153" i="7"/>
  <c r="C153" i="7"/>
  <c r="D153" i="7"/>
  <c r="E153" i="7"/>
  <c r="F153" i="7"/>
  <c r="G153" i="7"/>
  <c r="H153" i="7"/>
  <c r="I153" i="7"/>
  <c r="B154" i="7"/>
  <c r="C154" i="7"/>
  <c r="D154" i="7"/>
  <c r="E154" i="7"/>
  <c r="F154" i="7"/>
  <c r="G154" i="7"/>
  <c r="H154" i="7"/>
  <c r="I154" i="7"/>
  <c r="B155" i="7"/>
  <c r="C155" i="7"/>
  <c r="D155" i="7"/>
  <c r="E155" i="7"/>
  <c r="F155" i="7"/>
  <c r="G155" i="7"/>
  <c r="H155" i="7"/>
  <c r="I155" i="7"/>
  <c r="B156" i="7"/>
  <c r="C156" i="7"/>
  <c r="D156" i="7"/>
  <c r="E156" i="7"/>
  <c r="F156" i="7"/>
  <c r="G156" i="7"/>
  <c r="H156" i="7"/>
  <c r="I156" i="7"/>
  <c r="B157" i="7"/>
  <c r="C157" i="7"/>
  <c r="D157" i="7"/>
  <c r="E157" i="7"/>
  <c r="F157" i="7"/>
  <c r="G157" i="7"/>
  <c r="H157" i="7"/>
  <c r="I157" i="7"/>
  <c r="B158" i="7"/>
  <c r="C158" i="7"/>
  <c r="D158" i="7"/>
  <c r="E158" i="7"/>
  <c r="F158" i="7"/>
  <c r="G158" i="7"/>
  <c r="H158" i="7"/>
  <c r="I158" i="7"/>
  <c r="B159" i="7"/>
  <c r="C159" i="7"/>
  <c r="D159" i="7"/>
  <c r="E159" i="7"/>
  <c r="F159" i="7"/>
  <c r="G159" i="7"/>
  <c r="H159" i="7"/>
  <c r="I159" i="7"/>
  <c r="B160" i="7"/>
  <c r="C160" i="7"/>
  <c r="D160" i="7"/>
  <c r="E160" i="7"/>
  <c r="F160" i="7"/>
  <c r="G160" i="7"/>
  <c r="H160" i="7"/>
  <c r="I160" i="7"/>
  <c r="B161" i="7"/>
  <c r="C161" i="7"/>
  <c r="D161" i="7"/>
  <c r="E161" i="7"/>
  <c r="F161" i="7"/>
  <c r="G161" i="7"/>
  <c r="H161" i="7"/>
  <c r="I161" i="7"/>
  <c r="B162" i="7"/>
  <c r="C162" i="7"/>
  <c r="D162" i="7"/>
  <c r="E162" i="7"/>
  <c r="F162" i="7"/>
  <c r="G162" i="7"/>
  <c r="H162" i="7"/>
  <c r="I162" i="7"/>
  <c r="B163" i="7"/>
  <c r="C163" i="7"/>
  <c r="D163" i="7"/>
  <c r="E163" i="7"/>
  <c r="F163" i="7"/>
  <c r="G163" i="7"/>
  <c r="H163" i="7"/>
  <c r="I163" i="7"/>
  <c r="B164" i="7"/>
  <c r="C164" i="7"/>
  <c r="D164" i="7"/>
  <c r="E164" i="7"/>
  <c r="F164" i="7"/>
  <c r="G164" i="7"/>
  <c r="H164" i="7"/>
  <c r="I164" i="7"/>
  <c r="B165" i="7"/>
  <c r="C165" i="7"/>
  <c r="D165" i="7"/>
  <c r="E165" i="7"/>
  <c r="F165" i="7"/>
  <c r="G165" i="7"/>
  <c r="H165" i="7"/>
  <c r="I165" i="7"/>
  <c r="B166" i="7"/>
  <c r="C166" i="7"/>
  <c r="D166" i="7"/>
  <c r="E166" i="7"/>
  <c r="F166" i="7"/>
  <c r="G166" i="7"/>
  <c r="H166" i="7"/>
  <c r="I166" i="7"/>
  <c r="B167" i="7"/>
  <c r="C167" i="7"/>
  <c r="D167" i="7"/>
  <c r="E167" i="7"/>
  <c r="F167" i="7"/>
  <c r="G167" i="7"/>
  <c r="H167" i="7"/>
  <c r="I167" i="7"/>
  <c r="B168" i="7"/>
  <c r="C168" i="7"/>
  <c r="D168" i="7"/>
  <c r="E168" i="7"/>
  <c r="F168" i="7"/>
  <c r="G168" i="7"/>
  <c r="H168" i="7"/>
  <c r="I168" i="7"/>
  <c r="B169" i="7"/>
  <c r="C169" i="7"/>
  <c r="D169" i="7"/>
  <c r="E169" i="7"/>
  <c r="F169" i="7"/>
  <c r="G169" i="7"/>
  <c r="H169" i="7"/>
  <c r="I169" i="7"/>
  <c r="B170" i="7"/>
  <c r="C170" i="7"/>
  <c r="D170" i="7"/>
  <c r="E170" i="7"/>
  <c r="F170" i="7"/>
  <c r="G170" i="7"/>
  <c r="H170" i="7"/>
  <c r="I170" i="7"/>
  <c r="B171" i="7"/>
  <c r="C171" i="7"/>
  <c r="D171" i="7"/>
  <c r="E171" i="7"/>
  <c r="F171" i="7"/>
  <c r="G171" i="7"/>
  <c r="H171" i="7"/>
  <c r="I171" i="7"/>
  <c r="B172" i="7"/>
  <c r="C172" i="7"/>
  <c r="D172" i="7"/>
  <c r="E172" i="7"/>
  <c r="F172" i="7"/>
  <c r="G172" i="7"/>
  <c r="H172" i="7"/>
  <c r="I172" i="7"/>
  <c r="B173" i="7"/>
  <c r="C173" i="7"/>
  <c r="D173" i="7"/>
  <c r="E173" i="7"/>
  <c r="F173" i="7"/>
  <c r="G173" i="7"/>
  <c r="H173" i="7"/>
  <c r="I173" i="7"/>
  <c r="B174" i="7"/>
  <c r="C174" i="7"/>
  <c r="D174" i="7"/>
  <c r="E174" i="7"/>
  <c r="F174" i="7"/>
  <c r="G174" i="7"/>
  <c r="H174" i="7"/>
  <c r="I174" i="7"/>
  <c r="B175" i="7"/>
  <c r="C175" i="7"/>
  <c r="D175" i="7"/>
  <c r="E175" i="7"/>
  <c r="F175" i="7"/>
  <c r="G175" i="7"/>
  <c r="H175" i="7"/>
  <c r="I175" i="7"/>
  <c r="B176" i="7"/>
  <c r="C176" i="7"/>
  <c r="D176" i="7"/>
  <c r="E176" i="7"/>
  <c r="F176" i="7"/>
  <c r="G176" i="7"/>
  <c r="H176" i="7"/>
  <c r="I176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H18" i="6"/>
  <c r="E19" i="6"/>
  <c r="F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B48" i="6"/>
  <c r="C48" i="6"/>
  <c r="D48" i="6"/>
  <c r="E48" i="6"/>
  <c r="F48" i="6"/>
  <c r="G48" i="6"/>
  <c r="H48" i="6"/>
  <c r="I48" i="6"/>
  <c r="B49" i="6"/>
  <c r="C49" i="6"/>
  <c r="D49" i="6"/>
  <c r="E49" i="6"/>
  <c r="F49" i="6"/>
  <c r="G49" i="6"/>
  <c r="H49" i="6"/>
  <c r="I49" i="6"/>
  <c r="B50" i="6"/>
  <c r="C50" i="6"/>
  <c r="D50" i="6"/>
  <c r="E50" i="6"/>
  <c r="F50" i="6"/>
  <c r="G50" i="6"/>
  <c r="H50" i="6"/>
  <c r="I50" i="6"/>
  <c r="B51" i="6"/>
  <c r="C51" i="6"/>
  <c r="D51" i="6"/>
  <c r="E51" i="6"/>
  <c r="F51" i="6"/>
  <c r="G51" i="6"/>
  <c r="H51" i="6"/>
  <c r="I51" i="6"/>
  <c r="B52" i="6"/>
  <c r="C52" i="6"/>
  <c r="D52" i="6"/>
  <c r="E52" i="6"/>
  <c r="F52" i="6"/>
  <c r="G52" i="6"/>
  <c r="H52" i="6"/>
  <c r="I52" i="6"/>
  <c r="B53" i="6"/>
  <c r="C53" i="6"/>
  <c r="D53" i="6"/>
  <c r="E53" i="6"/>
  <c r="F53" i="6"/>
  <c r="G53" i="6"/>
  <c r="H53" i="6"/>
  <c r="I53" i="6"/>
  <c r="B54" i="6"/>
  <c r="C54" i="6"/>
  <c r="D54" i="6"/>
  <c r="E54" i="6"/>
  <c r="F54" i="6"/>
  <c r="G54" i="6"/>
  <c r="H54" i="6"/>
  <c r="I54" i="6"/>
  <c r="B55" i="6"/>
  <c r="C55" i="6"/>
  <c r="D55" i="6"/>
  <c r="E55" i="6"/>
  <c r="F55" i="6"/>
  <c r="G55" i="6"/>
  <c r="H55" i="6"/>
  <c r="I55" i="6"/>
  <c r="B56" i="6"/>
  <c r="C56" i="6"/>
  <c r="D56" i="6"/>
  <c r="E56" i="6"/>
  <c r="F56" i="6"/>
  <c r="G56" i="6"/>
  <c r="H56" i="6"/>
  <c r="I56" i="6"/>
  <c r="B57" i="6"/>
  <c r="C57" i="6"/>
  <c r="D57" i="6"/>
  <c r="E57" i="6"/>
  <c r="F57" i="6"/>
  <c r="G57" i="6"/>
  <c r="H57" i="6"/>
  <c r="I57" i="6"/>
  <c r="B58" i="6"/>
  <c r="C58" i="6"/>
  <c r="D58" i="6"/>
  <c r="E58" i="6"/>
  <c r="F58" i="6"/>
  <c r="G58" i="6"/>
  <c r="H58" i="6"/>
  <c r="I58" i="6"/>
  <c r="B59" i="6"/>
  <c r="C59" i="6"/>
  <c r="D59" i="6"/>
  <c r="E59" i="6"/>
  <c r="F59" i="6"/>
  <c r="G59" i="6"/>
  <c r="H59" i="6"/>
  <c r="I59" i="6"/>
  <c r="B60" i="6"/>
  <c r="C60" i="6"/>
  <c r="D60" i="6"/>
  <c r="E60" i="6"/>
  <c r="F60" i="6"/>
  <c r="G60" i="6"/>
  <c r="H60" i="6"/>
  <c r="I60" i="6"/>
  <c r="B61" i="6"/>
  <c r="C61" i="6"/>
  <c r="D61" i="6"/>
  <c r="E61" i="6"/>
  <c r="F61" i="6"/>
  <c r="G61" i="6"/>
  <c r="H61" i="6"/>
  <c r="I61" i="6"/>
  <c r="B62" i="6"/>
  <c r="C62" i="6"/>
  <c r="D62" i="6"/>
  <c r="E62" i="6"/>
  <c r="F62" i="6"/>
  <c r="G62" i="6"/>
  <c r="H62" i="6"/>
  <c r="I62" i="6"/>
  <c r="B63" i="6"/>
  <c r="C63" i="6"/>
  <c r="D63" i="6"/>
  <c r="E63" i="6"/>
  <c r="F63" i="6"/>
  <c r="G63" i="6"/>
  <c r="H63" i="6"/>
  <c r="I63" i="6"/>
  <c r="B64" i="6"/>
  <c r="C64" i="6"/>
  <c r="D64" i="6"/>
  <c r="E64" i="6"/>
  <c r="F64" i="6"/>
  <c r="G64" i="6"/>
  <c r="H64" i="6"/>
  <c r="I64" i="6"/>
  <c r="B65" i="6"/>
  <c r="C65" i="6"/>
  <c r="D65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B67" i="6"/>
  <c r="C67" i="6"/>
  <c r="D67" i="6"/>
  <c r="E67" i="6"/>
  <c r="F67" i="6"/>
  <c r="G67" i="6"/>
  <c r="H67" i="6"/>
  <c r="I67" i="6"/>
  <c r="B68" i="6"/>
  <c r="C68" i="6"/>
  <c r="D68" i="6"/>
  <c r="E68" i="6"/>
  <c r="F68" i="6"/>
  <c r="G68" i="6"/>
  <c r="H68" i="6"/>
  <c r="I68" i="6"/>
  <c r="B69" i="6"/>
  <c r="C69" i="6"/>
  <c r="D69" i="6"/>
  <c r="E69" i="6"/>
  <c r="F69" i="6"/>
  <c r="G69" i="6"/>
  <c r="H69" i="6"/>
  <c r="I69" i="6"/>
  <c r="B70" i="6"/>
  <c r="C70" i="6"/>
  <c r="D70" i="6"/>
  <c r="E70" i="6"/>
  <c r="F70" i="6"/>
  <c r="G70" i="6"/>
  <c r="H70" i="6"/>
  <c r="I70" i="6"/>
  <c r="B71" i="6"/>
  <c r="C71" i="6"/>
  <c r="D71" i="6"/>
  <c r="E71" i="6"/>
  <c r="F71" i="6"/>
  <c r="G71" i="6"/>
  <c r="H71" i="6"/>
  <c r="I71" i="6"/>
  <c r="B72" i="6"/>
  <c r="C72" i="6"/>
  <c r="D72" i="6"/>
  <c r="E72" i="6"/>
  <c r="F72" i="6"/>
  <c r="G72" i="6"/>
  <c r="H72" i="6"/>
  <c r="I72" i="6"/>
  <c r="B73" i="6"/>
  <c r="C73" i="6"/>
  <c r="D73" i="6"/>
  <c r="E73" i="6"/>
  <c r="F73" i="6"/>
  <c r="G73" i="6"/>
  <c r="H73" i="6"/>
  <c r="I73" i="6"/>
  <c r="B74" i="6"/>
  <c r="C74" i="6"/>
  <c r="D74" i="6"/>
  <c r="E74" i="6"/>
  <c r="F74" i="6"/>
  <c r="G74" i="6"/>
  <c r="H74" i="6"/>
  <c r="I74" i="6"/>
  <c r="B75" i="6"/>
  <c r="C75" i="6"/>
  <c r="D75" i="6"/>
  <c r="E75" i="6"/>
  <c r="F75" i="6"/>
  <c r="G75" i="6"/>
  <c r="H75" i="6"/>
  <c r="I75" i="6"/>
  <c r="B76" i="6"/>
  <c r="C76" i="6"/>
  <c r="D76" i="6"/>
  <c r="E76" i="6"/>
  <c r="F76" i="6"/>
  <c r="G76" i="6"/>
  <c r="H76" i="6"/>
  <c r="I76" i="6"/>
  <c r="B77" i="6"/>
  <c r="C77" i="6"/>
  <c r="D77" i="6"/>
  <c r="E77" i="6"/>
  <c r="F77" i="6"/>
  <c r="G77" i="6"/>
  <c r="H77" i="6"/>
  <c r="I77" i="6"/>
  <c r="B78" i="6"/>
  <c r="C78" i="6"/>
  <c r="D78" i="6"/>
  <c r="E78" i="6"/>
  <c r="F78" i="6"/>
  <c r="G78" i="6"/>
  <c r="H78" i="6"/>
  <c r="I78" i="6"/>
  <c r="B79" i="6"/>
  <c r="C79" i="6"/>
  <c r="D79" i="6"/>
  <c r="E79" i="6"/>
  <c r="F79" i="6"/>
  <c r="G79" i="6"/>
  <c r="H79" i="6"/>
  <c r="I79" i="6"/>
  <c r="B80" i="6"/>
  <c r="C80" i="6"/>
  <c r="D80" i="6"/>
  <c r="E80" i="6"/>
  <c r="F80" i="6"/>
  <c r="G80" i="6"/>
  <c r="H80" i="6"/>
  <c r="I80" i="6"/>
  <c r="B81" i="6"/>
  <c r="C81" i="6"/>
  <c r="D81" i="6"/>
  <c r="E81" i="6"/>
  <c r="F81" i="6"/>
  <c r="G81" i="6"/>
  <c r="H81" i="6"/>
  <c r="I81" i="6"/>
  <c r="B82" i="6"/>
  <c r="C82" i="6"/>
  <c r="D82" i="6"/>
  <c r="E82" i="6"/>
  <c r="F82" i="6"/>
  <c r="G82" i="6"/>
  <c r="H82" i="6"/>
  <c r="I82" i="6"/>
  <c r="B83" i="6"/>
  <c r="C83" i="6"/>
  <c r="D83" i="6"/>
  <c r="E83" i="6"/>
  <c r="F83" i="6"/>
  <c r="G83" i="6"/>
  <c r="H83" i="6"/>
  <c r="I83" i="6"/>
  <c r="B84" i="6"/>
  <c r="C84" i="6"/>
  <c r="D84" i="6"/>
  <c r="E84" i="6"/>
  <c r="F84" i="6"/>
  <c r="G84" i="6"/>
  <c r="H84" i="6"/>
  <c r="I84" i="6"/>
  <c r="B85" i="6"/>
  <c r="C85" i="6"/>
  <c r="D85" i="6"/>
  <c r="E85" i="6"/>
  <c r="F85" i="6"/>
  <c r="G85" i="6"/>
  <c r="H85" i="6"/>
  <c r="I85" i="6"/>
  <c r="B86" i="6"/>
  <c r="C86" i="6"/>
  <c r="D86" i="6"/>
  <c r="E86" i="6"/>
  <c r="F86" i="6"/>
  <c r="G86" i="6"/>
  <c r="H86" i="6"/>
  <c r="I86" i="6"/>
  <c r="B87" i="6"/>
  <c r="C87" i="6"/>
  <c r="D87" i="6"/>
  <c r="E87" i="6"/>
  <c r="F87" i="6"/>
  <c r="G87" i="6"/>
  <c r="H87" i="6"/>
  <c r="I87" i="6"/>
  <c r="B88" i="6"/>
  <c r="C88" i="6"/>
  <c r="D88" i="6"/>
  <c r="E88" i="6"/>
  <c r="F88" i="6"/>
  <c r="G88" i="6"/>
  <c r="H88" i="6"/>
  <c r="I88" i="6"/>
  <c r="B89" i="6"/>
  <c r="C89" i="6"/>
  <c r="D89" i="6"/>
  <c r="E89" i="6"/>
  <c r="F89" i="6"/>
  <c r="G89" i="6"/>
  <c r="H89" i="6"/>
  <c r="I89" i="6"/>
  <c r="B90" i="6"/>
  <c r="C90" i="6"/>
  <c r="D90" i="6"/>
  <c r="E90" i="6"/>
  <c r="F90" i="6"/>
  <c r="G90" i="6"/>
  <c r="H90" i="6"/>
  <c r="I90" i="6"/>
  <c r="B91" i="6"/>
  <c r="C91" i="6"/>
  <c r="D91" i="6"/>
  <c r="E91" i="6"/>
  <c r="F91" i="6"/>
  <c r="G91" i="6"/>
  <c r="H91" i="6"/>
  <c r="I91" i="6"/>
  <c r="B92" i="6"/>
  <c r="C92" i="6"/>
  <c r="D92" i="6"/>
  <c r="E92" i="6"/>
  <c r="F92" i="6"/>
  <c r="G92" i="6"/>
  <c r="H92" i="6"/>
  <c r="I92" i="6"/>
  <c r="B93" i="6"/>
  <c r="C93" i="6"/>
  <c r="D93" i="6"/>
  <c r="E93" i="6"/>
  <c r="F93" i="6"/>
  <c r="G93" i="6"/>
  <c r="H93" i="6"/>
  <c r="I93" i="6"/>
  <c r="B94" i="6"/>
  <c r="C94" i="6"/>
  <c r="D94" i="6"/>
  <c r="E94" i="6"/>
  <c r="F94" i="6"/>
  <c r="G94" i="6"/>
  <c r="H94" i="6"/>
  <c r="I94" i="6"/>
  <c r="B95" i="6"/>
  <c r="C95" i="6"/>
  <c r="D95" i="6"/>
  <c r="E95" i="6"/>
  <c r="F95" i="6"/>
  <c r="G95" i="6"/>
  <c r="H95" i="6"/>
  <c r="I95" i="6"/>
  <c r="B96" i="6"/>
  <c r="C96" i="6"/>
  <c r="D96" i="6"/>
  <c r="E96" i="6"/>
  <c r="F96" i="6"/>
  <c r="G96" i="6"/>
  <c r="H96" i="6"/>
  <c r="I96" i="6"/>
  <c r="B97" i="6"/>
  <c r="C97" i="6"/>
  <c r="D97" i="6"/>
  <c r="E97" i="6"/>
  <c r="F97" i="6"/>
  <c r="G97" i="6"/>
  <c r="H97" i="6"/>
  <c r="I97" i="6"/>
  <c r="B98" i="6"/>
  <c r="C98" i="6"/>
  <c r="D98" i="6"/>
  <c r="E98" i="6"/>
  <c r="F98" i="6"/>
  <c r="G98" i="6"/>
  <c r="H98" i="6"/>
  <c r="I98" i="6"/>
  <c r="B99" i="6"/>
  <c r="C99" i="6"/>
  <c r="D99" i="6"/>
  <c r="E99" i="6"/>
  <c r="F99" i="6"/>
  <c r="G99" i="6"/>
  <c r="H99" i="6"/>
  <c r="I99" i="6"/>
  <c r="B100" i="6"/>
  <c r="C100" i="6"/>
  <c r="D100" i="6"/>
  <c r="E100" i="6"/>
  <c r="F100" i="6"/>
  <c r="G100" i="6"/>
  <c r="H100" i="6"/>
  <c r="I100" i="6"/>
  <c r="B101" i="6"/>
  <c r="C101" i="6"/>
  <c r="D101" i="6"/>
  <c r="E101" i="6"/>
  <c r="F101" i="6"/>
  <c r="G101" i="6"/>
  <c r="H101" i="6"/>
  <c r="I101" i="6"/>
  <c r="B102" i="6"/>
  <c r="C102" i="6"/>
  <c r="D102" i="6"/>
  <c r="E102" i="6"/>
  <c r="F102" i="6"/>
  <c r="G102" i="6"/>
  <c r="H102" i="6"/>
  <c r="I102" i="6"/>
  <c r="B103" i="6"/>
  <c r="C103" i="6"/>
  <c r="D103" i="6"/>
  <c r="E103" i="6"/>
  <c r="F103" i="6"/>
  <c r="G103" i="6"/>
  <c r="H103" i="6"/>
  <c r="I103" i="6"/>
  <c r="B104" i="6"/>
  <c r="C104" i="6"/>
  <c r="D104" i="6"/>
  <c r="E104" i="6"/>
  <c r="F104" i="6"/>
  <c r="G104" i="6"/>
  <c r="H104" i="6"/>
  <c r="I104" i="6"/>
  <c r="B105" i="6"/>
  <c r="C105" i="6"/>
  <c r="D105" i="6"/>
  <c r="E105" i="6"/>
  <c r="F105" i="6"/>
  <c r="G105" i="6"/>
  <c r="H105" i="6"/>
  <c r="I105" i="6"/>
  <c r="B106" i="6"/>
  <c r="C106" i="6"/>
  <c r="D106" i="6"/>
  <c r="E106" i="6"/>
  <c r="F106" i="6"/>
  <c r="G106" i="6"/>
  <c r="H106" i="6"/>
  <c r="I106" i="6"/>
  <c r="B107" i="6"/>
  <c r="C107" i="6"/>
  <c r="D107" i="6"/>
  <c r="E107" i="6"/>
  <c r="F107" i="6"/>
  <c r="G107" i="6"/>
  <c r="H107" i="6"/>
  <c r="I107" i="6"/>
  <c r="B108" i="6"/>
  <c r="C108" i="6"/>
  <c r="D108" i="6"/>
  <c r="E108" i="6"/>
  <c r="F108" i="6"/>
  <c r="G108" i="6"/>
  <c r="H108" i="6"/>
  <c r="I108" i="6"/>
  <c r="B109" i="6"/>
  <c r="C109" i="6"/>
  <c r="D109" i="6"/>
  <c r="E109" i="6"/>
  <c r="F109" i="6"/>
  <c r="G109" i="6"/>
  <c r="H109" i="6"/>
  <c r="I109" i="6"/>
  <c r="B110" i="6"/>
  <c r="C110" i="6"/>
  <c r="D110" i="6"/>
  <c r="E110" i="6"/>
  <c r="F110" i="6"/>
  <c r="G110" i="6"/>
  <c r="H110" i="6"/>
  <c r="I110" i="6"/>
  <c r="B111" i="6"/>
  <c r="C111" i="6"/>
  <c r="D111" i="6"/>
  <c r="E111" i="6"/>
  <c r="F111" i="6"/>
  <c r="G111" i="6"/>
  <c r="H111" i="6"/>
  <c r="I111" i="6"/>
  <c r="B112" i="6"/>
  <c r="C112" i="6"/>
  <c r="D112" i="6"/>
  <c r="E112" i="6"/>
  <c r="F112" i="6"/>
  <c r="G112" i="6"/>
  <c r="H112" i="6"/>
  <c r="I112" i="6"/>
  <c r="B113" i="6"/>
  <c r="C113" i="6"/>
  <c r="D113" i="6"/>
  <c r="E113" i="6"/>
  <c r="F113" i="6"/>
  <c r="G113" i="6"/>
  <c r="H113" i="6"/>
  <c r="I113" i="6"/>
  <c r="B114" i="6"/>
  <c r="C114" i="6"/>
  <c r="D114" i="6"/>
  <c r="E114" i="6"/>
  <c r="F114" i="6"/>
  <c r="G114" i="6"/>
  <c r="H114" i="6"/>
  <c r="I114" i="6"/>
  <c r="B115" i="6"/>
  <c r="C115" i="6"/>
  <c r="D115" i="6"/>
  <c r="E115" i="6"/>
  <c r="F115" i="6"/>
  <c r="G115" i="6"/>
  <c r="H115" i="6"/>
  <c r="I115" i="6"/>
  <c r="B116" i="6"/>
  <c r="C116" i="6"/>
  <c r="D116" i="6"/>
  <c r="E116" i="6"/>
  <c r="F116" i="6"/>
  <c r="G116" i="6"/>
  <c r="H116" i="6"/>
  <c r="I116" i="6"/>
  <c r="B117" i="6"/>
  <c r="C117" i="6"/>
  <c r="D117" i="6"/>
  <c r="E117" i="6"/>
  <c r="F117" i="6"/>
  <c r="G117" i="6"/>
  <c r="H117" i="6"/>
  <c r="I117" i="6"/>
  <c r="B118" i="6"/>
  <c r="C118" i="6"/>
  <c r="D118" i="6"/>
  <c r="E118" i="6"/>
  <c r="F118" i="6"/>
  <c r="G118" i="6"/>
  <c r="H118" i="6"/>
  <c r="I118" i="6"/>
  <c r="B119" i="6"/>
  <c r="C119" i="6"/>
  <c r="D119" i="6"/>
  <c r="E119" i="6"/>
  <c r="F119" i="6"/>
  <c r="G119" i="6"/>
  <c r="H119" i="6"/>
  <c r="I119" i="6"/>
  <c r="B120" i="6"/>
  <c r="C120" i="6"/>
  <c r="D120" i="6"/>
  <c r="E120" i="6"/>
  <c r="F120" i="6"/>
  <c r="G120" i="6"/>
  <c r="H120" i="6"/>
  <c r="I120" i="6"/>
  <c r="B121" i="6"/>
  <c r="C121" i="6"/>
  <c r="D121" i="6"/>
  <c r="E121" i="6"/>
  <c r="F121" i="6"/>
  <c r="G121" i="6"/>
  <c r="H121" i="6"/>
  <c r="I121" i="6"/>
  <c r="B122" i="6"/>
  <c r="C122" i="6"/>
  <c r="D122" i="6"/>
  <c r="E122" i="6"/>
  <c r="F122" i="6"/>
  <c r="G122" i="6"/>
  <c r="H122" i="6"/>
  <c r="I122" i="6"/>
  <c r="B123" i="6"/>
  <c r="C123" i="6"/>
  <c r="D123" i="6"/>
  <c r="E123" i="6"/>
  <c r="F123" i="6"/>
  <c r="G123" i="6"/>
  <c r="H123" i="6"/>
  <c r="I123" i="6"/>
  <c r="B124" i="6"/>
  <c r="C124" i="6"/>
  <c r="D124" i="6"/>
  <c r="E124" i="6"/>
  <c r="F124" i="6"/>
  <c r="G124" i="6"/>
  <c r="H124" i="6"/>
  <c r="I124" i="6"/>
  <c r="B125" i="6"/>
  <c r="C125" i="6"/>
  <c r="D125" i="6"/>
  <c r="E125" i="6"/>
  <c r="F125" i="6"/>
  <c r="G125" i="6"/>
  <c r="H125" i="6"/>
  <c r="I125" i="6"/>
  <c r="B126" i="6"/>
  <c r="C126" i="6"/>
  <c r="D126" i="6"/>
  <c r="E126" i="6"/>
  <c r="F126" i="6"/>
  <c r="G126" i="6"/>
  <c r="H126" i="6"/>
  <c r="I126" i="6"/>
  <c r="B127" i="6"/>
  <c r="C127" i="6"/>
  <c r="D127" i="6"/>
  <c r="E127" i="6"/>
  <c r="F127" i="6"/>
  <c r="G127" i="6"/>
  <c r="H127" i="6"/>
  <c r="I127" i="6"/>
  <c r="B128" i="6"/>
  <c r="C128" i="6"/>
  <c r="D128" i="6"/>
  <c r="E128" i="6"/>
  <c r="F128" i="6"/>
  <c r="G128" i="6"/>
  <c r="H128" i="6"/>
  <c r="I128" i="6"/>
  <c r="B129" i="6"/>
  <c r="C129" i="6"/>
  <c r="D129" i="6"/>
  <c r="E129" i="6"/>
  <c r="F129" i="6"/>
  <c r="G129" i="6"/>
  <c r="H129" i="6"/>
  <c r="I129" i="6"/>
  <c r="B130" i="6"/>
  <c r="C130" i="6"/>
  <c r="D130" i="6"/>
  <c r="E130" i="6"/>
  <c r="F130" i="6"/>
  <c r="G130" i="6"/>
  <c r="H130" i="6"/>
  <c r="I130" i="6"/>
  <c r="B131" i="6"/>
  <c r="C131" i="6"/>
  <c r="D131" i="6"/>
  <c r="E131" i="6"/>
  <c r="F131" i="6"/>
  <c r="G131" i="6"/>
  <c r="H131" i="6"/>
  <c r="I131" i="6"/>
  <c r="B132" i="6"/>
  <c r="C132" i="6"/>
  <c r="D132" i="6"/>
  <c r="E132" i="6"/>
  <c r="F132" i="6"/>
  <c r="G132" i="6"/>
  <c r="H132" i="6"/>
  <c r="I132" i="6"/>
  <c r="B133" i="6"/>
  <c r="C133" i="6"/>
  <c r="D133" i="6"/>
  <c r="E133" i="6"/>
  <c r="F133" i="6"/>
  <c r="G133" i="6"/>
  <c r="H133" i="6"/>
  <c r="I133" i="6"/>
  <c r="B134" i="6"/>
  <c r="C134" i="6"/>
  <c r="D134" i="6"/>
  <c r="E134" i="6"/>
  <c r="F134" i="6"/>
  <c r="G134" i="6"/>
  <c r="H134" i="6"/>
  <c r="I134" i="6"/>
  <c r="B135" i="6"/>
  <c r="C135" i="6"/>
  <c r="D135" i="6"/>
  <c r="E135" i="6"/>
  <c r="F135" i="6"/>
  <c r="G135" i="6"/>
  <c r="H135" i="6"/>
  <c r="I135" i="6"/>
  <c r="B136" i="6"/>
  <c r="C136" i="6"/>
  <c r="D136" i="6"/>
  <c r="E136" i="6"/>
  <c r="F136" i="6"/>
  <c r="G136" i="6"/>
  <c r="H136" i="6"/>
  <c r="I136" i="6"/>
  <c r="B137" i="6"/>
  <c r="C137" i="6"/>
  <c r="D137" i="6"/>
  <c r="E137" i="6"/>
  <c r="F137" i="6"/>
  <c r="G137" i="6"/>
  <c r="H137" i="6"/>
  <c r="I137" i="6"/>
  <c r="B138" i="6"/>
  <c r="C138" i="6"/>
  <c r="D138" i="6"/>
  <c r="E138" i="6"/>
  <c r="F138" i="6"/>
  <c r="G138" i="6"/>
  <c r="H138" i="6"/>
  <c r="I138" i="6"/>
  <c r="B139" i="6"/>
  <c r="C139" i="6"/>
  <c r="D139" i="6"/>
  <c r="E139" i="6"/>
  <c r="F139" i="6"/>
  <c r="G139" i="6"/>
  <c r="H139" i="6"/>
  <c r="I139" i="6"/>
  <c r="B140" i="6"/>
  <c r="C140" i="6"/>
  <c r="D140" i="6"/>
  <c r="E140" i="6"/>
  <c r="F140" i="6"/>
  <c r="G140" i="6"/>
  <c r="H140" i="6"/>
  <c r="I140" i="6"/>
  <c r="B141" i="6"/>
  <c r="C141" i="6"/>
  <c r="D141" i="6"/>
  <c r="E141" i="6"/>
  <c r="F141" i="6"/>
  <c r="G141" i="6"/>
  <c r="H141" i="6"/>
  <c r="I141" i="6"/>
  <c r="B142" i="6"/>
  <c r="C142" i="6"/>
  <c r="D142" i="6"/>
  <c r="E142" i="6"/>
  <c r="F142" i="6"/>
  <c r="G142" i="6"/>
  <c r="H142" i="6"/>
  <c r="I142" i="6"/>
  <c r="B143" i="6"/>
  <c r="C143" i="6"/>
  <c r="D143" i="6"/>
  <c r="E143" i="6"/>
  <c r="F143" i="6"/>
  <c r="G143" i="6"/>
  <c r="H143" i="6"/>
  <c r="I143" i="6"/>
  <c r="B144" i="6"/>
  <c r="C144" i="6"/>
  <c r="D144" i="6"/>
  <c r="E144" i="6"/>
  <c r="F144" i="6"/>
  <c r="G144" i="6"/>
  <c r="H144" i="6"/>
  <c r="I144" i="6"/>
  <c r="B145" i="6"/>
  <c r="C145" i="6"/>
  <c r="D145" i="6"/>
  <c r="E145" i="6"/>
  <c r="F145" i="6"/>
  <c r="G145" i="6"/>
  <c r="H145" i="6"/>
  <c r="I145" i="6"/>
  <c r="B146" i="6"/>
  <c r="C146" i="6"/>
  <c r="D146" i="6"/>
  <c r="E146" i="6"/>
  <c r="F146" i="6"/>
  <c r="G146" i="6"/>
  <c r="H146" i="6"/>
  <c r="I146" i="6"/>
  <c r="B147" i="6"/>
  <c r="C147" i="6"/>
  <c r="D147" i="6"/>
  <c r="E147" i="6"/>
  <c r="F147" i="6"/>
  <c r="G147" i="6"/>
  <c r="H147" i="6"/>
  <c r="I147" i="6"/>
  <c r="B148" i="6"/>
  <c r="C148" i="6"/>
  <c r="D148" i="6"/>
  <c r="E148" i="6"/>
  <c r="F148" i="6"/>
  <c r="G148" i="6"/>
  <c r="H148" i="6"/>
  <c r="I148" i="6"/>
  <c r="B149" i="6"/>
  <c r="C149" i="6"/>
  <c r="D149" i="6"/>
  <c r="E149" i="6"/>
  <c r="F149" i="6"/>
  <c r="G149" i="6"/>
  <c r="H149" i="6"/>
  <c r="I149" i="6"/>
  <c r="B150" i="6"/>
  <c r="C150" i="6"/>
  <c r="D150" i="6"/>
  <c r="E150" i="6"/>
  <c r="F150" i="6"/>
  <c r="G150" i="6"/>
  <c r="H150" i="6"/>
  <c r="I150" i="6"/>
  <c r="B151" i="6"/>
  <c r="C151" i="6"/>
  <c r="D151" i="6"/>
  <c r="E151" i="6"/>
  <c r="F151" i="6"/>
  <c r="G151" i="6"/>
  <c r="H151" i="6"/>
  <c r="I151" i="6"/>
  <c r="B152" i="6"/>
  <c r="C152" i="6"/>
  <c r="D152" i="6"/>
  <c r="E152" i="6"/>
  <c r="F152" i="6"/>
  <c r="G152" i="6"/>
  <c r="H152" i="6"/>
  <c r="I152" i="6"/>
  <c r="B153" i="6"/>
  <c r="C153" i="6"/>
  <c r="D153" i="6"/>
  <c r="E153" i="6"/>
  <c r="F153" i="6"/>
  <c r="G153" i="6"/>
  <c r="H153" i="6"/>
  <c r="I153" i="6"/>
  <c r="B154" i="6"/>
  <c r="C154" i="6"/>
  <c r="D154" i="6"/>
  <c r="E154" i="6"/>
  <c r="F154" i="6"/>
  <c r="G154" i="6"/>
  <c r="H154" i="6"/>
  <c r="I154" i="6"/>
  <c r="B155" i="6"/>
  <c r="C155" i="6"/>
  <c r="D155" i="6"/>
  <c r="E155" i="6"/>
  <c r="F155" i="6"/>
  <c r="G155" i="6"/>
  <c r="H155" i="6"/>
  <c r="I155" i="6"/>
  <c r="B156" i="6"/>
  <c r="C156" i="6"/>
  <c r="D156" i="6"/>
  <c r="E156" i="6"/>
  <c r="F156" i="6"/>
  <c r="G156" i="6"/>
  <c r="H156" i="6"/>
  <c r="I156" i="6"/>
  <c r="B157" i="6"/>
  <c r="C157" i="6"/>
  <c r="D157" i="6"/>
  <c r="E157" i="6"/>
  <c r="F157" i="6"/>
  <c r="G157" i="6"/>
  <c r="H157" i="6"/>
  <c r="I157" i="6"/>
  <c r="B158" i="6"/>
  <c r="C158" i="6"/>
  <c r="D158" i="6"/>
  <c r="E158" i="6"/>
  <c r="F158" i="6"/>
  <c r="G158" i="6"/>
  <c r="H158" i="6"/>
  <c r="I158" i="6"/>
  <c r="B159" i="6"/>
  <c r="C159" i="6"/>
  <c r="D159" i="6"/>
  <c r="E159" i="6"/>
  <c r="F159" i="6"/>
  <c r="G159" i="6"/>
  <c r="H159" i="6"/>
  <c r="I159" i="6"/>
  <c r="B160" i="6"/>
  <c r="C160" i="6"/>
  <c r="D160" i="6"/>
  <c r="E160" i="6"/>
  <c r="F160" i="6"/>
  <c r="G160" i="6"/>
  <c r="H160" i="6"/>
  <c r="I160" i="6"/>
  <c r="B161" i="6"/>
  <c r="C161" i="6"/>
  <c r="D161" i="6"/>
  <c r="E161" i="6"/>
  <c r="F161" i="6"/>
  <c r="G161" i="6"/>
  <c r="H161" i="6"/>
  <c r="I161" i="6"/>
  <c r="B162" i="6"/>
  <c r="C162" i="6"/>
  <c r="D162" i="6"/>
  <c r="E162" i="6"/>
  <c r="F162" i="6"/>
  <c r="G162" i="6"/>
  <c r="H162" i="6"/>
  <c r="I162" i="6"/>
  <c r="B163" i="6"/>
  <c r="C163" i="6"/>
  <c r="D163" i="6"/>
  <c r="E163" i="6"/>
  <c r="F163" i="6"/>
  <c r="G163" i="6"/>
  <c r="H163" i="6"/>
  <c r="I163" i="6"/>
  <c r="B164" i="6"/>
  <c r="C164" i="6"/>
  <c r="D164" i="6"/>
  <c r="E164" i="6"/>
  <c r="F164" i="6"/>
  <c r="G164" i="6"/>
  <c r="H164" i="6"/>
  <c r="I164" i="6"/>
  <c r="B165" i="6"/>
  <c r="C165" i="6"/>
  <c r="D165" i="6"/>
  <c r="E165" i="6"/>
  <c r="F165" i="6"/>
  <c r="G165" i="6"/>
  <c r="H165" i="6"/>
  <c r="I165" i="6"/>
  <c r="B166" i="6"/>
  <c r="C166" i="6"/>
  <c r="D166" i="6"/>
  <c r="E166" i="6"/>
  <c r="F166" i="6"/>
  <c r="G166" i="6"/>
  <c r="H166" i="6"/>
  <c r="I166" i="6"/>
  <c r="B167" i="6"/>
  <c r="C167" i="6"/>
  <c r="D167" i="6"/>
  <c r="E167" i="6"/>
  <c r="F167" i="6"/>
  <c r="G167" i="6"/>
  <c r="H167" i="6"/>
  <c r="I167" i="6"/>
  <c r="B168" i="6"/>
  <c r="C168" i="6"/>
  <c r="D168" i="6"/>
  <c r="E168" i="6"/>
  <c r="F168" i="6"/>
  <c r="G168" i="6"/>
  <c r="H168" i="6"/>
  <c r="I168" i="6"/>
  <c r="B169" i="6"/>
  <c r="C169" i="6"/>
  <c r="D169" i="6"/>
  <c r="E169" i="6"/>
  <c r="F169" i="6"/>
  <c r="G169" i="6"/>
  <c r="H169" i="6"/>
  <c r="I169" i="6"/>
  <c r="B170" i="6"/>
  <c r="C170" i="6"/>
  <c r="D170" i="6"/>
  <c r="E170" i="6"/>
  <c r="F170" i="6"/>
  <c r="G170" i="6"/>
  <c r="H170" i="6"/>
  <c r="I170" i="6"/>
  <c r="B171" i="6"/>
  <c r="C171" i="6"/>
  <c r="D171" i="6"/>
  <c r="E171" i="6"/>
  <c r="F171" i="6"/>
  <c r="G171" i="6"/>
  <c r="H171" i="6"/>
  <c r="I171" i="6"/>
  <c r="B172" i="6"/>
  <c r="C172" i="6"/>
  <c r="D172" i="6"/>
  <c r="E172" i="6"/>
  <c r="F172" i="6"/>
  <c r="G172" i="6"/>
  <c r="H172" i="6"/>
  <c r="I172" i="6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0" i="5"/>
  <c r="A171" i="5"/>
  <c r="A172" i="5"/>
  <c r="A173" i="5"/>
  <c r="A174" i="5"/>
  <c r="A175" i="5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4" i="4"/>
  <c r="F44" i="4"/>
  <c r="G44" i="4"/>
  <c r="H44" i="4"/>
  <c r="I44" i="4"/>
  <c r="E45" i="4"/>
  <c r="F45" i="4"/>
  <c r="G45" i="4"/>
  <c r="H45" i="4"/>
  <c r="I45" i="4"/>
  <c r="E46" i="4"/>
  <c r="F46" i="4"/>
  <c r="G46" i="4"/>
  <c r="H46" i="4"/>
  <c r="I46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100" i="4"/>
  <c r="C100" i="4"/>
  <c r="D100" i="4"/>
  <c r="E100" i="4"/>
  <c r="F100" i="4"/>
  <c r="G100" i="4"/>
  <c r="H100" i="4"/>
  <c r="I10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106" i="4"/>
  <c r="C106" i="4"/>
  <c r="D106" i="4"/>
  <c r="E106" i="4"/>
  <c r="F106" i="4"/>
  <c r="G106" i="4"/>
  <c r="H106" i="4"/>
  <c r="I106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9" i="4"/>
  <c r="C109" i="4"/>
  <c r="D109" i="4"/>
  <c r="E109" i="4"/>
  <c r="F109" i="4"/>
  <c r="G109" i="4"/>
  <c r="H109" i="4"/>
  <c r="I109" i="4"/>
  <c r="B110" i="4"/>
  <c r="C110" i="4"/>
  <c r="D110" i="4"/>
  <c r="E110" i="4"/>
  <c r="F110" i="4"/>
  <c r="G110" i="4"/>
  <c r="H110" i="4"/>
  <c r="I110" i="4"/>
  <c r="B111" i="4"/>
  <c r="C111" i="4"/>
  <c r="D111" i="4"/>
  <c r="E111" i="4"/>
  <c r="F111" i="4"/>
  <c r="G111" i="4"/>
  <c r="H111" i="4"/>
  <c r="I111" i="4"/>
  <c r="B112" i="4"/>
  <c r="C112" i="4"/>
  <c r="D112" i="4"/>
  <c r="E112" i="4"/>
  <c r="F112" i="4"/>
  <c r="G112" i="4"/>
  <c r="H112" i="4"/>
  <c r="I112" i="4"/>
  <c r="B113" i="4"/>
  <c r="C113" i="4"/>
  <c r="D113" i="4"/>
  <c r="E113" i="4"/>
  <c r="F113" i="4"/>
  <c r="G113" i="4"/>
  <c r="H113" i="4"/>
  <c r="I113" i="4"/>
  <c r="B114" i="4"/>
  <c r="C114" i="4"/>
  <c r="D114" i="4"/>
  <c r="E114" i="4"/>
  <c r="F114" i="4"/>
  <c r="G114" i="4"/>
  <c r="H114" i="4"/>
  <c r="I114" i="4"/>
  <c r="B115" i="4"/>
  <c r="C115" i="4"/>
  <c r="D115" i="4"/>
  <c r="E115" i="4"/>
  <c r="F115" i="4"/>
  <c r="G115" i="4"/>
  <c r="H115" i="4"/>
  <c r="I115" i="4"/>
  <c r="B116" i="4"/>
  <c r="C116" i="4"/>
  <c r="D116" i="4"/>
  <c r="E116" i="4"/>
  <c r="F116" i="4"/>
  <c r="G116" i="4"/>
  <c r="H116" i="4"/>
  <c r="I116" i="4"/>
  <c r="B117" i="4"/>
  <c r="C117" i="4"/>
  <c r="D117" i="4"/>
  <c r="E117" i="4"/>
  <c r="F117" i="4"/>
  <c r="G117" i="4"/>
  <c r="H117" i="4"/>
  <c r="I117" i="4"/>
  <c r="B118" i="4"/>
  <c r="C118" i="4"/>
  <c r="D118" i="4"/>
  <c r="E118" i="4"/>
  <c r="F118" i="4"/>
  <c r="G118" i="4"/>
  <c r="H118" i="4"/>
  <c r="I118" i="4"/>
  <c r="B119" i="4"/>
  <c r="C119" i="4"/>
  <c r="D119" i="4"/>
  <c r="E119" i="4"/>
  <c r="F119" i="4"/>
  <c r="G119" i="4"/>
  <c r="H119" i="4"/>
  <c r="I119" i="4"/>
  <c r="B120" i="4"/>
  <c r="C120" i="4"/>
  <c r="D120" i="4"/>
  <c r="E120" i="4"/>
  <c r="F120" i="4"/>
  <c r="G120" i="4"/>
  <c r="H120" i="4"/>
  <c r="I120" i="4"/>
  <c r="B121" i="4"/>
  <c r="C121" i="4"/>
  <c r="D121" i="4"/>
  <c r="E121" i="4"/>
  <c r="F121" i="4"/>
  <c r="G121" i="4"/>
  <c r="H121" i="4"/>
  <c r="I121" i="4"/>
  <c r="B122" i="4"/>
  <c r="C122" i="4"/>
  <c r="D122" i="4"/>
  <c r="E122" i="4"/>
  <c r="F122" i="4"/>
  <c r="G122" i="4"/>
  <c r="H122" i="4"/>
  <c r="I122" i="4"/>
  <c r="B123" i="4"/>
  <c r="C123" i="4"/>
  <c r="D123" i="4"/>
  <c r="E123" i="4"/>
  <c r="F123" i="4"/>
  <c r="G123" i="4"/>
  <c r="H123" i="4"/>
  <c r="I123" i="4"/>
  <c r="B124" i="4"/>
  <c r="C124" i="4"/>
  <c r="D124" i="4"/>
  <c r="E124" i="4"/>
  <c r="F124" i="4"/>
  <c r="G124" i="4"/>
  <c r="H124" i="4"/>
  <c r="I124" i="4"/>
  <c r="B125" i="4"/>
  <c r="C125" i="4"/>
  <c r="D125" i="4"/>
  <c r="E125" i="4"/>
  <c r="F125" i="4"/>
  <c r="G125" i="4"/>
  <c r="H125" i="4"/>
  <c r="I125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4" i="2"/>
  <c r="W5" i="2"/>
  <c r="W6" i="2"/>
  <c r="W7" i="2"/>
  <c r="W8" i="2"/>
  <c r="W9" i="2"/>
  <c r="W10" i="2"/>
  <c r="W11" i="2"/>
  <c r="W12" i="2"/>
  <c r="W13" i="2"/>
  <c r="W14" i="2"/>
  <c r="B209" i="2"/>
  <c r="C209" i="2"/>
  <c r="D209" i="2"/>
  <c r="E209" i="2"/>
  <c r="F209" i="2"/>
  <c r="G209" i="2"/>
  <c r="H209" i="2"/>
  <c r="I209" i="2"/>
  <c r="B210" i="2"/>
  <c r="C210" i="2"/>
  <c r="D210" i="2"/>
  <c r="E210" i="2"/>
  <c r="F210" i="2"/>
  <c r="G210" i="2"/>
  <c r="H210" i="2"/>
  <c r="I210" i="2"/>
  <c r="B211" i="2"/>
  <c r="C211" i="2"/>
  <c r="D211" i="2"/>
  <c r="E211" i="2"/>
  <c r="F211" i="2"/>
  <c r="G211" i="2"/>
  <c r="H211" i="2"/>
  <c r="I211" i="2"/>
  <c r="B212" i="2"/>
  <c r="C212" i="2"/>
  <c r="D212" i="2"/>
  <c r="E212" i="2"/>
  <c r="F212" i="2"/>
  <c r="G212" i="2"/>
  <c r="H212" i="2"/>
  <c r="I212" i="2"/>
  <c r="B213" i="2"/>
  <c r="C213" i="2"/>
  <c r="D213" i="2"/>
  <c r="E213" i="2"/>
  <c r="F213" i="2"/>
  <c r="G213" i="2"/>
  <c r="H213" i="2"/>
  <c r="I213" i="2"/>
  <c r="B214" i="2"/>
  <c r="C214" i="2"/>
  <c r="D214" i="2"/>
  <c r="E214" i="2"/>
  <c r="F214" i="2"/>
  <c r="G214" i="2"/>
  <c r="H214" i="2"/>
  <c r="I214" i="2"/>
  <c r="B215" i="2"/>
  <c r="C215" i="2"/>
  <c r="D215" i="2"/>
  <c r="E215" i="2"/>
  <c r="F215" i="2"/>
  <c r="G215" i="2"/>
  <c r="H215" i="2"/>
  <c r="I215" i="2"/>
  <c r="B216" i="2"/>
  <c r="C216" i="2"/>
  <c r="D216" i="2"/>
  <c r="E216" i="2"/>
  <c r="F216" i="2"/>
  <c r="G216" i="2"/>
  <c r="H216" i="2"/>
  <c r="I216" i="2"/>
  <c r="B217" i="2"/>
  <c r="C217" i="2"/>
  <c r="D217" i="2"/>
  <c r="E217" i="2"/>
  <c r="F217" i="2"/>
  <c r="G217" i="2"/>
  <c r="H217" i="2"/>
  <c r="I217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H19" i="6" l="1"/>
  <c r="E34" i="8"/>
  <c r="H34" i="8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3" i="8" a="1"/>
  <c r="R3" i="8" s="1"/>
  <c r="AN4" i="6" a="1"/>
  <c r="AN4" i="6" s="1"/>
  <c r="AN5" i="6" a="1"/>
  <c r="AN5" i="6"/>
  <c r="AN6" i="6" a="1"/>
  <c r="AN6" i="6" s="1"/>
  <c r="AN7" i="6" a="1"/>
  <c r="AN7" i="6" s="1"/>
  <c r="AN8" i="6" a="1"/>
  <c r="AN8" i="6" s="1"/>
  <c r="AN9" i="6" a="1"/>
  <c r="AN9" i="6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5" i="6" a="1"/>
  <c r="AN15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/>
  <c r="AN38" i="6" a="1"/>
  <c r="AN38" i="6" s="1"/>
  <c r="AN39" i="6" a="1"/>
  <c r="AN39" i="6" s="1"/>
  <c r="AN40" i="6" a="1"/>
  <c r="AN40" i="6" s="1"/>
  <c r="AN41" i="6" a="1"/>
  <c r="AN41" i="6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AN150" i="6" a="1"/>
  <c r="AN150" i="6" s="1"/>
  <c r="AN151" i="6" a="1"/>
  <c r="AN151" i="6" s="1"/>
  <c r="AN152" i="6" a="1"/>
  <c r="AN152" i="6" s="1"/>
  <c r="AN153" i="6" a="1"/>
  <c r="AN153" i="6" s="1"/>
  <c r="AN154" i="6" a="1"/>
  <c r="AN154" i="6" s="1"/>
  <c r="AN155" i="6" a="1"/>
  <c r="AN155" i="6" s="1"/>
  <c r="AN156" i="6" a="1"/>
  <c r="AN156" i="6" s="1"/>
  <c r="AN157" i="6" a="1"/>
  <c r="AN157" i="6" s="1"/>
  <c r="AN158" i="6" a="1"/>
  <c r="AN158" i="6" s="1"/>
  <c r="AN159" i="6" a="1"/>
  <c r="AN159" i="6" s="1"/>
  <c r="AN160" i="6" a="1"/>
  <c r="AN160" i="6" s="1"/>
  <c r="AN161" i="6" a="1"/>
  <c r="AN161" i="6" s="1"/>
  <c r="AN162" i="6" a="1"/>
  <c r="AN162" i="6" s="1"/>
  <c r="AN163" i="6" a="1"/>
  <c r="AN163" i="6" s="1"/>
  <c r="AN164" i="6" a="1"/>
  <c r="AN164" i="6" s="1"/>
  <c r="AN165" i="6" a="1"/>
  <c r="AN165" i="6" s="1"/>
  <c r="AN166" i="6" a="1"/>
  <c r="AN166" i="6" s="1"/>
  <c r="AN167" i="6" a="1"/>
  <c r="AN167" i="6" s="1"/>
  <c r="AN168" i="6" a="1"/>
  <c r="AN168" i="6" s="1"/>
  <c r="AN169" i="6" a="1"/>
  <c r="AN169" i="6" s="1"/>
  <c r="AN170" i="6" a="1"/>
  <c r="AN170" i="6" s="1"/>
  <c r="AN171" i="6" a="1"/>
  <c r="AN171" i="6" s="1"/>
  <c r="AN172" i="6" a="1"/>
  <c r="AN172" i="6" s="1"/>
  <c r="AN173" i="6" a="1"/>
  <c r="AN173" i="6" s="1"/>
  <c r="AN174" i="6" a="1"/>
  <c r="AN174" i="6" s="1"/>
  <c r="AN175" i="6" a="1"/>
  <c r="AN175" i="6" s="1"/>
  <c r="AN176" i="6" a="1"/>
  <c r="AN176" i="6" s="1"/>
  <c r="AN177" i="6" a="1"/>
  <c r="AN177" i="6" s="1"/>
  <c r="AN178" i="6" a="1"/>
  <c r="AN178" i="6" s="1"/>
  <c r="W12" i="6" a="1"/>
  <c r="W12" i="6" s="1"/>
  <c r="W13" i="6" a="1"/>
  <c r="W13" i="6" s="1"/>
  <c r="W14" i="6" a="1"/>
  <c r="W14" i="6"/>
  <c r="W15" i="6" a="1"/>
  <c r="W15" i="6"/>
  <c r="W16" i="6" a="1"/>
  <c r="W16" i="6" s="1"/>
  <c r="W17" i="6" a="1"/>
  <c r="W17" i="6" s="1"/>
  <c r="W18" i="6" a="1"/>
  <c r="W18" i="6"/>
  <c r="W19" i="6" a="1"/>
  <c r="W19" i="6"/>
  <c r="W20" i="6" a="1"/>
  <c r="W20" i="6" s="1"/>
  <c r="W21" i="6" a="1"/>
  <c r="W21" i="6"/>
  <c r="W22" i="6" a="1"/>
  <c r="W22" i="6" s="1"/>
  <c r="W23" i="6" a="1"/>
  <c r="W23" i="6"/>
  <c r="W24" i="6" a="1"/>
  <c r="W24" i="6" s="1"/>
  <c r="W25" i="6" a="1"/>
  <c r="W25" i="6"/>
  <c r="W26" i="6" a="1"/>
  <c r="W26" i="6" s="1"/>
  <c r="W27" i="6" a="1"/>
  <c r="W27" i="6"/>
  <c r="W28" i="6" a="1"/>
  <c r="W28" i="6" s="1"/>
  <c r="W29" i="6" a="1"/>
  <c r="W29" i="6"/>
  <c r="W30" i="6" a="1"/>
  <c r="W30" i="6"/>
  <c r="W31" i="6" a="1"/>
  <c r="W31" i="6" s="1"/>
  <c r="W32" i="6" a="1"/>
  <c r="W32" i="6" s="1"/>
  <c r="W33" i="6" a="1"/>
  <c r="W33" i="6"/>
  <c r="W34" i="6" a="1"/>
  <c r="W34" i="6"/>
  <c r="W35" i="6" a="1"/>
  <c r="W35" i="6" s="1"/>
  <c r="W36" i="6" a="1"/>
  <c r="W36" i="6" s="1"/>
  <c r="W37" i="6" a="1"/>
  <c r="W37" i="6"/>
  <c r="W38" i="6" a="1"/>
  <c r="W38" i="6"/>
  <c r="W39" i="6" a="1"/>
  <c r="W39" i="6"/>
  <c r="W40" i="6" a="1"/>
  <c r="W40" i="6" s="1"/>
  <c r="W41" i="6" a="1"/>
  <c r="W41" i="6"/>
  <c r="W42" i="6" a="1"/>
  <c r="W42" i="6"/>
  <c r="W43" i="6" a="1"/>
  <c r="W43" i="6"/>
  <c r="W44" i="6" a="1"/>
  <c r="W44" i="6" s="1"/>
  <c r="W45" i="6" a="1"/>
  <c r="W45" i="6" s="1"/>
  <c r="W46" i="6" a="1"/>
  <c r="W46" i="6"/>
  <c r="W47" i="6" a="1"/>
  <c r="W47" i="6"/>
  <c r="W48" i="6" a="1"/>
  <c r="W48" i="6" s="1"/>
  <c r="W49" i="6" a="1"/>
  <c r="W49" i="6" s="1"/>
  <c r="W50" i="6" a="1"/>
  <c r="W50" i="6" s="1"/>
  <c r="W51" i="6" a="1"/>
  <c r="W51" i="6"/>
  <c r="W52" i="6" a="1"/>
  <c r="W52" i="6" s="1"/>
  <c r="W53" i="6" a="1"/>
  <c r="W53" i="6"/>
  <c r="W54" i="6" a="1"/>
  <c r="W54" i="6" s="1"/>
  <c r="W55" i="6" a="1"/>
  <c r="W55" i="6" s="1"/>
  <c r="W56" i="6" a="1"/>
  <c r="W56" i="6" s="1"/>
  <c r="W57" i="6" a="1"/>
  <c r="W57" i="6"/>
  <c r="W58" i="6" a="1"/>
  <c r="W58" i="6" s="1"/>
  <c r="W59" i="6" a="1"/>
  <c r="W59" i="6"/>
  <c r="W60" i="6" a="1"/>
  <c r="W60" i="6" s="1"/>
  <c r="W61" i="6" a="1"/>
  <c r="W61" i="6"/>
  <c r="W62" i="6" a="1"/>
  <c r="W62" i="6" s="1"/>
  <c r="W63" i="6" a="1"/>
  <c r="W63" i="6"/>
  <c r="W64" i="6" a="1"/>
  <c r="W64" i="6" s="1"/>
  <c r="W65" i="6" a="1"/>
  <c r="W65" i="6" s="1"/>
  <c r="W66" i="6" a="1"/>
  <c r="W66" i="6" s="1"/>
  <c r="W67" i="6" a="1"/>
  <c r="W67" i="6"/>
  <c r="W68" i="6" a="1"/>
  <c r="W68" i="6" s="1"/>
  <c r="W69" i="6" a="1"/>
  <c r="W69" i="6"/>
  <c r="W70" i="6" a="1"/>
  <c r="W70" i="6" s="1"/>
  <c r="W71" i="6" a="1"/>
  <c r="W71" i="6" s="1"/>
  <c r="W72" i="6" a="1"/>
  <c r="W72" i="6" s="1"/>
  <c r="W73" i="6" a="1"/>
  <c r="W73" i="6"/>
  <c r="W74" i="6" a="1"/>
  <c r="W74" i="6" s="1"/>
  <c r="W75" i="6" a="1"/>
  <c r="W75" i="6"/>
  <c r="W76" i="6" a="1"/>
  <c r="W76" i="6" s="1"/>
  <c r="W77" i="6" a="1"/>
  <c r="W77" i="6"/>
  <c r="W78" i="6" a="1"/>
  <c r="W78" i="6" s="1"/>
  <c r="W79" i="6" a="1"/>
  <c r="W79" i="6"/>
  <c r="W80" i="6" a="1"/>
  <c r="W80" i="6" s="1"/>
  <c r="W81" i="6" a="1"/>
  <c r="W81" i="6" s="1"/>
  <c r="W82" i="6" a="1"/>
  <c r="W82" i="6" s="1"/>
  <c r="W83" i="6" a="1"/>
  <c r="W83" i="6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/>
  <c r="W90" i="6" a="1"/>
  <c r="W90" i="6" s="1"/>
  <c r="W91" i="6" a="1"/>
  <c r="W91" i="6"/>
  <c r="W92" i="6" a="1"/>
  <c r="W92" i="6" s="1"/>
  <c r="W93" i="6" a="1"/>
  <c r="W93" i="6"/>
  <c r="W94" i="6" a="1"/>
  <c r="W94" i="6" s="1"/>
  <c r="W95" i="6" a="1"/>
  <c r="W95" i="6"/>
  <c r="W96" i="6" a="1"/>
  <c r="W96" i="6" s="1"/>
  <c r="W97" i="6" a="1"/>
  <c r="W97" i="6"/>
  <c r="W98" i="6" a="1"/>
  <c r="W98" i="6" s="1"/>
  <c r="W99" i="6" a="1"/>
  <c r="W99" i="6"/>
  <c r="W100" i="6" a="1"/>
  <c r="W100" i="6" s="1"/>
  <c r="W101" i="6" a="1"/>
  <c r="W101" i="6" s="1"/>
  <c r="W102" i="6" a="1"/>
  <c r="W102" i="6" s="1"/>
  <c r="W103" i="6" a="1"/>
  <c r="W103" i="6"/>
  <c r="W104" i="6" a="1"/>
  <c r="W104" i="6" s="1"/>
  <c r="W105" i="6" a="1"/>
  <c r="W105" i="6" s="1"/>
  <c r="W106" i="6" a="1"/>
  <c r="W106" i="6" s="1"/>
  <c r="W107" i="6" a="1"/>
  <c r="W107" i="6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/>
  <c r="W116" i="6" a="1"/>
  <c r="W116" i="6" s="1"/>
  <c r="W117" i="6" a="1"/>
  <c r="W117" i="6" s="1"/>
  <c r="W118" i="6" a="1"/>
  <c r="W118" i="6" s="1"/>
  <c r="W119" i="6" a="1"/>
  <c r="W119" i="6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/>
  <c r="W128" i="6" a="1"/>
  <c r="W128" i="6" s="1"/>
  <c r="W129" i="6" a="1"/>
  <c r="W129" i="6" s="1"/>
  <c r="W130" i="6" a="1"/>
  <c r="W130" i="6" s="1"/>
  <c r="W131" i="6" a="1"/>
  <c r="W131" i="6"/>
  <c r="W132" i="6" a="1"/>
  <c r="W132" i="6" s="1"/>
  <c r="W133" i="6" a="1"/>
  <c r="W133" i="6" s="1"/>
  <c r="W134" i="6" a="1"/>
  <c r="W134" i="6" s="1"/>
  <c r="W135" i="6" a="1"/>
  <c r="W135" i="6"/>
  <c r="W136" i="6" a="1"/>
  <c r="W136" i="6" s="1"/>
  <c r="W137" i="6" a="1"/>
  <c r="W137" i="6" s="1"/>
  <c r="W138" i="6" a="1"/>
  <c r="W138" i="6" s="1"/>
  <c r="W139" i="6" a="1"/>
  <c r="W139" i="6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/>
  <c r="W148" i="6" a="1"/>
  <c r="W148" i="6" s="1"/>
  <c r="W149" i="6" a="1"/>
  <c r="W149" i="6" s="1"/>
  <c r="W150" i="6" a="1"/>
  <c r="W150" i="6" s="1"/>
  <c r="W151" i="6" a="1"/>
  <c r="W151" i="6"/>
  <c r="W152" i="6" a="1"/>
  <c r="W152" i="6" s="1"/>
  <c r="W153" i="6" a="1"/>
  <c r="W153" i="6" s="1"/>
  <c r="W154" i="6" a="1"/>
  <c r="W154" i="6" s="1"/>
  <c r="W155" i="6" a="1"/>
  <c r="W155" i="6" s="1"/>
  <c r="W156" i="6" a="1"/>
  <c r="W156" i="6" s="1"/>
  <c r="W157" i="6" a="1"/>
  <c r="W157" i="6" s="1"/>
  <c r="W158" i="6" a="1"/>
  <c r="W158" i="6" s="1"/>
  <c r="W159" i="6" a="1"/>
  <c r="W159" i="6"/>
  <c r="W160" i="6" a="1"/>
  <c r="W160" i="6" s="1"/>
  <c r="W161" i="6" a="1"/>
  <c r="W161" i="6" s="1"/>
  <c r="W162" i="6" a="1"/>
  <c r="W162" i="6" s="1"/>
  <c r="W163" i="6" a="1"/>
  <c r="W163" i="6"/>
  <c r="W164" i="6" a="1"/>
  <c r="W164" i="6" s="1"/>
  <c r="W165" i="6" a="1"/>
  <c r="W165" i="6" s="1"/>
  <c r="W166" i="6" a="1"/>
  <c r="W166" i="6" s="1"/>
  <c r="W167" i="6" a="1"/>
  <c r="W167" i="6"/>
  <c r="W168" i="6" a="1"/>
  <c r="W168" i="6" s="1"/>
  <c r="W169" i="6" a="1"/>
  <c r="W169" i="6" s="1"/>
  <c r="W170" i="6" a="1"/>
  <c r="W170" i="6" s="1"/>
  <c r="W171" i="6" a="1"/>
  <c r="W171" i="6"/>
  <c r="W172" i="6" a="1"/>
  <c r="W172" i="6" s="1"/>
  <c r="W173" i="6" a="1"/>
  <c r="W173" i="6" s="1"/>
  <c r="W174" i="6" a="1"/>
  <c r="W174" i="6" s="1"/>
  <c r="W175" i="6" a="1"/>
  <c r="W175" i="6" s="1"/>
  <c r="W176" i="6" a="1"/>
  <c r="W176" i="6" s="1"/>
  <c r="W177" i="6" a="1"/>
  <c r="W177" i="6" s="1"/>
  <c r="W178" i="6" a="1"/>
  <c r="W178" i="6" s="1"/>
  <c r="W4" i="6" a="1"/>
  <c r="W4" i="6" s="1"/>
  <c r="W5" i="6" a="1"/>
  <c r="W5" i="6"/>
  <c r="W6" i="6" a="1"/>
  <c r="W6" i="6" s="1"/>
  <c r="W7" i="6" a="1"/>
  <c r="W7" i="6"/>
  <c r="W8" i="6" a="1"/>
  <c r="W8" i="6" s="1"/>
  <c r="W9" i="6" a="1"/>
  <c r="W9" i="6"/>
  <c r="W10" i="6" a="1"/>
  <c r="W10" i="6" s="1"/>
  <c r="W11" i="6" a="1"/>
  <c r="W11" i="6" s="1"/>
  <c r="AV4" i="4" a="1"/>
  <c r="AV4" i="4" s="1"/>
  <c r="AV5" i="4" a="1"/>
  <c r="AV5" i="4"/>
  <c r="AV6" i="4" a="1"/>
  <c r="AV6" i="4" s="1"/>
  <c r="AV7" i="4" a="1"/>
  <c r="AV7" i="4" s="1"/>
  <c r="AV8" i="4" a="1"/>
  <c r="AV8" i="4" s="1"/>
  <c r="AV9" i="4" a="1"/>
  <c r="AV9" i="4" s="1"/>
  <c r="AV10" i="4" a="1"/>
  <c r="AV10" i="4" s="1"/>
  <c r="AV11" i="4" a="1"/>
  <c r="AV11" i="4" s="1"/>
  <c r="AV12" i="4" a="1"/>
  <c r="AV12" i="4" s="1"/>
  <c r="AV13" i="4" a="1"/>
  <c r="AV13" i="4"/>
  <c r="AV14" i="4" a="1"/>
  <c r="AV14" i="4" s="1"/>
  <c r="AV3" i="4" a="1"/>
  <c r="AV3" i="4" s="1"/>
  <c r="P3" i="2"/>
  <c r="H2" i="10"/>
  <c r="G2" i="10"/>
  <c r="F2" i="10"/>
  <c r="W3" i="2"/>
  <c r="U3" i="9" a="1"/>
  <c r="U3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/>
  <c r="AN6" i="7" a="1"/>
  <c r="AN6" i="7" s="1"/>
  <c r="AN7" i="7" a="1"/>
  <c r="AN7" i="7"/>
  <c r="AN8" i="7" a="1"/>
  <c r="AN8" i="7" s="1"/>
  <c r="AN9" i="7" a="1"/>
  <c r="AN9" i="7"/>
  <c r="AN10" i="7" a="1"/>
  <c r="AN10" i="7" s="1"/>
  <c r="AN11" i="7" a="1"/>
  <c r="AN11" i="7"/>
  <c r="AN12" i="7" a="1"/>
  <c r="AN12" i="7" s="1"/>
  <c r="AN13" i="7" a="1"/>
  <c r="AN13" i="7"/>
  <c r="AN14" i="7" a="1"/>
  <c r="AN14" i="7" s="1"/>
  <c r="AN15" i="7" a="1"/>
  <c r="AN15" i="7"/>
  <c r="AN16" i="7" a="1"/>
  <c r="AN16" i="7" s="1"/>
  <c r="AN17" i="7" a="1"/>
  <c r="AN17" i="7"/>
  <c r="AN18" i="7" a="1"/>
  <c r="AN18" i="7" s="1"/>
  <c r="AN19" i="7" a="1"/>
  <c r="AN19" i="7"/>
  <c r="AN20" i="7" a="1"/>
  <c r="AN20" i="7" s="1"/>
  <c r="AN21" i="7" a="1"/>
  <c r="AN21" i="7"/>
  <c r="AN22" i="7" a="1"/>
  <c r="AN22" i="7" s="1"/>
  <c r="AN23" i="7" a="1"/>
  <c r="AN23" i="7"/>
  <c r="AN24" i="7" a="1"/>
  <c r="AN24" i="7" s="1"/>
  <c r="AN25" i="7" a="1"/>
  <c r="AN25" i="7"/>
  <c r="AN26" i="7" a="1"/>
  <c r="AN26" i="7" s="1"/>
  <c r="AN27" i="7" a="1"/>
  <c r="AN27" i="7"/>
  <c r="AN28" i="7" a="1"/>
  <c r="AN28" i="7" s="1"/>
  <c r="AN29" i="7" a="1"/>
  <c r="AN29" i="7"/>
  <c r="AN30" i="7" a="1"/>
  <c r="AN30" i="7" s="1"/>
  <c r="AN31" i="7" a="1"/>
  <c r="AN31" i="7"/>
  <c r="AN32" i="7" a="1"/>
  <c r="AN32" i="7" s="1"/>
  <c r="AN33" i="7" a="1"/>
  <c r="AN33" i="7"/>
  <c r="AN34" i="7" a="1"/>
  <c r="AN34" i="7" s="1"/>
  <c r="AN35" i="7" a="1"/>
  <c r="AN35" i="7"/>
  <c r="AN36" i="7" a="1"/>
  <c r="AN36" i="7" s="1"/>
  <c r="AN37" i="7" a="1"/>
  <c r="AN37" i="7"/>
  <c r="AN38" i="7" a="1"/>
  <c r="AN38" i="7" s="1"/>
  <c r="AN39" i="7" a="1"/>
  <c r="AN39" i="7"/>
  <c r="AN40" i="7" a="1"/>
  <c r="AN40" i="7" s="1"/>
  <c r="AN41" i="7" a="1"/>
  <c r="AN41" i="7"/>
  <c r="AN42" i="7" a="1"/>
  <c r="AN42" i="7" s="1"/>
  <c r="AN43" i="7" a="1"/>
  <c r="AN43" i="7"/>
  <c r="AN44" i="7" a="1"/>
  <c r="AN44" i="7" s="1"/>
  <c r="AN45" i="7" a="1"/>
  <c r="AN45" i="7"/>
  <c r="AN46" i="7" a="1"/>
  <c r="AN46" i="7" s="1"/>
  <c r="AN47" i="7" a="1"/>
  <c r="AN47" i="7"/>
  <c r="AN48" i="7" a="1"/>
  <c r="AN48" i="7" s="1"/>
  <c r="AN49" i="7" a="1"/>
  <c r="AN49" i="7"/>
  <c r="AN50" i="7" a="1"/>
  <c r="AN50" i="7" s="1"/>
  <c r="AN51" i="7" a="1"/>
  <c r="AN51" i="7"/>
  <c r="AN52" i="7" a="1"/>
  <c r="AN52" i="7" s="1"/>
  <c r="AN53" i="7" a="1"/>
  <c r="AN53" i="7"/>
  <c r="AN54" i="7" a="1"/>
  <c r="AN54" i="7" s="1"/>
  <c r="AN55" i="7" a="1"/>
  <c r="AN55" i="7"/>
  <c r="AN56" i="7" a="1"/>
  <c r="AN56" i="7" s="1"/>
  <c r="AN57" i="7" a="1"/>
  <c r="AN57" i="7"/>
  <c r="AN58" i="7" a="1"/>
  <c r="AN58" i="7" s="1"/>
  <c r="AN59" i="7" a="1"/>
  <c r="AN59" i="7"/>
  <c r="AN60" i="7" a="1"/>
  <c r="AN60" i="7" s="1"/>
  <c r="AN61" i="7" a="1"/>
  <c r="AN61" i="7"/>
  <c r="AN62" i="7" a="1"/>
  <c r="AN62" i="7" s="1"/>
  <c r="AN63" i="7" a="1"/>
  <c r="AN63" i="7"/>
  <c r="AN64" i="7" a="1"/>
  <c r="AN64" i="7" s="1"/>
  <c r="AN65" i="7" a="1"/>
  <c r="AN65" i="7"/>
  <c r="AN66" i="7" a="1"/>
  <c r="AN66" i="7" s="1"/>
  <c r="AN67" i="7" a="1"/>
  <c r="AN67" i="7"/>
  <c r="AN68" i="7" a="1"/>
  <c r="AN68" i="7" s="1"/>
  <c r="AN69" i="7" a="1"/>
  <c r="AN69" i="7"/>
  <c r="AN70" i="7" a="1"/>
  <c r="AN70" i="7" s="1"/>
  <c r="AN71" i="7" a="1"/>
  <c r="AN71" i="7"/>
  <c r="AN72" i="7" a="1"/>
  <c r="AN72" i="7" s="1"/>
  <c r="AN73" i="7" a="1"/>
  <c r="AN73" i="7"/>
  <c r="AN74" i="7" a="1"/>
  <c r="AN74" i="7" s="1"/>
  <c r="AN75" i="7" a="1"/>
  <c r="AN75" i="7"/>
  <c r="AN76" i="7" a="1"/>
  <c r="AN76" i="7" s="1"/>
  <c r="AN77" i="7" a="1"/>
  <c r="AN77" i="7"/>
  <c r="AN78" i="7" a="1"/>
  <c r="AN78" i="7" s="1"/>
  <c r="AN79" i="7" a="1"/>
  <c r="AN79" i="7"/>
  <c r="AN80" i="7" a="1"/>
  <c r="AN80" i="7" s="1"/>
  <c r="AN81" i="7" a="1"/>
  <c r="AN81" i="7" s="1"/>
  <c r="AN82" i="7" a="1"/>
  <c r="AN82" i="7" s="1"/>
  <c r="AN83" i="7" a="1"/>
  <c r="AN83" i="7"/>
  <c r="AN84" i="7" a="1"/>
  <c r="AN84" i="7" s="1"/>
  <c r="AN85" i="7" a="1"/>
  <c r="AN85" i="7" s="1"/>
  <c r="AN86" i="7" a="1"/>
  <c r="AN86" i="7" s="1"/>
  <c r="AN87" i="7" a="1"/>
  <c r="AN87" i="7"/>
  <c r="AN88" i="7" a="1"/>
  <c r="AN88" i="7" s="1"/>
  <c r="AN89" i="7" a="1"/>
  <c r="AN89" i="7" s="1"/>
  <c r="AN90" i="7" a="1"/>
  <c r="AN90" i="7" s="1"/>
  <c r="AN91" i="7" a="1"/>
  <c r="AN91" i="7"/>
  <c r="AN92" i="7" a="1"/>
  <c r="AN92" i="7" s="1"/>
  <c r="AN93" i="7" a="1"/>
  <c r="AN93" i="7" s="1"/>
  <c r="AN94" i="7" a="1"/>
  <c r="AN94" i="7" s="1"/>
  <c r="AN95" i="7" a="1"/>
  <c r="AN95" i="7"/>
  <c r="AN96" i="7" a="1"/>
  <c r="AN96" i="7" s="1"/>
  <c r="AN97" i="7" a="1"/>
  <c r="AN97" i="7" s="1"/>
  <c r="AN98" i="7" a="1"/>
  <c r="AN98" i="7" s="1"/>
  <c r="AN99" i="7" a="1"/>
  <c r="AN99" i="7"/>
  <c r="AN100" i="7" a="1"/>
  <c r="AN100" i="7" s="1"/>
  <c r="AN101" i="7" a="1"/>
  <c r="AN101" i="7" s="1"/>
  <c r="AN102" i="7" a="1"/>
  <c r="AN102" i="7" s="1"/>
  <c r="AN103" i="7" a="1"/>
  <c r="AN103" i="7"/>
  <c r="AN104" i="7" a="1"/>
  <c r="AN104" i="7" s="1"/>
  <c r="AN105" i="7" a="1"/>
  <c r="AN105" i="7" s="1"/>
  <c r="AN106" i="7" a="1"/>
  <c r="AN106" i="7" s="1"/>
  <c r="AN107" i="7" a="1"/>
  <c r="AN107" i="7"/>
  <c r="AN108" i="7" a="1"/>
  <c r="AN108" i="7" s="1"/>
  <c r="AN109" i="7" a="1"/>
  <c r="AN109" i="7" s="1"/>
  <c r="AN110" i="7" a="1"/>
  <c r="AN110" i="7" s="1"/>
  <c r="AN111" i="7" a="1"/>
  <c r="AN111" i="7"/>
  <c r="AN112" i="7" a="1"/>
  <c r="AN112" i="7" s="1"/>
  <c r="AN113" i="7" a="1"/>
  <c r="AN113" i="7" s="1"/>
  <c r="AN114" i="7" a="1"/>
  <c r="AN114" i="7" s="1"/>
  <c r="AN115" i="7" a="1"/>
  <c r="AN115" i="7"/>
  <c r="AN116" i="7" a="1"/>
  <c r="AN116" i="7" s="1"/>
  <c r="AN117" i="7" a="1"/>
  <c r="AN117" i="7" s="1"/>
  <c r="AN118" i="7" a="1"/>
  <c r="AN118" i="7" s="1"/>
  <c r="AN119" i="7" a="1"/>
  <c r="AN119" i="7"/>
  <c r="AN120" i="7" a="1"/>
  <c r="AN120" i="7" s="1"/>
  <c r="AN121" i="7" a="1"/>
  <c r="AN121" i="7" s="1"/>
  <c r="AN122" i="7" a="1"/>
  <c r="AN122" i="7" s="1"/>
  <c r="AN123" i="7" a="1"/>
  <c r="AN123" i="7"/>
  <c r="AN124" i="7" a="1"/>
  <c r="AN124" i="7" s="1"/>
  <c r="AN125" i="7" a="1"/>
  <c r="AN125" i="7" s="1"/>
  <c r="AN126" i="7" a="1"/>
  <c r="AN126" i="7" s="1"/>
  <c r="AN127" i="7" a="1"/>
  <c r="AN127" i="7"/>
  <c r="AN128" i="7" a="1"/>
  <c r="AN128" i="7" s="1"/>
  <c r="AN129" i="7" a="1"/>
  <c r="AN129" i="7" s="1"/>
  <c r="AN130" i="7" a="1"/>
  <c r="AN130" i="7" s="1"/>
  <c r="AN131" i="7" a="1"/>
  <c r="AN131" i="7"/>
  <c r="AN132" i="7" a="1"/>
  <c r="AN132" i="7" s="1"/>
  <c r="AN133" i="7" a="1"/>
  <c r="AN133" i="7" s="1"/>
  <c r="AN134" i="7" a="1"/>
  <c r="AN134" i="7" s="1"/>
  <c r="AN135" i="7" a="1"/>
  <c r="AN135" i="7"/>
  <c r="AN136" i="7" a="1"/>
  <c r="AN136" i="7" s="1"/>
  <c r="AN137" i="7" a="1"/>
  <c r="AN137" i="7" s="1"/>
  <c r="AN138" i="7" a="1"/>
  <c r="AN138" i="7" s="1"/>
  <c r="AN139" i="7" a="1"/>
  <c r="AN139" i="7"/>
  <c r="AN140" i="7" a="1"/>
  <c r="AN140" i="7" s="1"/>
  <c r="AN141" i="7" a="1"/>
  <c r="AN141" i="7" s="1"/>
  <c r="AN142" i="7" a="1"/>
  <c r="AN142" i="7" s="1"/>
  <c r="AN143" i="7" a="1"/>
  <c r="AN143" i="7"/>
  <c r="AN144" i="7" a="1"/>
  <c r="AN144" i="7" s="1"/>
  <c r="AN145" i="7" a="1"/>
  <c r="AN145" i="7" s="1"/>
  <c r="AN146" i="7" a="1"/>
  <c r="AN146" i="7" s="1"/>
  <c r="AN147" i="7" a="1"/>
  <c r="AN147" i="7"/>
  <c r="AN148" i="7" a="1"/>
  <c r="AN148" i="7" s="1"/>
  <c r="AN149" i="7" a="1"/>
  <c r="AN149" i="7" s="1"/>
  <c r="AN150" i="7" a="1"/>
  <c r="AN150" i="7" s="1"/>
  <c r="AN151" i="7" a="1"/>
  <c r="AN151" i="7"/>
  <c r="AN152" i="7" a="1"/>
  <c r="AN152" i="7" s="1"/>
  <c r="AN153" i="7" a="1"/>
  <c r="AN153" i="7" s="1"/>
  <c r="AN154" i="7" a="1"/>
  <c r="AN154" i="7" s="1"/>
  <c r="AN155" i="7" a="1"/>
  <c r="AN155" i="7"/>
  <c r="AN156" i="7" a="1"/>
  <c r="AN156" i="7" s="1"/>
  <c r="AN157" i="7" a="1"/>
  <c r="AN157" i="7" s="1"/>
  <c r="AN158" i="7" a="1"/>
  <c r="AN158" i="7" s="1"/>
  <c r="AN159" i="7" a="1"/>
  <c r="AN159" i="7"/>
  <c r="AN160" i="7" a="1"/>
  <c r="AN160" i="7" s="1"/>
  <c r="AN161" i="7" a="1"/>
  <c r="AN161" i="7" s="1"/>
  <c r="AN162" i="7" a="1"/>
  <c r="AN162" i="7" s="1"/>
  <c r="AN163" i="7" a="1"/>
  <c r="AN163" i="7"/>
  <c r="AN164" i="7" a="1"/>
  <c r="AN164" i="7" s="1"/>
  <c r="AN165" i="7" a="1"/>
  <c r="AN165" i="7" s="1"/>
  <c r="AN166" i="7" a="1"/>
  <c r="AN166" i="7" s="1"/>
  <c r="AN167" i="7" a="1"/>
  <c r="AN167" i="7"/>
  <c r="AN168" i="7" a="1"/>
  <c r="AN168" i="7" s="1"/>
  <c r="AN169" i="7" a="1"/>
  <c r="AN169" i="7" s="1"/>
  <c r="AN170" i="7" a="1"/>
  <c r="AN170" i="7" s="1"/>
  <c r="AN171" i="7" a="1"/>
  <c r="AN171" i="7"/>
  <c r="AN172" i="7" a="1"/>
  <c r="AN172" i="7" s="1"/>
  <c r="AN173" i="7" a="1"/>
  <c r="AN173" i="7" s="1"/>
  <c r="AN174" i="7" a="1"/>
  <c r="AN174" i="7" s="1"/>
  <c r="AN175" i="7" a="1"/>
  <c r="AN175" i="7"/>
  <c r="AN176" i="7" a="1"/>
  <c r="AN176" i="7" s="1"/>
  <c r="AN177" i="7" a="1"/>
  <c r="AN177" i="7" s="1"/>
  <c r="AN178" i="7" a="1"/>
  <c r="AN178" i="7" s="1"/>
  <c r="AN3" i="7" a="1"/>
  <c r="AN3" i="7" s="1"/>
  <c r="AN3" i="6" a="1"/>
  <c r="AN3" i="6" s="1"/>
  <c r="BC4" i="5" a="1"/>
  <c r="BC4" i="5" s="1"/>
  <c r="BC5" i="5" a="1"/>
  <c r="BC5" i="5" s="1"/>
  <c r="BC6" i="5" a="1"/>
  <c r="BC6" i="5" s="1"/>
  <c r="BC7" i="5" a="1"/>
  <c r="BC7" i="5" s="1"/>
  <c r="BC8" i="5" a="1"/>
  <c r="BC8" i="5" s="1"/>
  <c r="BC9" i="5" a="1"/>
  <c r="BC9" i="5" s="1"/>
  <c r="BC10" i="5" a="1"/>
  <c r="BC10" i="5" s="1"/>
  <c r="BC11" i="5" a="1"/>
  <c r="BC11" i="5" s="1"/>
  <c r="BC12" i="5" a="1"/>
  <c r="BC12" i="5" s="1"/>
  <c r="BC13" i="5" a="1"/>
  <c r="BC13" i="5" s="1"/>
  <c r="BC14" i="5" a="1"/>
  <c r="BC14" i="5" s="1"/>
  <c r="BC15" i="5" a="1"/>
  <c r="BC15" i="5" s="1"/>
  <c r="BC16" i="5" a="1"/>
  <c r="BC16" i="5" s="1"/>
  <c r="BC17" i="5" a="1"/>
  <c r="BC17" i="5" s="1"/>
  <c r="BC18" i="5" a="1"/>
  <c r="BC18" i="5" s="1"/>
  <c r="BC19" i="5" a="1"/>
  <c r="BC19" i="5" s="1"/>
  <c r="BC20" i="5" a="1"/>
  <c r="BC20" i="5" s="1"/>
  <c r="BC21" i="5" a="1"/>
  <c r="BC21" i="5" s="1"/>
  <c r="BC22" i="5" a="1"/>
  <c r="BC22" i="5" s="1"/>
  <c r="BC23" i="5" a="1"/>
  <c r="BC23" i="5" s="1"/>
  <c r="BC24" i="5" a="1"/>
  <c r="BC24" i="5" s="1"/>
  <c r="BC25" i="5" a="1"/>
  <c r="BC25" i="5" s="1"/>
  <c r="BC26" i="5" a="1"/>
  <c r="BC26" i="5" s="1"/>
  <c r="BC27" i="5" a="1"/>
  <c r="BC27" i="5" s="1"/>
  <c r="BC28" i="5" a="1"/>
  <c r="BC28" i="5" s="1"/>
  <c r="BC29" i="5" a="1"/>
  <c r="BC29" i="5" s="1"/>
  <c r="BC30" i="5" a="1"/>
  <c r="BC30" i="5" s="1"/>
  <c r="BC31" i="5" a="1"/>
  <c r="BC31" i="5" s="1"/>
  <c r="BC32" i="5" a="1"/>
  <c r="BC32" i="5" s="1"/>
  <c r="BC33" i="5" a="1"/>
  <c r="BC33" i="5" s="1"/>
  <c r="BC34" i="5" a="1"/>
  <c r="BC34" i="5" s="1"/>
  <c r="BC35" i="5" a="1"/>
  <c r="BC35" i="5" s="1"/>
  <c r="BC36" i="5" a="1"/>
  <c r="BC36" i="5" s="1"/>
  <c r="BC37" i="5" a="1"/>
  <c r="BC37" i="5" s="1"/>
  <c r="BC38" i="5" a="1"/>
  <c r="BC38" i="5"/>
  <c r="BC39" i="5" a="1"/>
  <c r="BC39" i="5" s="1"/>
  <c r="BC40" i="5" a="1"/>
  <c r="BC40" i="5" s="1"/>
  <c r="BC41" i="5" a="1"/>
  <c r="BC41" i="5" s="1"/>
  <c r="BC42" i="5" a="1"/>
  <c r="BC42" i="5" s="1"/>
  <c r="BC43" i="5" a="1"/>
  <c r="BC43" i="5" s="1"/>
  <c r="BC44" i="5" a="1"/>
  <c r="BC44" i="5" s="1"/>
  <c r="BC45" i="5" a="1"/>
  <c r="BC45" i="5" s="1"/>
  <c r="BC46" i="5" a="1"/>
  <c r="BC46" i="5" s="1"/>
  <c r="BC47" i="5" a="1"/>
  <c r="BC47" i="5" s="1"/>
  <c r="BC48" i="5" a="1"/>
  <c r="BC48" i="5" s="1"/>
  <c r="BC49" i="5" a="1"/>
  <c r="BC49" i="5" s="1"/>
  <c r="BC50" i="5" a="1"/>
  <c r="BC50" i="5" s="1"/>
  <c r="BC51" i="5" a="1"/>
  <c r="BC51" i="5" s="1"/>
  <c r="BC52" i="5" a="1"/>
  <c r="BC52" i="5" s="1"/>
  <c r="BC53" i="5" a="1"/>
  <c r="BC53" i="5" s="1"/>
  <c r="BC54" i="5" a="1"/>
  <c r="BC54" i="5" s="1"/>
  <c r="BC55" i="5" a="1"/>
  <c r="BC55" i="5" s="1"/>
  <c r="BC56" i="5" a="1"/>
  <c r="BC56" i="5" s="1"/>
  <c r="BC57" i="5" a="1"/>
  <c r="BC57" i="5" s="1"/>
  <c r="BC58" i="5" a="1"/>
  <c r="BC58" i="5" s="1"/>
  <c r="BC59" i="5" a="1"/>
  <c r="BC59" i="5" s="1"/>
  <c r="BC60" i="5" a="1"/>
  <c r="BC60" i="5" s="1"/>
  <c r="BC61" i="5" a="1"/>
  <c r="BC61" i="5" s="1"/>
  <c r="BC62" i="5" a="1"/>
  <c r="BC62" i="5" s="1"/>
  <c r="BC63" i="5" a="1"/>
  <c r="BC63" i="5" s="1"/>
  <c r="BC64" i="5" a="1"/>
  <c r="BC64" i="5" s="1"/>
  <c r="BC65" i="5" a="1"/>
  <c r="BC65" i="5" s="1"/>
  <c r="BC66" i="5" a="1"/>
  <c r="BC66" i="5" s="1"/>
  <c r="BC67" i="5" a="1"/>
  <c r="BC67" i="5" s="1"/>
  <c r="BC68" i="5" a="1"/>
  <c r="BC68" i="5"/>
  <c r="BC69" i="5" a="1"/>
  <c r="BC69" i="5" s="1"/>
  <c r="BC70" i="5" a="1"/>
  <c r="BC70" i="5" s="1"/>
  <c r="BC71" i="5" a="1"/>
  <c r="BC71" i="5" s="1"/>
  <c r="BC72" i="5" a="1"/>
  <c r="BC72" i="5" s="1"/>
  <c r="BC73" i="5" a="1"/>
  <c r="BC73" i="5" s="1"/>
  <c r="BC74" i="5" a="1"/>
  <c r="BC74" i="5" s="1"/>
  <c r="BC75" i="5" a="1"/>
  <c r="BC75" i="5" s="1"/>
  <c r="BC76" i="5" a="1"/>
  <c r="BC76" i="5" s="1"/>
  <c r="BC77" i="5" a="1"/>
  <c r="BC77" i="5" s="1"/>
  <c r="BC78" i="5" a="1"/>
  <c r="BC78" i="5" s="1"/>
  <c r="BC79" i="5" a="1"/>
  <c r="BC79" i="5" s="1"/>
  <c r="BC80" i="5" a="1"/>
  <c r="BC80" i="5" s="1"/>
  <c r="BC81" i="5" a="1"/>
  <c r="BC81" i="5" s="1"/>
  <c r="BC82" i="5" a="1"/>
  <c r="BC82" i="5" s="1"/>
  <c r="BC83" i="5" a="1"/>
  <c r="BC83" i="5" s="1"/>
  <c r="BC84" i="5" a="1"/>
  <c r="BC84" i="5" s="1"/>
  <c r="BC85" i="5" a="1"/>
  <c r="BC85" i="5" s="1"/>
  <c r="BC86" i="5" a="1"/>
  <c r="BC86" i="5" s="1"/>
  <c r="BC87" i="5" a="1"/>
  <c r="BC87" i="5" s="1"/>
  <c r="BC88" i="5" a="1"/>
  <c r="BC88" i="5" s="1"/>
  <c r="BC89" i="5" a="1"/>
  <c r="BC89" i="5" s="1"/>
  <c r="BC90" i="5" a="1"/>
  <c r="BC90" i="5" s="1"/>
  <c r="BC91" i="5" a="1"/>
  <c r="BC91" i="5" s="1"/>
  <c r="BC92" i="5" a="1"/>
  <c r="BC92" i="5" s="1"/>
  <c r="BC94" i="5" a="1"/>
  <c r="BC94" i="5" s="1"/>
  <c r="BC95" i="5" a="1"/>
  <c r="BC95" i="5"/>
  <c r="BC96" i="5" a="1"/>
  <c r="BC96" i="5" s="1"/>
  <c r="BC97" i="5" a="1"/>
  <c r="BC97" i="5" s="1"/>
  <c r="BC98" i="5" a="1"/>
  <c r="BC98" i="5" s="1"/>
  <c r="BC99" i="5" a="1"/>
  <c r="BC99" i="5"/>
  <c r="BC100" i="5" a="1"/>
  <c r="BC100" i="5" s="1"/>
  <c r="BC101" i="5" a="1"/>
  <c r="BC101" i="5" s="1"/>
  <c r="BC102" i="5" a="1"/>
  <c r="BC102" i="5" s="1"/>
  <c r="BC103" i="5" a="1"/>
  <c r="BC103" i="5" s="1"/>
  <c r="BC104" i="5" a="1"/>
  <c r="BC104" i="5" s="1"/>
  <c r="BC105" i="5" a="1"/>
  <c r="BC105" i="5" s="1"/>
  <c r="BC106" i="5" a="1"/>
  <c r="BC106" i="5" s="1"/>
  <c r="BC107" i="5" a="1"/>
  <c r="BC107" i="5" s="1"/>
  <c r="BC108" i="5" a="1"/>
  <c r="BC108" i="5" s="1"/>
  <c r="BC109" i="5" a="1"/>
  <c r="BC109" i="5" s="1"/>
  <c r="BC110" i="5" a="1"/>
  <c r="BC110" i="5" s="1"/>
  <c r="BC111" i="5" a="1"/>
  <c r="BC111" i="5" s="1"/>
  <c r="BC112" i="5" a="1"/>
  <c r="BC112" i="5" s="1"/>
  <c r="BC113" i="5" a="1"/>
  <c r="BC113" i="5" s="1"/>
  <c r="BC114" i="5" a="1"/>
  <c r="BC114" i="5" s="1"/>
  <c r="BC115" i="5" a="1"/>
  <c r="BC115" i="5" s="1"/>
  <c r="BC116" i="5" a="1"/>
  <c r="BC116" i="5" s="1"/>
  <c r="BC117" i="5" a="1"/>
  <c r="BC117" i="5" s="1"/>
  <c r="BC118" i="5" a="1"/>
  <c r="BC118" i="5"/>
  <c r="BC119" i="5" a="1"/>
  <c r="BC119" i="5" s="1"/>
  <c r="BC120" i="5" a="1"/>
  <c r="BC120" i="5" s="1"/>
  <c r="BC121" i="5" a="1"/>
  <c r="BC121" i="5" s="1"/>
  <c r="BC122" i="5" a="1"/>
  <c r="BC122" i="5" s="1"/>
  <c r="BC123" i="5" a="1"/>
  <c r="BC123" i="5" s="1"/>
  <c r="BC124" i="5" a="1"/>
  <c r="BC124" i="5" s="1"/>
  <c r="BC125" i="5" a="1"/>
  <c r="BC125" i="5" s="1"/>
  <c r="BC126" i="5" a="1"/>
  <c r="BC126" i="5" s="1"/>
  <c r="BC127" i="5" a="1"/>
  <c r="BC127" i="5" s="1"/>
  <c r="BC128" i="5" a="1"/>
  <c r="BC128" i="5" s="1"/>
  <c r="BC129" i="5" a="1"/>
  <c r="BC129" i="5" s="1"/>
  <c r="BC130" i="5" a="1"/>
  <c r="BC130" i="5" s="1"/>
  <c r="BC131" i="5" a="1"/>
  <c r="BC131" i="5" s="1"/>
  <c r="BC132" i="5" a="1"/>
  <c r="BC132" i="5" s="1"/>
  <c r="BC133" i="5" a="1"/>
  <c r="BC133" i="5" s="1"/>
  <c r="BC134" i="5" a="1"/>
  <c r="BC134" i="5" s="1"/>
  <c r="BC135" i="5" a="1"/>
  <c r="BC135" i="5" s="1"/>
  <c r="BC136" i="5" a="1"/>
  <c r="BC136" i="5" s="1"/>
  <c r="BC137" i="5" a="1"/>
  <c r="BC137" i="5" s="1"/>
  <c r="BC138" i="5" a="1"/>
  <c r="BC138" i="5" s="1"/>
  <c r="BC139" i="5" a="1"/>
  <c r="BC139" i="5" s="1"/>
  <c r="BC140" i="5" a="1"/>
  <c r="BC140" i="5" s="1"/>
  <c r="BC141" i="5" a="1"/>
  <c r="BC141" i="5" s="1"/>
  <c r="BC142" i="5" a="1"/>
  <c r="BC142" i="5" s="1"/>
  <c r="BC143" i="5" a="1"/>
  <c r="BC143" i="5" s="1"/>
  <c r="BC144" i="5" a="1"/>
  <c r="BC144" i="5" s="1"/>
  <c r="BC145" i="5" a="1"/>
  <c r="BC145" i="5" s="1"/>
  <c r="BC146" i="5" a="1"/>
  <c r="BC146" i="5" s="1"/>
  <c r="BC147" i="5" a="1"/>
  <c r="BC147" i="5" s="1"/>
  <c r="BC148" i="5" a="1"/>
  <c r="BC148" i="5"/>
  <c r="BC149" i="5" a="1"/>
  <c r="BC149" i="5" s="1"/>
  <c r="BC150" i="5" a="1"/>
  <c r="BC150" i="5" s="1"/>
  <c r="BC151" i="5" a="1"/>
  <c r="BC151" i="5" s="1"/>
  <c r="BC152" i="5" a="1"/>
  <c r="BC152" i="5"/>
  <c r="BC153" i="5" a="1"/>
  <c r="BC153" i="5" s="1"/>
  <c r="BC154" i="5" a="1"/>
  <c r="BC154" i="5" s="1"/>
  <c r="BC155" i="5" a="1"/>
  <c r="BC155" i="5" s="1"/>
  <c r="BC156" i="5" a="1"/>
  <c r="BC156" i="5" s="1"/>
  <c r="BC157" i="5" a="1"/>
  <c r="BC157" i="5" s="1"/>
  <c r="BC158" i="5" a="1"/>
  <c r="BC158" i="5" s="1"/>
  <c r="BC159" i="5" a="1"/>
  <c r="BC159" i="5"/>
  <c r="BC160" i="5" a="1"/>
  <c r="BC160" i="5"/>
  <c r="BC161" i="5" a="1"/>
  <c r="BC161" i="5" s="1"/>
  <c r="BC162" i="5" a="1"/>
  <c r="BC162" i="5" s="1"/>
  <c r="BC163" i="5" a="1"/>
  <c r="BC163" i="5"/>
  <c r="BC164" i="5" a="1"/>
  <c r="BC164" i="5"/>
  <c r="BC165" i="5" a="1"/>
  <c r="BC165" i="5" s="1"/>
  <c r="BC166" i="5" a="1"/>
  <c r="BC166" i="5" s="1"/>
  <c r="BC167" i="5" a="1"/>
  <c r="BC167" i="5" s="1"/>
  <c r="BC168" i="5" a="1"/>
  <c r="BC168" i="5" s="1"/>
  <c r="BC169" i="5" a="1"/>
  <c r="BC169" i="5" s="1"/>
  <c r="BC170" i="5" a="1"/>
  <c r="BC170" i="5" s="1"/>
  <c r="BC171" i="5" a="1"/>
  <c r="BC171" i="5" s="1"/>
  <c r="BC172" i="5" a="1"/>
  <c r="BC172" i="5" s="1"/>
  <c r="BC173" i="5" a="1"/>
  <c r="BC173" i="5" s="1"/>
  <c r="BC174" i="5" a="1"/>
  <c r="BC174" i="5" s="1"/>
  <c r="BC175" i="5" a="1"/>
  <c r="BC175" i="5" s="1"/>
  <c r="BC3" i="5" a="1"/>
  <c r="BC3" i="5" s="1"/>
  <c r="X3" i="7" a="1"/>
  <c r="X3" i="7" s="1"/>
  <c r="D47" i="7" l="1"/>
  <c r="D47" i="6"/>
  <c r="D47" i="4"/>
  <c r="D47" i="8"/>
  <c r="D46" i="7"/>
  <c r="D46" i="8"/>
  <c r="D46" i="6"/>
  <c r="D46" i="4"/>
  <c r="D45" i="7"/>
  <c r="D45" i="8"/>
  <c r="D45" i="6"/>
  <c r="D45" i="4"/>
  <c r="D44" i="7"/>
  <c r="D44" i="6"/>
  <c r="D44" i="8"/>
  <c r="D44" i="4"/>
  <c r="D43" i="8"/>
  <c r="D43" i="7"/>
  <c r="D43" i="6"/>
  <c r="D43" i="4"/>
  <c r="D42" i="8"/>
  <c r="D42" i="7"/>
  <c r="D42" i="6"/>
  <c r="D42" i="4"/>
  <c r="D41" i="8"/>
  <c r="D41" i="7"/>
  <c r="D41" i="6"/>
  <c r="D41" i="4"/>
  <c r="D40" i="7"/>
  <c r="D40" i="8"/>
  <c r="D40" i="6"/>
  <c r="D40" i="4"/>
  <c r="D39" i="9"/>
  <c r="D39" i="7"/>
  <c r="D39" i="6"/>
  <c r="D39" i="8"/>
  <c r="D39" i="4"/>
  <c r="D38" i="9"/>
  <c r="D38" i="7"/>
  <c r="D38" i="8"/>
  <c r="D38" i="6"/>
  <c r="D38" i="4"/>
  <c r="D37" i="7"/>
  <c r="D37" i="8"/>
  <c r="D37" i="6"/>
  <c r="D37" i="9"/>
  <c r="D37" i="4"/>
  <c r="D36" i="7"/>
  <c r="D36" i="8"/>
  <c r="D36" i="6"/>
  <c r="D36" i="9"/>
  <c r="D36" i="4"/>
  <c r="D35" i="8"/>
  <c r="D35" i="7"/>
  <c r="D35" i="9"/>
  <c r="D35" i="6"/>
  <c r="D35" i="4"/>
  <c r="D34" i="8"/>
  <c r="D34" i="7"/>
  <c r="D34" i="9"/>
  <c r="D34" i="6"/>
  <c r="D34" i="4"/>
  <c r="D33" i="8"/>
  <c r="D33" i="7"/>
  <c r="D33" i="9"/>
  <c r="D33" i="6"/>
  <c r="D33" i="4"/>
  <c r="D32" i="9"/>
  <c r="D32" i="7"/>
  <c r="D32" i="6"/>
  <c r="D32" i="4"/>
  <c r="D32" i="8"/>
  <c r="D31" i="9"/>
  <c r="D31" i="7"/>
  <c r="D31" i="6"/>
  <c r="D31" i="4"/>
  <c r="D31" i="8"/>
  <c r="D30" i="9"/>
  <c r="D30" i="7"/>
  <c r="D30" i="8"/>
  <c r="D30" i="6"/>
  <c r="D30" i="4"/>
  <c r="D29" i="7"/>
  <c r="D29" i="8"/>
  <c r="D29" i="9"/>
  <c r="D29" i="6"/>
  <c r="D29" i="4"/>
  <c r="D28" i="7"/>
  <c r="D28" i="9"/>
  <c r="D28" i="6"/>
  <c r="D28" i="8"/>
  <c r="D28" i="4"/>
  <c r="D27" i="8"/>
  <c r="D27" i="7"/>
  <c r="D27" i="9"/>
  <c r="D27" i="6"/>
  <c r="D27" i="4"/>
  <c r="D26" i="8"/>
  <c r="D26" i="7"/>
  <c r="D26" i="9"/>
  <c r="D26" i="6"/>
  <c r="D26" i="4"/>
  <c r="D25" i="8"/>
  <c r="D25" i="7"/>
  <c r="D25" i="6"/>
  <c r="D25" i="9"/>
  <c r="D25" i="4"/>
  <c r="D24" i="9"/>
  <c r="D24" i="7"/>
  <c r="D24" i="8"/>
  <c r="D24" i="6"/>
  <c r="D24" i="4"/>
  <c r="D23" i="9"/>
  <c r="D23" i="7"/>
  <c r="D23" i="6"/>
  <c r="D23" i="8"/>
  <c r="D23" i="4"/>
  <c r="D22" i="9"/>
  <c r="D22" i="7"/>
  <c r="D22" i="8"/>
  <c r="D22" i="6"/>
  <c r="D22" i="4"/>
  <c r="D21" i="7"/>
  <c r="D21" i="8"/>
  <c r="D21" i="6"/>
  <c r="D21" i="9"/>
  <c r="D21" i="4"/>
  <c r="D20" i="7"/>
  <c r="D20" i="8"/>
  <c r="D20" i="6"/>
  <c r="D20" i="9"/>
  <c r="D20" i="4"/>
  <c r="D19" i="8"/>
  <c r="D19" i="7"/>
  <c r="D19" i="9"/>
  <c r="D19" i="6"/>
  <c r="D19" i="4"/>
  <c r="D18" i="8"/>
  <c r="D18" i="7"/>
  <c r="D18" i="9"/>
  <c r="D18" i="6"/>
  <c r="D18" i="4"/>
  <c r="D17" i="8"/>
  <c r="D17" i="7"/>
  <c r="D17" i="9"/>
  <c r="D17" i="6"/>
  <c r="D17" i="4"/>
  <c r="D16" i="9"/>
  <c r="D16" i="7"/>
  <c r="D16" i="6"/>
  <c r="D16" i="4"/>
  <c r="D16" i="8"/>
  <c r="D15" i="9"/>
  <c r="D15" i="7"/>
  <c r="D15" i="6"/>
  <c r="D15" i="4"/>
  <c r="D15" i="8"/>
  <c r="D14" i="9"/>
  <c r="D14" i="7"/>
  <c r="D14" i="8"/>
  <c r="D14" i="6"/>
  <c r="D14" i="4"/>
  <c r="D13" i="7"/>
  <c r="D13" i="8"/>
  <c r="D13" i="9"/>
  <c r="D13" i="6"/>
  <c r="D13" i="4"/>
  <c r="D12" i="7"/>
  <c r="D12" i="9"/>
  <c r="D12" i="6"/>
  <c r="D12" i="8"/>
  <c r="D12" i="4"/>
  <c r="D11" i="8"/>
  <c r="D11" i="7"/>
  <c r="D11" i="9"/>
  <c r="D11" i="6"/>
  <c r="D11" i="4"/>
  <c r="D10" i="8"/>
  <c r="D10" i="7"/>
  <c r="D10" i="6"/>
  <c r="D10" i="9"/>
  <c r="D10" i="4"/>
  <c r="D9" i="8"/>
  <c r="D9" i="9"/>
  <c r="D9" i="7"/>
  <c r="D9" i="6"/>
  <c r="D9" i="4"/>
  <c r="D8" i="7"/>
  <c r="D8" i="8"/>
  <c r="D8" i="9"/>
  <c r="D8" i="6"/>
  <c r="D8" i="4"/>
  <c r="D7" i="9"/>
  <c r="D7" i="7"/>
  <c r="D7" i="6"/>
  <c r="D7" i="8"/>
  <c r="D7" i="4"/>
  <c r="D6" i="9"/>
  <c r="D6" i="7"/>
  <c r="D6" i="8"/>
  <c r="D6" i="6"/>
  <c r="D6" i="4"/>
  <c r="D5" i="9"/>
  <c r="D5" i="7"/>
  <c r="D5" i="8"/>
  <c r="D5" i="6"/>
  <c r="D5" i="4"/>
  <c r="D4" i="7"/>
  <c r="D4" i="8"/>
  <c r="D4" i="9"/>
  <c r="D4" i="6"/>
  <c r="D4" i="4"/>
  <c r="C47" i="7"/>
  <c r="C47" i="8"/>
  <c r="C47" i="6"/>
  <c r="C47" i="4"/>
  <c r="C46" i="7"/>
  <c r="C46" i="8"/>
  <c r="C46" i="6"/>
  <c r="C46" i="4"/>
  <c r="C45" i="7"/>
  <c r="C45" i="6"/>
  <c r="C45" i="8"/>
  <c r="C45" i="4"/>
  <c r="C44" i="7"/>
  <c r="C44" i="8"/>
  <c r="C44" i="6"/>
  <c r="C44" i="4"/>
  <c r="C43" i="8"/>
  <c r="C43" i="7"/>
  <c r="C43" i="6"/>
  <c r="C43" i="4"/>
  <c r="C42" i="8"/>
  <c r="C42" i="7"/>
  <c r="C42" i="6"/>
  <c r="C42" i="4"/>
  <c r="C41" i="7"/>
  <c r="C41" i="8"/>
  <c r="C41" i="6"/>
  <c r="C41" i="4"/>
  <c r="C40" i="7"/>
  <c r="C40" i="8"/>
  <c r="C40" i="6"/>
  <c r="C40" i="4"/>
  <c r="C39" i="9"/>
  <c r="C39" i="7"/>
  <c r="C39" i="8"/>
  <c r="C39" i="6"/>
  <c r="C39" i="4"/>
  <c r="C38" i="7"/>
  <c r="C38" i="8"/>
  <c r="C38" i="6"/>
  <c r="C38" i="9"/>
  <c r="C38" i="4"/>
  <c r="C37" i="7"/>
  <c r="C37" i="6"/>
  <c r="C37" i="4"/>
  <c r="C37" i="9"/>
  <c r="C37" i="8"/>
  <c r="C36" i="7"/>
  <c r="C36" i="8"/>
  <c r="C36" i="9"/>
  <c r="C36" i="6"/>
  <c r="C36" i="4"/>
  <c r="C35" i="8"/>
  <c r="C35" i="7"/>
  <c r="C35" i="9"/>
  <c r="C35" i="6"/>
  <c r="C35" i="4"/>
  <c r="C34" i="8"/>
  <c r="C34" i="7"/>
  <c r="C34" i="9"/>
  <c r="C34" i="6"/>
  <c r="C34" i="4"/>
  <c r="C33" i="7"/>
  <c r="C33" i="9"/>
  <c r="C33" i="6"/>
  <c r="C33" i="8"/>
  <c r="C33" i="4"/>
  <c r="C32" i="9"/>
  <c r="C32" i="7"/>
  <c r="C32" i="6"/>
  <c r="C32" i="8"/>
  <c r="C32" i="4"/>
  <c r="C31" i="9"/>
  <c r="C31" i="7"/>
  <c r="C31" i="8"/>
  <c r="C31" i="6"/>
  <c r="C31" i="4"/>
  <c r="C30" i="7"/>
  <c r="C30" i="8"/>
  <c r="C30" i="6"/>
  <c r="C30" i="4"/>
  <c r="C30" i="9"/>
  <c r="C29" i="7"/>
  <c r="C29" i="6"/>
  <c r="C29" i="8"/>
  <c r="C29" i="4"/>
  <c r="C29" i="9"/>
  <c r="C28" i="7"/>
  <c r="C28" i="8"/>
  <c r="C28" i="9"/>
  <c r="C28" i="6"/>
  <c r="C28" i="4"/>
  <c r="C27" i="8"/>
  <c r="C27" i="7"/>
  <c r="C27" i="9"/>
  <c r="C27" i="6"/>
  <c r="C27" i="4"/>
  <c r="C26" i="8"/>
  <c r="C26" i="7"/>
  <c r="C26" i="6"/>
  <c r="C26" i="9"/>
  <c r="C26" i="4"/>
  <c r="C25" i="7"/>
  <c r="C25" i="9"/>
  <c r="C25" i="8"/>
  <c r="C25" i="6"/>
  <c r="C25" i="4"/>
  <c r="C24" i="9"/>
  <c r="C24" i="7"/>
  <c r="C24" i="8"/>
  <c r="C24" i="6"/>
  <c r="C24" i="4"/>
  <c r="C23" i="9"/>
  <c r="C23" i="7"/>
  <c r="C23" i="8"/>
  <c r="C23" i="6"/>
  <c r="C23" i="4"/>
  <c r="C22" i="7"/>
  <c r="C22" i="8"/>
  <c r="C22" i="6"/>
  <c r="C22" i="9"/>
  <c r="C22" i="4"/>
  <c r="C21" i="7"/>
  <c r="C21" i="6"/>
  <c r="C21" i="4"/>
  <c r="C21" i="9"/>
  <c r="C21" i="8"/>
  <c r="C20" i="7"/>
  <c r="C20" i="8"/>
  <c r="C20" i="9"/>
  <c r="C20" i="6"/>
  <c r="C20" i="4"/>
  <c r="C19" i="8"/>
  <c r="C19" i="7"/>
  <c r="C19" i="9"/>
  <c r="C19" i="6"/>
  <c r="C19" i="4"/>
  <c r="C18" i="8"/>
  <c r="C18" i="7"/>
  <c r="C18" i="9"/>
  <c r="C18" i="6"/>
  <c r="C18" i="4"/>
  <c r="C17" i="7"/>
  <c r="C17" i="9"/>
  <c r="C17" i="6"/>
  <c r="C17" i="8"/>
  <c r="C17" i="4"/>
  <c r="C16" i="9"/>
  <c r="C16" i="7"/>
  <c r="C16" i="6"/>
  <c r="C16" i="8"/>
  <c r="C16" i="4"/>
  <c r="C15" i="9"/>
  <c r="C15" i="7"/>
  <c r="C15" i="8"/>
  <c r="C15" i="6"/>
  <c r="C15" i="4"/>
  <c r="C14" i="7"/>
  <c r="C14" i="8"/>
  <c r="C14" i="6"/>
  <c r="C14" i="4"/>
  <c r="C14" i="9"/>
  <c r="C13" i="7"/>
  <c r="C13" i="9"/>
  <c r="C13" i="6"/>
  <c r="C13" i="8"/>
  <c r="C13" i="4"/>
  <c r="C12" i="7"/>
  <c r="C12" i="8"/>
  <c r="C12" i="9"/>
  <c r="C12" i="6"/>
  <c r="C12" i="4"/>
  <c r="C11" i="8"/>
  <c r="C11" i="7"/>
  <c r="C11" i="6"/>
  <c r="C11" i="9"/>
  <c r="C11" i="4"/>
  <c r="C10" i="8"/>
  <c r="C10" i="7"/>
  <c r="C10" i="9"/>
  <c r="C10" i="6"/>
  <c r="C10" i="4"/>
  <c r="C9" i="9"/>
  <c r="C9" i="7"/>
  <c r="C9" i="8"/>
  <c r="C9" i="6"/>
  <c r="C9" i="4"/>
  <c r="C8" i="7"/>
  <c r="C8" i="9"/>
  <c r="C8" i="8"/>
  <c r="C8" i="6"/>
  <c r="C8" i="4"/>
  <c r="C7" i="9"/>
  <c r="C7" i="7"/>
  <c r="C7" i="8"/>
  <c r="C7" i="6"/>
  <c r="C7" i="4"/>
  <c r="C6" i="9"/>
  <c r="C6" i="7"/>
  <c r="C6" i="8"/>
  <c r="C6" i="6"/>
  <c r="C6" i="4"/>
  <c r="C5" i="7"/>
  <c r="C5" i="6"/>
  <c r="C5" i="4"/>
  <c r="C5" i="9"/>
  <c r="C5" i="8"/>
  <c r="C4" i="7"/>
  <c r="C4" i="8"/>
  <c r="C4" i="6"/>
  <c r="C4" i="4"/>
  <c r="C4" i="9"/>
  <c r="B47" i="7"/>
  <c r="B47" i="8"/>
  <c r="B47" i="6"/>
  <c r="B47" i="4"/>
  <c r="B46" i="7"/>
  <c r="B46" i="8"/>
  <c r="B46" i="6"/>
  <c r="B46" i="4"/>
  <c r="B45" i="7"/>
  <c r="B45" i="8"/>
  <c r="B45" i="6"/>
  <c r="B45" i="4"/>
  <c r="B44" i="7"/>
  <c r="B44" i="8"/>
  <c r="B44" i="6"/>
  <c r="B44" i="4"/>
  <c r="B43" i="8"/>
  <c r="B43" i="7"/>
  <c r="B43" i="6"/>
  <c r="B43" i="4"/>
  <c r="B42" i="7"/>
  <c r="B42" i="8"/>
  <c r="B42" i="6"/>
  <c r="B42" i="4"/>
  <c r="B41" i="7"/>
  <c r="B41" i="8"/>
  <c r="B41" i="6"/>
  <c r="B41" i="4"/>
  <c r="B40" i="7"/>
  <c r="B40" i="8"/>
  <c r="B40" i="6"/>
  <c r="B40" i="4"/>
  <c r="B39" i="7"/>
  <c r="B39" i="8"/>
  <c r="B39" i="6"/>
  <c r="B39" i="9"/>
  <c r="B39" i="4"/>
  <c r="B38" i="7"/>
  <c r="B38" i="6"/>
  <c r="B38" i="9"/>
  <c r="B38" i="8"/>
  <c r="B38" i="4"/>
  <c r="B37" i="7"/>
  <c r="B37" i="8"/>
  <c r="B37" i="9"/>
  <c r="B37" i="6"/>
  <c r="B37" i="4"/>
  <c r="B36" i="7"/>
  <c r="B36" i="8"/>
  <c r="B36" i="9"/>
  <c r="B36" i="6"/>
  <c r="B36" i="4"/>
  <c r="B35" i="8"/>
  <c r="B35" i="7"/>
  <c r="B35" i="6"/>
  <c r="B35" i="4"/>
  <c r="B35" i="9"/>
  <c r="B34" i="7"/>
  <c r="B34" i="9"/>
  <c r="B34" i="6"/>
  <c r="B34" i="8"/>
  <c r="B34" i="4"/>
  <c r="B33" i="7"/>
  <c r="B33" i="9"/>
  <c r="B33" i="6"/>
  <c r="B33" i="8"/>
  <c r="B33" i="4"/>
  <c r="B32" i="9"/>
  <c r="B32" i="7"/>
  <c r="B32" i="8"/>
  <c r="B32" i="6"/>
  <c r="B32" i="4"/>
  <c r="B31" i="7"/>
  <c r="B31" i="8"/>
  <c r="B31" i="6"/>
  <c r="B31" i="9"/>
  <c r="B31" i="4"/>
  <c r="B30" i="7"/>
  <c r="B30" i="8"/>
  <c r="B30" i="6"/>
  <c r="B30" i="9"/>
  <c r="B30" i="4"/>
  <c r="B29" i="7"/>
  <c r="B29" i="8"/>
  <c r="B29" i="9"/>
  <c r="B29" i="6"/>
  <c r="B29" i="4"/>
  <c r="B28" i="7"/>
  <c r="B28" i="8"/>
  <c r="B28" i="9"/>
  <c r="B28" i="6"/>
  <c r="B28" i="4"/>
  <c r="B27" i="8"/>
  <c r="B27" i="7"/>
  <c r="B27" i="6"/>
  <c r="B27" i="9"/>
  <c r="B27" i="4"/>
  <c r="B26" i="7"/>
  <c r="B26" i="9"/>
  <c r="B26" i="8"/>
  <c r="B26" i="6"/>
  <c r="B26" i="4"/>
  <c r="B25" i="7"/>
  <c r="B25" i="9"/>
  <c r="B25" i="8"/>
  <c r="B25" i="6"/>
  <c r="B25" i="4"/>
  <c r="B24" i="9"/>
  <c r="B24" i="7"/>
  <c r="B24" i="8"/>
  <c r="B24" i="6"/>
  <c r="B24" i="4"/>
  <c r="B23" i="7"/>
  <c r="B23" i="8"/>
  <c r="B23" i="6"/>
  <c r="B23" i="9"/>
  <c r="B23" i="4"/>
  <c r="B22" i="7"/>
  <c r="B22" i="6"/>
  <c r="B22" i="9"/>
  <c r="B22" i="8"/>
  <c r="B22" i="4"/>
  <c r="B21" i="7"/>
  <c r="B21" i="8"/>
  <c r="B21" i="9"/>
  <c r="B21" i="6"/>
  <c r="B21" i="4"/>
  <c r="B20" i="7"/>
  <c r="B20" i="8"/>
  <c r="B20" i="9"/>
  <c r="B20" i="6"/>
  <c r="B20" i="4"/>
  <c r="B19" i="8"/>
  <c r="B19" i="7"/>
  <c r="B19" i="6"/>
  <c r="B19" i="9"/>
  <c r="B19" i="4"/>
  <c r="B18" i="7"/>
  <c r="B18" i="9"/>
  <c r="B18" i="6"/>
  <c r="B18" i="8"/>
  <c r="B18" i="4"/>
  <c r="B17" i="7"/>
  <c r="B17" i="9"/>
  <c r="B17" i="6"/>
  <c r="B17" i="8"/>
  <c r="B17" i="4"/>
  <c r="B16" i="9"/>
  <c r="B16" i="7"/>
  <c r="B16" i="8"/>
  <c r="B16" i="6"/>
  <c r="B16" i="4"/>
  <c r="B15" i="7"/>
  <c r="B15" i="8"/>
  <c r="B15" i="6"/>
  <c r="B15" i="9"/>
  <c r="B15" i="4"/>
  <c r="B14" i="7"/>
  <c r="B14" i="8"/>
  <c r="B14" i="6"/>
  <c r="B14" i="9"/>
  <c r="B14" i="4"/>
  <c r="B13" i="7"/>
  <c r="B13" i="8"/>
  <c r="B13" i="9"/>
  <c r="B13" i="6"/>
  <c r="B13" i="4"/>
  <c r="B12" i="7"/>
  <c r="B12" i="8"/>
  <c r="B12" i="6"/>
  <c r="B12" i="9"/>
  <c r="B12" i="4"/>
  <c r="B11" i="8"/>
  <c r="B11" i="7"/>
  <c r="B11" i="9"/>
  <c r="B11" i="6"/>
  <c r="B11" i="4"/>
  <c r="B10" i="7"/>
  <c r="B10" i="9"/>
  <c r="B10" i="8"/>
  <c r="B10" i="6"/>
  <c r="B10" i="4"/>
  <c r="B9" i="9"/>
  <c r="B9" i="7"/>
  <c r="B9" i="8"/>
  <c r="B9" i="6"/>
  <c r="B9" i="4"/>
  <c r="B8" i="7"/>
  <c r="B8" i="9"/>
  <c r="B8" i="8"/>
  <c r="B8" i="6"/>
  <c r="B8" i="4"/>
  <c r="B7" i="9"/>
  <c r="B7" i="7"/>
  <c r="B7" i="8"/>
  <c r="B7" i="6"/>
  <c r="B7" i="4"/>
  <c r="B6" i="7"/>
  <c r="B6" i="6"/>
  <c r="B6" i="8"/>
  <c r="B6" i="9"/>
  <c r="B6" i="4"/>
  <c r="B5" i="7"/>
  <c r="B5" i="8"/>
  <c r="B5" i="6"/>
  <c r="B5" i="9"/>
  <c r="B5" i="4"/>
  <c r="B4" i="7"/>
  <c r="B4" i="8"/>
  <c r="B4" i="9"/>
  <c r="B4" i="6"/>
  <c r="B4" i="4"/>
  <c r="W3" i="6" a="1"/>
  <c r="W3" i="6" s="1"/>
  <c r="AF3" i="5" a="1"/>
  <c r="AF3" i="5" s="1"/>
  <c r="G3" i="5"/>
  <c r="H3" i="4"/>
  <c r="G3" i="4"/>
  <c r="F3" i="4"/>
  <c r="E3" i="4"/>
  <c r="AD3" i="4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B3" i="5"/>
  <c r="I3" i="5"/>
  <c r="H3" i="5"/>
  <c r="G3" i="6"/>
  <c r="E3" i="8" l="1"/>
  <c r="E3" i="7"/>
  <c r="E3" i="9"/>
  <c r="F3" i="8"/>
  <c r="F3" i="9"/>
  <c r="F3" i="7"/>
  <c r="B3" i="2"/>
  <c r="I3" i="4"/>
  <c r="B3" i="6"/>
  <c r="F3" i="6"/>
  <c r="E3" i="6"/>
  <c r="E3" i="2"/>
  <c r="E3" i="5"/>
  <c r="F3" i="5"/>
  <c r="G3" i="2"/>
  <c r="G3" i="8"/>
  <c r="G3" i="9"/>
  <c r="G3" i="7"/>
  <c r="H3" i="2"/>
  <c r="H3" i="8"/>
  <c r="H3" i="9"/>
  <c r="H3" i="7"/>
  <c r="F3" i="2"/>
  <c r="H3" i="6"/>
  <c r="I3" i="2"/>
  <c r="I3" i="9"/>
  <c r="I3" i="7"/>
  <c r="I3" i="8"/>
  <c r="B3" i="8"/>
  <c r="B3" i="7"/>
  <c r="B3" i="9"/>
  <c r="B3" i="4"/>
  <c r="I3" i="6"/>
  <c r="A10" i="9" l="1"/>
  <c r="A10" i="6"/>
  <c r="A10" i="7"/>
  <c r="A10" i="8"/>
  <c r="A10" i="4"/>
  <c r="A41" i="8"/>
  <c r="A41" i="6"/>
  <c r="A41" i="4"/>
  <c r="A41" i="7"/>
  <c r="A25" i="9"/>
  <c r="A25" i="8"/>
  <c r="A25" i="6"/>
  <c r="A25" i="4"/>
  <c r="A25" i="7"/>
  <c r="A17" i="9"/>
  <c r="A17" i="8"/>
  <c r="A17" i="6"/>
  <c r="A17" i="4"/>
  <c r="A17" i="7"/>
  <c r="A9" i="8"/>
  <c r="A9" i="9"/>
  <c r="A9" i="6"/>
  <c r="A9" i="7"/>
  <c r="A9" i="4"/>
  <c r="A16" i="8"/>
  <c r="A16" i="7"/>
  <c r="A16" i="9"/>
  <c r="A16" i="4"/>
  <c r="A16" i="6"/>
  <c r="A31" i="7"/>
  <c r="A31" i="9"/>
  <c r="A31" i="8"/>
  <c r="A31" i="6"/>
  <c r="A31" i="4"/>
  <c r="A7" i="8"/>
  <c r="A7" i="6"/>
  <c r="A7" i="9"/>
  <c r="A7" i="7"/>
  <c r="A7" i="4"/>
  <c r="A14" i="8"/>
  <c r="A14" i="9"/>
  <c r="A14" i="7"/>
  <c r="A14" i="6"/>
  <c r="A14" i="4"/>
  <c r="A42" i="6"/>
  <c r="A42" i="4"/>
  <c r="A42" i="7"/>
  <c r="A42" i="8"/>
  <c r="A34" i="9"/>
  <c r="A34" i="6"/>
  <c r="A34" i="4"/>
  <c r="A34" i="7"/>
  <c r="A34" i="8"/>
  <c r="A18" i="9"/>
  <c r="A18" i="6"/>
  <c r="A18" i="4"/>
  <c r="A18" i="7"/>
  <c r="A18" i="8"/>
  <c r="A24" i="8"/>
  <c r="A24" i="9"/>
  <c r="A24" i="7"/>
  <c r="A24" i="6"/>
  <c r="A24" i="4"/>
  <c r="A23" i="9"/>
  <c r="A23" i="7"/>
  <c r="A23" i="8"/>
  <c r="A23" i="6"/>
  <c r="A23" i="4"/>
  <c r="A30" i="8"/>
  <c r="A30" i="9"/>
  <c r="A30" i="7"/>
  <c r="A30" i="6"/>
  <c r="A30" i="4"/>
  <c r="A6" i="8"/>
  <c r="A6" i="9"/>
  <c r="A6" i="7"/>
  <c r="A6" i="4"/>
  <c r="A45" i="8"/>
  <c r="A45" i="6"/>
  <c r="A45" i="4"/>
  <c r="A45" i="7"/>
  <c r="A37" i="8"/>
  <c r="A37" i="9"/>
  <c r="A37" i="6"/>
  <c r="A37" i="4"/>
  <c r="A37" i="7"/>
  <c r="A29" i="8"/>
  <c r="A29" i="9"/>
  <c r="A29" i="6"/>
  <c r="A29" i="4"/>
  <c r="A29" i="7"/>
  <c r="A21" i="8"/>
  <c r="A21" i="9"/>
  <c r="A21" i="6"/>
  <c r="A21" i="4"/>
  <c r="A21" i="7"/>
  <c r="A13" i="8"/>
  <c r="A13" i="9"/>
  <c r="A13" i="4"/>
  <c r="A13" i="6"/>
  <c r="A13" i="7"/>
  <c r="A5" i="8"/>
  <c r="A5" i="9"/>
  <c r="A5" i="4"/>
  <c r="A33" i="9"/>
  <c r="A33" i="8"/>
  <c r="A33" i="6"/>
  <c r="A33" i="4"/>
  <c r="A33" i="7"/>
  <c r="A40" i="8"/>
  <c r="A40" i="7"/>
  <c r="A40" i="6"/>
  <c r="A40" i="4"/>
  <c r="A47" i="7"/>
  <c r="A47" i="6"/>
  <c r="A47" i="8"/>
  <c r="A47" i="4"/>
  <c r="A46" i="8"/>
  <c r="A46" i="7"/>
  <c r="A46" i="6"/>
  <c r="A46" i="4"/>
  <c r="A28" i="8"/>
  <c r="A28" i="9"/>
  <c r="A28" i="6"/>
  <c r="A28" i="7"/>
  <c r="A28" i="4"/>
  <c r="A12" i="8"/>
  <c r="A12" i="9"/>
  <c r="A12" i="4"/>
  <c r="A12" i="6"/>
  <c r="A12" i="7"/>
  <c r="A4" i="8"/>
  <c r="A4" i="9"/>
  <c r="A4" i="4"/>
  <c r="A26" i="9"/>
  <c r="A26" i="6"/>
  <c r="A26" i="4"/>
  <c r="A26" i="7"/>
  <c r="A26" i="8"/>
  <c r="A32" i="8"/>
  <c r="A32" i="7"/>
  <c r="A32" i="9"/>
  <c r="A32" i="4"/>
  <c r="A32" i="6"/>
  <c r="A8" i="9"/>
  <c r="A8" i="8"/>
  <c r="A8" i="7"/>
  <c r="A8" i="6"/>
  <c r="A8" i="4"/>
  <c r="A39" i="9"/>
  <c r="A39" i="7"/>
  <c r="A39" i="8"/>
  <c r="A39" i="4"/>
  <c r="A39" i="6"/>
  <c r="A15" i="7"/>
  <c r="A15" i="9"/>
  <c r="A15" i="4"/>
  <c r="A15" i="8"/>
  <c r="A15" i="6"/>
  <c r="A38" i="8"/>
  <c r="A38" i="9"/>
  <c r="A38" i="7"/>
  <c r="A38" i="6"/>
  <c r="A38" i="4"/>
  <c r="A22" i="8"/>
  <c r="A22" i="9"/>
  <c r="A22" i="7"/>
  <c r="A22" i="6"/>
  <c r="A22" i="4"/>
  <c r="A44" i="8"/>
  <c r="A44" i="6"/>
  <c r="A44" i="7"/>
  <c r="A44" i="4"/>
  <c r="A36" i="8"/>
  <c r="A36" i="9"/>
  <c r="A36" i="4"/>
  <c r="A36" i="6"/>
  <c r="A36" i="7"/>
  <c r="A20" i="8"/>
  <c r="A20" i="9"/>
  <c r="A20" i="6"/>
  <c r="A20" i="7"/>
  <c r="A20" i="4"/>
  <c r="A43" i="6"/>
  <c r="A43" i="4"/>
  <c r="A43" i="7"/>
  <c r="A43" i="8"/>
  <c r="A35" i="9"/>
  <c r="A35" i="8"/>
  <c r="A35" i="6"/>
  <c r="A35" i="4"/>
  <c r="A35" i="7"/>
  <c r="A27" i="9"/>
  <c r="A27" i="6"/>
  <c r="A27" i="4"/>
  <c r="A27" i="7"/>
  <c r="A27" i="8"/>
  <c r="A19" i="9"/>
  <c r="A19" i="8"/>
  <c r="A19" i="6"/>
  <c r="A19" i="4"/>
  <c r="A19" i="7"/>
  <c r="A11" i="9"/>
  <c r="A11" i="4"/>
  <c r="A11" i="6"/>
  <c r="A11" i="7"/>
  <c r="A11" i="8"/>
  <c r="A6" i="6"/>
  <c r="D3" i="2"/>
  <c r="D3" i="9"/>
  <c r="D3" i="8"/>
  <c r="D3" i="7"/>
  <c r="D3" i="6"/>
  <c r="D3" i="4"/>
  <c r="D3" i="5"/>
  <c r="A4" i="7"/>
  <c r="A4" i="6"/>
  <c r="A3" i="7"/>
  <c r="A3" i="8"/>
  <c r="A3" i="9"/>
  <c r="A3" i="4"/>
  <c r="A3" i="5"/>
  <c r="A3" i="2"/>
  <c r="A3" i="6"/>
  <c r="C3" i="2"/>
  <c r="C3" i="9"/>
  <c r="C3" i="7"/>
  <c r="C3" i="8"/>
  <c r="C3" i="5"/>
  <c r="C3" i="6"/>
  <c r="C3" i="4"/>
  <c r="A5" i="7"/>
  <c r="A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<sst xmlns="http://schemas.openxmlformats.org/spreadsheetml/2006/main" count="5868" uniqueCount="554">
  <si>
    <t>1. ANTECEDENTES DE LA EMPRESA</t>
  </si>
  <si>
    <t xml:space="preserve">N° de Puestos </t>
  </si>
  <si>
    <t>Evaluados</t>
  </si>
  <si>
    <t>Pendientes</t>
  </si>
  <si>
    <t>Razón Social</t>
  </si>
  <si>
    <t xml:space="preserve">PLANTA FAENADORA LO MIRANDA </t>
  </si>
  <si>
    <t>RUT Empresa</t>
  </si>
  <si>
    <t>78.408.440-K</t>
  </si>
  <si>
    <t>Actividad Económica</t>
  </si>
  <si>
    <t>Explotación de mataderos de aves y de otros tipos de animales n.c.p.</t>
  </si>
  <si>
    <t>Código CIIU</t>
  </si>
  <si>
    <t xml:space="preserve">Dirección </t>
  </si>
  <si>
    <t>Carretera H-30 3814</t>
  </si>
  <si>
    <t>Comuna</t>
  </si>
  <si>
    <t xml:space="preserve">Doñihue </t>
  </si>
  <si>
    <t>Nombre Representante Legal</t>
  </si>
  <si>
    <t xml:space="preserve">Maximiliano Nuñez 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</si>
  <si>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</si>
  <si>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</si>
  <si>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</si>
  <si>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</si>
  <si>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</si>
  <si>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Planta Lo Miranda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</si>
  <si>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</si>
  <si>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</si>
  <si>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</si>
  <si>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</si>
  <si>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</si>
  <si>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</si>
  <si>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MARIANELA TORREALBA GUERRA</t>
  </si>
  <si>
    <t>Teléfono</t>
  </si>
  <si>
    <t>Cargo</t>
  </si>
  <si>
    <t>SUPERVISORA DE ACTIVIDADES ERGONOMICAS</t>
  </si>
  <si>
    <t>Correo electrónico</t>
  </si>
  <si>
    <t>mtorrealbag@agrosuper.com</t>
  </si>
  <si>
    <t>N°</t>
  </si>
  <si>
    <t>Área de trabajo</t>
  </si>
  <si>
    <t>Puesto de trabajo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</si>
  <si>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</si>
  <si>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</si>
  <si>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</si>
  <si>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</si>
  <si>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</si>
  <si>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</si>
  <si>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</si>
  <si>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</si>
  <si>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</si>
  <si>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</si>
  <si>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</si>
  <si>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</si>
  <si>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</si>
  <si>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</si>
  <si>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</si>
  <si>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</si>
  <si>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</si>
  <si>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>Congelado</t>
  </si>
  <si>
    <t xml:space="preserve">Operador sala de cajas </t>
  </si>
  <si>
    <t>Armado de cajas (tapa Vetado)</t>
  </si>
  <si>
    <t xml:space="preserve">Colaborador posicionado frente al meson con ambas manos toma caja desarmada, para plegar y manipular cartón, armando la  caja   </t>
  </si>
  <si>
    <t>Am 07:40 a 15:30       Pm 18:10 a 03:30</t>
  </si>
  <si>
    <t xml:space="preserve">Indefinido </t>
  </si>
  <si>
    <t>Fija</t>
  </si>
  <si>
    <t>85 min</t>
  </si>
  <si>
    <t>SI</t>
  </si>
  <si>
    <t>NO</t>
  </si>
  <si>
    <t>Espacio reducido</t>
  </si>
  <si>
    <t>Meson Frente a colaborador cajas al costado</t>
  </si>
  <si>
    <t>Slack, Guantes, casco, zapatos</t>
  </si>
  <si>
    <t>Armado de cajas (fondo Vetado)</t>
  </si>
  <si>
    <t>Colaborador posicionado frente al meson toma caja desarmada y la arma con ambas manos</t>
  </si>
  <si>
    <t>Am 07:40 a 15:30       Pm 18:10 a 03:31</t>
  </si>
  <si>
    <t>Armado de cajas (Tapa Mloin)</t>
  </si>
  <si>
    <t>Am 07:40 a 15:30       Pm 18:10 a 03:32</t>
  </si>
  <si>
    <t>Armado de cajas (Fondo Mloin)</t>
  </si>
  <si>
    <t>Am 07:40 a 15:30       Pm 18:10 a 03:33</t>
  </si>
  <si>
    <t xml:space="preserve">Armado de Cajas Tapa Panceta </t>
  </si>
  <si>
    <t>Am 07:40 a 15:30       Pm 18:10 a 03:34</t>
  </si>
  <si>
    <t>Armado Caja Fondo Panceta</t>
  </si>
  <si>
    <t>Am 07:40 a 15:30       Pm 18:10 a 03:35</t>
  </si>
  <si>
    <t>Armado de cajas (Tapa Filete)</t>
  </si>
  <si>
    <t>Am 07:40 a 15:30       Pm 18:10 a 03:36</t>
  </si>
  <si>
    <t>Armado de cajas (Fondo Filete)</t>
  </si>
  <si>
    <t>Am 07:40 a 15:30       Pm 18:10 a 03:37</t>
  </si>
  <si>
    <t>Am 07:40 a 15:30       Pm 18:10 a 03:38</t>
  </si>
  <si>
    <t xml:space="preserve">Recibir Fondos y tapas </t>
  </si>
  <si>
    <t>Colaborador recibe caja armada desde maquina, las apila y las ordena en la sala</t>
  </si>
  <si>
    <t>Am 07:40 a 15:30       Pm 18:10 a 03:39</t>
  </si>
  <si>
    <t xml:space="preserve">Colgar Fondos y Tapas </t>
  </si>
  <si>
    <t>Colaborador toma caja desde meson y cuelga en cinta aerea</t>
  </si>
  <si>
    <t>Am 07:40 a 15:30       Pm 18:10 a 03:40</t>
  </si>
  <si>
    <t>Operador sala Congelado</t>
  </si>
  <si>
    <t>Calibrar</t>
  </si>
  <si>
    <t>Colabortador  toma la bandejas con producto que viene desde la cinta frente a el,  posiciona la bandeja en estructura volteador, voltea producto con bolsa con ambas manos a caja que se encuentra en meson, pesa producto, luego cierra bolsa y con ambas manos empuja caja para evacuar a la cinta.</t>
  </si>
  <si>
    <t xml:space="preserve">Am 07:40 a 15:30      Pm 18:10 a 03:30 </t>
  </si>
  <si>
    <t xml:space="preserve">Sin obstáculos físicos o estructurales que limiten al colaborador.  
 No hay circulación de personas y objetos en el espacio de trabajo. 
</t>
  </si>
  <si>
    <t>Espacio de trabajo frente a colaborador, cajas en la cinta que pasa por debajo del meson de trabajo y bandejas frente al colaborador</t>
  </si>
  <si>
    <t>Slack, Guantes, casco, botas</t>
  </si>
  <si>
    <t>Palletizar</t>
  </si>
  <si>
    <t>Colaborador toma bandeja desde cinta con polines y deposita caja en pallet de acuerdo al tipo de producto o pedido</t>
  </si>
  <si>
    <t>Am 07:40 a 15:30       Pm 18:10 a 03:30 Puente: 13:10 a 22:30</t>
  </si>
  <si>
    <t>Circulación de transpaleta hombre a bordo</t>
  </si>
  <si>
    <t>Espacio de trabajo amplio, donde desde la cinta debe sacar una caja con producto y caminar al pallet de ubicaión</t>
  </si>
  <si>
    <t>Romanero</t>
  </si>
  <si>
    <t xml:space="preserve">Verifica que producto sea correcto pincha la caja </t>
  </si>
  <si>
    <t>Espacio de trabjo frente al colaborador</t>
  </si>
  <si>
    <t>Etiquetar</t>
  </si>
  <si>
    <t xml:space="preserve">Colaborador pone etiqueta en caja que va sobre la cinta en movimiento </t>
  </si>
  <si>
    <t>Direccionar Producto (Mal Enviado)</t>
  </si>
  <si>
    <t>Colaboradopr toma bandeja que va sobre la cinta y la direcciona de acuerdo al producto</t>
  </si>
  <si>
    <t>Voltear Producto (Volteador)</t>
  </si>
  <si>
    <t>Colaborador presiona botonera de volteador para sacar producto del bins y alimentar la línera de embalado</t>
  </si>
  <si>
    <t>Embalar Vetado</t>
  </si>
  <si>
    <t>Colaborador toma producto que va en la cinta en movimiento frente al él y la deposita en caja que se encuentra sobre el mesón, cierra la bolsa y la empuja a la cinta de evacuación que se encuntra al frente</t>
  </si>
  <si>
    <t>Embalar Panceta</t>
  </si>
  <si>
    <t xml:space="preserve">Embalar Filete </t>
  </si>
  <si>
    <t>Embalar Mloin</t>
  </si>
  <si>
    <t>Tapar Caja</t>
  </si>
  <si>
    <t>Colaborador Toma caja desde Línea aerea y tapa caja que va por cinta</t>
  </si>
  <si>
    <t>Despalletizar</t>
  </si>
  <si>
    <t>Colaborador toma caja desde pallet  y deposita caja en otro pallet de acuerdo al tipo de producto o pedido</t>
  </si>
  <si>
    <t>Puesto de trabajo frente al colaborador</t>
  </si>
  <si>
    <t>Traspaleta</t>
  </si>
  <si>
    <t>Colaborador manipula la transpaleta para llevar pedido a ascensor</t>
  </si>
  <si>
    <t>Desposte</t>
  </si>
  <si>
    <t>Operador de linea plancha</t>
  </si>
  <si>
    <t>Abastecer Maja</t>
  </si>
  <si>
    <t>Colaboradora toma producto de la cinta principal y la ubica en la Maja</t>
  </si>
  <si>
    <t>06:30 14:50 / 17:30 a 02:50</t>
  </si>
  <si>
    <t>Embalar Cuero</t>
  </si>
  <si>
    <t xml:space="preserve">Colaborador selecciona cuero y lo embala </t>
  </si>
  <si>
    <t>Operador wizard</t>
  </si>
  <si>
    <t>Colaborador prolija producto con cuchillo circular wizard</t>
  </si>
  <si>
    <t xml:space="preserve">Sacar Cartilago </t>
  </si>
  <si>
    <t xml:space="preserve">Colaborador retira cartilago con cuchillo manual </t>
  </si>
  <si>
    <t>Prolijado Lomo tocino</t>
  </si>
  <si>
    <t>Colaborador saca grasa del producto con cuchillo</t>
  </si>
  <si>
    <t xml:space="preserve">Seleccionador Cuero </t>
  </si>
  <si>
    <t xml:space="preserve">Colaborador Selecciona cuero y lo embala </t>
  </si>
  <si>
    <t>Despunte Plancha</t>
  </si>
  <si>
    <t>Colaborador corta punta de plancha para cuadrar</t>
  </si>
  <si>
    <t>Prolijado de Malaya</t>
  </si>
  <si>
    <t>Coilaborador saca grasa de la malaya con whizard</t>
  </si>
  <si>
    <t>Calibrado Plancha</t>
  </si>
  <si>
    <t>Colaborador pesa producto para darle peso requerido</t>
  </si>
  <si>
    <t>Operador Línea Embolsado</t>
  </si>
  <si>
    <t>Embolsado Panceta</t>
  </si>
  <si>
    <t xml:space="preserve">Colaborador Toma la panceta desde la cinta y envuelve con plástico </t>
  </si>
  <si>
    <t>Embolsado Lomo</t>
  </si>
  <si>
    <t xml:space="preserve">Colaborador Toma el lomo desde la cinta, mide con cintga y envuelve con plástico </t>
  </si>
  <si>
    <t>Embolsado Vetados</t>
  </si>
  <si>
    <t xml:space="preserve">Colaborador Toma el lomo desde la cinta, lo pesa y envuelve con plástico </t>
  </si>
  <si>
    <t>Embalar</t>
  </si>
  <si>
    <t>Colaborador toma producto envuielto y lo deposita en bandeja</t>
  </si>
  <si>
    <t>Revisar Producto</t>
  </si>
  <si>
    <t>Colaborador envuelve etiqueta y deposita en la cinta</t>
  </si>
  <si>
    <t xml:space="preserve">Contadora de Panceta </t>
  </si>
  <si>
    <t>Colaborador cuenta las pancetas que van pasando en en la cinta y saca producto rechazado</t>
  </si>
  <si>
    <t xml:space="preserve">Abastece Ulma </t>
  </si>
  <si>
    <t>Colaborador abastece mawuina ulma depositando el producto para ser sellado</t>
  </si>
  <si>
    <t>Reciibe ULMA</t>
  </si>
  <si>
    <t>Colaborador recibe producto sellado y lo deposita en carro</t>
  </si>
  <si>
    <t>Sacar Membrana Costillitas Baby Back Rebs</t>
  </si>
  <si>
    <t>Colaborador toma costillita con ambas manos desde los costados introduce una opunta de metal que desprende la membrana de la costillita</t>
  </si>
  <si>
    <t>Palletizar Costillitas Baby Back Rebs</t>
  </si>
  <si>
    <t>Colaborador toma caja desde la calibradora y lo palletiza</t>
  </si>
  <si>
    <t xml:space="preserve">Calibrado de Costillitas </t>
  </si>
  <si>
    <t>Colaborador toma bandeja con sotillitas lo deja en la pesa y le da los kilos corresponientes  ala caja agrtegando o quitando producto</t>
  </si>
  <si>
    <t>Operador Línea Chuletas</t>
  </si>
  <si>
    <t>Deshuesado</t>
  </si>
  <si>
    <t>Colaborador separa con cuchillo carne del hueso</t>
  </si>
  <si>
    <t>Abastecer línea</t>
  </si>
  <si>
    <t xml:space="preserve">Colaborador Abastece la lineas con producto </t>
  </si>
  <si>
    <t>Rayar MM Loin</t>
  </si>
  <si>
    <t>Colaborador con cuchillo realiza una raya a lo largo del producto</t>
  </si>
  <si>
    <t>Abrir Lomo</t>
  </si>
  <si>
    <t>Colaborador Toma el Lomo y separa manuelamanete el cuero del lomo</t>
  </si>
  <si>
    <t>Extraer Cordon (Whizard)</t>
  </si>
  <si>
    <t>Colaborador extrae cordon del lomo con wizhard</t>
  </si>
  <si>
    <t>Prolijado Whizard (grasa)</t>
  </si>
  <si>
    <t>Colaborador saca grasa del producto con Whizard</t>
  </si>
  <si>
    <t>Prolijado mm loin con cuchillo</t>
  </si>
  <si>
    <t>Colaborador le da el diametro al Lomo</t>
  </si>
  <si>
    <t xml:space="preserve">Prolijado lomo 27 </t>
  </si>
  <si>
    <t>Colaborador le saca toda  la grasa al lomo</t>
  </si>
  <si>
    <t>Prolijado lomo tecla</t>
  </si>
  <si>
    <t xml:space="preserve">Colaborador le saca el cuero, le da el diametro, lo cuadra y calibran </t>
  </si>
  <si>
    <t>Alimentador Freund</t>
  </si>
  <si>
    <t xml:space="preserve">Colaborador Alimenta la maquina con Chuleta </t>
  </si>
  <si>
    <t>Recibir Hueso</t>
  </si>
  <si>
    <t xml:space="preserve">Colaborador recibe producto de la maquina cortadora de hueso </t>
  </si>
  <si>
    <t>Embalar hueso</t>
  </si>
  <si>
    <t xml:space="preserve">Colaborador toma hueso y lo deposita en la bandeja luego evacua la bandeja </t>
  </si>
  <si>
    <t>Operador Línea Costillar</t>
  </si>
  <si>
    <t>Abastecer Línea Costillar</t>
  </si>
  <si>
    <t>Colaborador alimenta máquina Towson 9000</t>
  </si>
  <si>
    <t xml:space="preserve">Cuadrar panceta </t>
  </si>
  <si>
    <t>Colaborador toma producto desde linea y abastece maquina para cuadar panceta</t>
  </si>
  <si>
    <t>Despunte Producto</t>
  </si>
  <si>
    <t>Colaborador extrae grada del producto con cuchillo whizard</t>
  </si>
  <si>
    <t>Calibrado</t>
  </si>
  <si>
    <t>Colaborador toma producto de cinta lo posicioa en pesa y calibra con cuchillo</t>
  </si>
  <si>
    <t>Cortado de Costillar</t>
  </si>
  <si>
    <t>Colaborador toma costilla de cinta y abastece maquina para cortarla</t>
  </si>
  <si>
    <t xml:space="preserve">Abastecer Línea </t>
  </si>
  <si>
    <t>Colaborador toma producto y abastece linea embolsado</t>
  </si>
  <si>
    <t>Operador Línea paleta</t>
  </si>
  <si>
    <t>Separación de Vetado</t>
  </si>
  <si>
    <t>Segrega Producto</t>
  </si>
  <si>
    <t>Colaborador toma preducto que viene desde cinta y lo distribuye por tipo</t>
  </si>
  <si>
    <t>Papada</t>
  </si>
  <si>
    <t>Colaborador toma producto y corta la papada con cuchillo</t>
  </si>
  <si>
    <t>Forrero</t>
  </si>
  <si>
    <t>Colaborador toma producto y saca forro con cuchillo</t>
  </si>
  <si>
    <t>Rayado</t>
  </si>
  <si>
    <t>Cortar Plateada</t>
  </si>
  <si>
    <t>Colaborador tomas producto y corta con cuchillo corte plateada</t>
  </si>
  <si>
    <t>Pistola Escapula</t>
  </si>
  <si>
    <t xml:space="preserve">Colaborador saca hueso escapula con Pistola </t>
  </si>
  <si>
    <t>Deshuesado Escapula</t>
  </si>
  <si>
    <t>Colaborador con cuchillo dibuja escapula para posterir sacarla con poistola</t>
  </si>
  <si>
    <t>Deshuesado Humero</t>
  </si>
  <si>
    <t>Colaborador retira hueso humero con cuchillo</t>
  </si>
  <si>
    <t>Embolsado</t>
  </si>
  <si>
    <t xml:space="preserve">Colaborador toma producto y lo deposita dentro de la bolsa </t>
  </si>
  <si>
    <t>Prolijado</t>
  </si>
  <si>
    <t>Colaborador extrtae grasa con cuchillo whizard</t>
  </si>
  <si>
    <t>Operador LíneaVetado</t>
  </si>
  <si>
    <t xml:space="preserve">Abastecer máquina </t>
  </si>
  <si>
    <t>Colaborador toma producto y abastece maquina</t>
  </si>
  <si>
    <t>No</t>
  </si>
  <si>
    <t>Punta Costilla</t>
  </si>
  <si>
    <t xml:space="preserve">Hueso Externón </t>
  </si>
  <si>
    <t>Colaborador extrae hueo externon con cuchillo</t>
  </si>
  <si>
    <t>Costillita</t>
  </si>
  <si>
    <t>Colaborador separa costillita para posterior embalado</t>
  </si>
  <si>
    <t>Prolijado de Papada</t>
  </si>
  <si>
    <t>Colaborador realiza proijado con cuchillo</t>
  </si>
  <si>
    <t>Ganglios</t>
  </si>
  <si>
    <t xml:space="preserve">Colaborador corta ganglios y deposita en bandeja </t>
  </si>
  <si>
    <t>Deshuesado de Chuleta</t>
  </si>
  <si>
    <t>Colaborador reliza un corte con cuchillo parta separar chuleta</t>
  </si>
  <si>
    <t>Embalado de hueso</t>
  </si>
  <si>
    <t xml:space="preserve">extracción Cinta de Despunte </t>
  </si>
  <si>
    <t>Colaborador extrae cinta de Despunte desde el trozo carnico con cuchillo</t>
  </si>
  <si>
    <t>Prolijado Cartilago Hueso</t>
  </si>
  <si>
    <t>Colaborador extrae grasa del trozo carnico con whizard</t>
  </si>
  <si>
    <t>Prolijado Carne Longaniza</t>
  </si>
  <si>
    <t xml:space="preserve">Prolijado Lomo Vetado </t>
  </si>
  <si>
    <t>Colaborador toma lomo y e da el peso requerido</t>
  </si>
  <si>
    <t>Operador Linea Piernas</t>
  </si>
  <si>
    <t>Extraer Cola-Cazuela</t>
  </si>
  <si>
    <t>Colaborador extrae Cola y Cazuela de pierna con cuchillo</t>
  </si>
  <si>
    <t>Exraer Pernil</t>
  </si>
  <si>
    <t xml:space="preserve">Se extrae pernil de pierna con cuchillo </t>
  </si>
  <si>
    <t xml:space="preserve">Evacuar Bandejas </t>
  </si>
  <si>
    <t>Colaborador toma y evacua bandejas con producto a cinta</t>
  </si>
  <si>
    <t>Peladora Maja</t>
  </si>
  <si>
    <t>Colaborador toma tro carnico y saca cuero con maquina critica MAJA</t>
  </si>
  <si>
    <t>Whizard</t>
  </si>
  <si>
    <t>Colaborador saca grasa de trozo carnico on cuchillo automaticowhizard</t>
  </si>
  <si>
    <t>Deshuesado Coxal</t>
  </si>
  <si>
    <t>Colaborador extrae del tropzo carnico hueso coxal con cuchillo</t>
  </si>
  <si>
    <t>86 min</t>
  </si>
  <si>
    <t xml:space="preserve">Deshuesadores Femur </t>
  </si>
  <si>
    <t xml:space="preserve">Colaborador extrae hueso femur con cuchilloy lko deposita en la bandeja </t>
  </si>
  <si>
    <t>Prolijadores</t>
  </si>
  <si>
    <t xml:space="preserve">Colaborador saca grasa del trozo carnico inetrna y externamente </t>
  </si>
  <si>
    <t xml:space="preserve">Calibrado </t>
  </si>
  <si>
    <t>Colabordor toma producto y saca cuero y grasa en la maquina peladora</t>
  </si>
  <si>
    <t>Abastecer Varivac</t>
  </si>
  <si>
    <t xml:space="preserve">Colaboradora toma producto y abastece maquina para luego sellarlo </t>
  </si>
  <si>
    <t>Recibir producto</t>
  </si>
  <si>
    <t>Colaboradora recibe producto en bolsa sellado</t>
  </si>
  <si>
    <t>Pegar etiqueta</t>
  </si>
  <si>
    <t>Colaboradora revisa y pone etoiqueta al producto</t>
  </si>
  <si>
    <t>evacuar bandeja</t>
  </si>
  <si>
    <t xml:space="preserve">Colaboradora evacuia bandeja con rpoducto en cinta </t>
  </si>
  <si>
    <t xml:space="preserve">Operador Línea Empaque </t>
  </si>
  <si>
    <t>Palletizado</t>
  </si>
  <si>
    <t xml:space="preserve"> Volteador 500</t>
  </si>
  <si>
    <t>Direccionado</t>
  </si>
  <si>
    <t>Embalado</t>
  </si>
  <si>
    <t>PC</t>
  </si>
  <si>
    <t>Volteado 100</t>
  </si>
  <si>
    <t>Operador Línea Filete y Cabeza</t>
  </si>
  <si>
    <t>Cortar Cabeza</t>
  </si>
  <si>
    <t>Filetero</t>
  </si>
  <si>
    <t>Exracción de cuero Axilar</t>
  </si>
  <si>
    <t>Embalar Perniles</t>
  </si>
  <si>
    <t>Embalador Perniles</t>
  </si>
  <si>
    <t>Prolijado Entraña</t>
  </si>
  <si>
    <t>Embalaje patas y manos</t>
  </si>
  <si>
    <t>Trabajo repetitivo de miembros superiores.</t>
  </si>
  <si>
    <t>Postura de trabajo estática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</si>
  <si>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</si>
  <si>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</si>
  <si>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</si>
  <si>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</si>
  <si>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</si>
  <si>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</si>
  <si>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</si>
  <si>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r>
      <t>¿Existe una o más tareas donde utilice las manos y miembros superiores con una duración total de una hora o más durante la jornada laboral y con un tiempo total de 5 o más horas a la semana?</t>
    </r>
    <r>
      <rPr>
        <sz val="8"/>
        <color rgb="FF000000"/>
        <rFont val="ACHS Nueva Sans"/>
      </rPr>
      <t xml:space="preserve"> Donde tenga que movilizar, levantar, empujar, encajar, sostener, posicionar, armar, limpiar, apretar, lanzar, cortar, presionar, desarmar, atornillar, desatornillar, digitar con presión, comprimir, ubicar, moldear, traccionar.</t>
    </r>
  </si>
  <si>
    <r>
      <t>¿Existen posturas de trabajo estáticas de cabeza/cuello, tronco y/o miembros superiores e inferiores, mantenidas por más de 4 segundos consecutivamente?</t>
    </r>
    <r>
      <rPr>
        <sz val="8"/>
        <color rgb="FF000000"/>
        <rFont val="ACHS Nueva Sans"/>
      </rPr>
      <t xml:space="preserve"> Donde se observe estar sentado, cabeza inclinada hacia adelante o atrás, mirada situada en planos bajo nivel medio de tórax o pecho, cabeza rotada permanentemente hacia algún lado, mirada situada en planos sobre el nivel de cabeza, hombros situados por delante de las caderas de manera continua, tronco rotado o inclinado para sostener o movilizar objetos.</t>
    </r>
  </si>
  <si>
    <r>
      <t xml:space="preserve">Para el Levantamiento/Descenso/Transporte: </t>
    </r>
    <r>
      <rPr>
        <b/>
        <sz val="8"/>
        <color rgb="FF000000"/>
        <rFont val="ACHS Nueva Sans"/>
      </rPr>
      <t>¿Existe levantamiento, descenso o transporte manual de un objeto de 3kg o más?</t>
    </r>
    <r>
      <rPr>
        <sz val="8"/>
        <color rgb="FF000000"/>
        <rFont val="ACHS Nueva Sans"/>
      </rPr>
      <t xml:space="preserve"> Se observa que levanta, sostiene, trasporta, desplaza, moviliza, ubica con precisión ordenando, empuja, arrastra o tracciona, apila, paletiza.</t>
    </r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</si>
  <si>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</si>
  <si>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</si>
  <si>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r>
      <t>¿Están los trabajadores/as expuestos/as a vibraciones por una fuente de vibración de cuerpo entero perceptible por el trabajador/a?</t>
    </r>
    <r>
      <rPr>
        <sz val="8"/>
        <color rgb="FF000000"/>
        <rFont val="ACHS Nueva Sans"/>
      </rPr>
      <t xml:space="preserve"> Se presenta en cercanía de máquinas donde se percibe la vibración, superficies vibrantes donde se está de pie o sentado como en maquinaria pesada y de conducción sentados o de pie.</t>
    </r>
  </si>
  <si>
    <r>
      <t>¿Están los trabajadores/as en contacto con una fuente de vibración del segmento mano - brazo? Y ¿esta condición es frecuente o inherente a la tarea realizada?</t>
    </r>
    <r>
      <rPr>
        <sz val="8"/>
        <color rgb="FF000000"/>
        <rFont val="ACHS Nueva Sans"/>
      </rPr>
      <t>. Se presenta en situaciones de manejo de herramientas neumáticas o eléctricas, atornilladores o destornilladores neumáticos o eléctricos, uso de herramientas con impacto como martillos, cinceles, herramientas percutoras como taladros o grandes percutores</t>
    </r>
  </si>
  <si>
    <t>06:30 14:50/17:30 a 02:82</t>
  </si>
  <si>
    <t>06:30 14:50/17:30 a 02:83</t>
  </si>
  <si>
    <t>06:30 14:50/17:30 a 02:84</t>
  </si>
  <si>
    <t>06:30 14:50/17:30 a 02:85</t>
  </si>
  <si>
    <t>06:30 14:50/17:30 a 02:86</t>
  </si>
  <si>
    <t>06:30 14:50/17:30 a 02:87</t>
  </si>
  <si>
    <t>06:30 14:50/17:30 a 02:88</t>
  </si>
  <si>
    <t>06:30 14:50/17:30 a 02:89</t>
  </si>
  <si>
    <t>06:30 14:50/17:30 a 02:90</t>
  </si>
  <si>
    <t>06:30 14:50/17:30 a 02:91</t>
  </si>
  <si>
    <t>06:30 14:50/17:30 a 02:92</t>
  </si>
  <si>
    <t>06:30 14:50/17:30 a 02:93</t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</si>
  <si>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</si>
  <si>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</si>
  <si>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</si>
  <si>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</si>
  <si>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</si>
  <si>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</si>
  <si>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</si>
  <si>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</si>
  <si>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</si>
  <si>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</si>
  <si>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</si>
  <si>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</si>
  <si>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</si>
  <si>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</si>
  <si>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(excluyendo la pausa para almuerzo) que al menos duren 8 minutos cada 2 horas.</t>
  </si>
  <si>
    <t>¿Se realiza la tarea repetitiva durante menos de 8 horas al día?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</si>
  <si>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</si>
  <si>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</si>
  <si>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</si>
  <si>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</si>
  <si>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</si>
  <si>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6 a 8 horas?</t>
  </si>
  <si>
    <t>¿La duración total de las tareas repetitivas excede 8 horas dentro de un turno?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</si>
  <si>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</si>
  <si>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</si>
  <si>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</si>
  <si>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</si>
  <si>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</si>
  <si>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</si>
  <si>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</si>
  <si>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</si>
  <si>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</si>
  <si>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</si>
  <si>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</si>
  <si>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</si>
  <si>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</si>
  <si>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</si>
  <si>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</si>
  <si>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</si>
  <si>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</si>
  <si>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</si>
  <si>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</si>
  <si>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</si>
  <si>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apoyada?, o en caso de inclinación anterior (flexión), ¿está a menos de 25º?</t>
  </si>
  <si>
    <t>Si está sentado, ¿la curvatura de la espalda se mantiene no forzada?</t>
  </si>
  <si>
    <t>Miembro con mayor exigencia</t>
  </si>
  <si>
    <t>¿Están ausentes las posturas de MMSS separadas del cuerpo, elevadas sobre nivel de hombro de manera sostenida y no apoyadas?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</si>
  <si>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</si>
  <si>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</si>
  <si>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</si>
  <si>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 y la rotación extrema de antebrazo?</t>
  </si>
  <si>
    <t>¿Está ausente el giro extremo del antebrazo?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</si>
  <si>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</si>
  <si>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</si>
  <si>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</si>
  <si>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</si>
  <si>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</si>
  <si>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</si>
  <si>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</si>
  <si>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minutos?</t>
  </si>
  <si>
    <t>¿Está la cabeza extendida (inclinada hacia atrás) sin apoyo?</t>
  </si>
  <si>
    <t>¿Está la cabeza en flexión (inclinación hacia adelante) de 85° o más?</t>
  </si>
  <si>
    <t>¿Está la cabeza en flexión (aun cuando sea levemente) durante más de 8 minutos?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</si>
  <si>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</si>
  <si>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</si>
  <si>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</si>
  <si>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</si>
  <si>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</si>
  <si>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</si>
  <si>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</si>
  <si>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</si>
  <si>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</si>
  <si>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</si>
  <si>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</si>
  <si>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N/A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</si>
  <si>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</si>
  <si>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0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</si>
  <si>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0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</si>
  <si>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0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</si>
  <si>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0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</si>
  <si>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0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</si>
  <si>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0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</si>
  <si>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0"/>
        <color rgb="FFFF0000"/>
        <rFont val="ACHS Nueva Sans"/>
      </rPr>
      <t xml:space="preserve"> Distancia  &gt; = 10 metros</t>
    </r>
  </si>
  <si>
    <t>RESULTADO</t>
  </si>
  <si>
    <r>
      <t>IDENTIFICACIÓN AVANZADA – Tarea(s) con MMC: Levantamiento, Descenso y Transporte de cargas de 3kg o más – Condición Crítica</t>
    </r>
    <r>
      <rPr>
        <b/>
        <sz val="10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</si>
  <si>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0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</si>
  <si>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0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</si>
  <si>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</si>
  <si>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</si>
  <si>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</si>
  <si>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</si>
  <si>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</si>
  <si>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</si>
  <si>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</si>
  <si>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</si>
  <si>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</si>
  <si>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</si>
  <si>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</si>
  <si>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</si>
  <si>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</si>
  <si>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</si>
  <si>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</si>
  <si>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</si>
  <si>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</si>
  <si>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</si>
  <si>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</si>
  <si>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</si>
  <si>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</si>
  <si>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</si>
  <si>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</si>
  <si>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</si>
  <si>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</si>
  <si>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</si>
  <si>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</si>
  <si>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</si>
  <si>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</si>
  <si>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</si>
  <si>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0"/>
        <color theme="0"/>
        <rFont val="ACHS Nueva Sans"/>
      </rPr>
      <t>Posición vertical</t>
    </r>
    <r>
      <rPr>
        <sz val="10"/>
        <color theme="0"/>
        <rFont val="ACHS Nueva Sans"/>
      </rPr>
      <t xml:space="preserve"> La ubicación de las manos al inicio o final del levantamiento/descenso de una carga es superior a 155 cm o inferior a 20 cm</t>
    </r>
  </si>
  <si>
    <t>Desplazamiento vertical La distancia vertical entre el origen y el destino del objeto manipulado es mayor a 135 cm</t>
  </si>
  <si>
    <t>Distancia horizontal La distancia horizontal entre el cuerpo y las manos (nudillos) es superior a 55 cm correspondiente a la zona de alcance máximo de brazos</t>
  </si>
  <si>
    <t>Asimetría Rotación o inclinación extrema del tronco sin movimientos de los pies</t>
  </si>
  <si>
    <t>Frecuencia Corta duración: más de 15 levant./desc. por min, en una tarea que no supere los 60 min seguidos en el turno de trabajo y seguida de al menos 60 min de desc. o tarea liviana (que no implique MMC)</t>
  </si>
  <si>
    <t>Frecuencia Media duración: + de 12 levant/desc por min, en una tarea que no supere los 120 min seguidos en el turno de trabajo y seguida de al menos 30 min de descanso o tarea liviana (que no implique MMC).</t>
  </si>
  <si>
    <t>Frecuencia Larga duración: más de 8 levantamientos/descensos por minuto, en una tarea que supere los 120 minutos seguidos en el turno de trabajo</t>
  </si>
  <si>
    <t>nbhjiiiiiiiiiiiikkkkkkkkkkkkkkkkkkkkkkkkkkkkkkkkkkkkkkkkkkkkkkkkkkkkkkkkkkkkkkkkkkkkkkkkkkkkkkkkkkkkkkkkkkkkkkkkkkkkkkkkkkkkkkkkkkkkkkkkkkkkkkkkkkkkkkkkkkkkkkk bn</t>
  </si>
  <si>
    <r>
      <t xml:space="preserve">Mujeres (18-45 años) </t>
    </r>
    <r>
      <rPr>
        <b/>
        <sz val="10"/>
        <color rgb="FFFF0000"/>
        <rFont val="ACHS Nueva Sans"/>
      </rPr>
      <t>20KG</t>
    </r>
  </si>
  <si>
    <r>
      <t xml:space="preserve">Hombres (&lt;18 o &gt;45 años) </t>
    </r>
    <r>
      <rPr>
        <b/>
        <sz val="10"/>
        <color rgb="FFFF0000"/>
        <rFont val="ACHS Nueva Sans"/>
      </rPr>
      <t>20KG</t>
    </r>
  </si>
  <si>
    <r>
      <t xml:space="preserve">Mujeres (&lt;18 o &gt;45 años) </t>
    </r>
    <r>
      <rPr>
        <b/>
        <sz val="10"/>
        <color rgb="FFFF0000"/>
        <rFont val="ACHS Nueva Sans"/>
      </rPr>
      <t>15KG</t>
    </r>
  </si>
  <si>
    <r>
      <t xml:space="preserve">Mujer embarazada             </t>
    </r>
    <r>
      <rPr>
        <b/>
        <sz val="10"/>
        <color rgb="FFFF0000"/>
        <rFont val="ACHS Nueva Sans"/>
      </rPr>
      <t>3KG</t>
    </r>
  </si>
  <si>
    <r>
      <t xml:space="preserve">Distancia de transporte de 20 mt o más </t>
    </r>
    <r>
      <rPr>
        <b/>
        <sz val="10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</si>
  <si>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0"/>
        <color rgb="FFFF0000"/>
        <rFont val="ACHS Nueva Sans"/>
      </rPr>
      <t>10.000 kg en 8 hr</t>
    </r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</si>
  <si>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</si>
  <si>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</si>
  <si>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</si>
  <si>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</si>
  <si>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</si>
  <si>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</si>
  <si>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</si>
  <si>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</si>
  <si>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</si>
  <si>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</si>
  <si>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</si>
  <si>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</si>
  <si>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</si>
  <si>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</si>
  <si>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</si>
  <si>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</si>
  <si>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</si>
  <si>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</si>
  <si>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</si>
  <si>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</si>
  <si>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</si>
  <si>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</si>
  <si>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</si>
  <si>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</si>
  <si>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</si>
  <si>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</si>
  <si>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</si>
  <si>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</si>
  <si>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</si>
  <si>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</si>
  <si>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</si>
  <si>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</si>
  <si>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</si>
  <si>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</si>
  <si>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</si>
  <si>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</si>
  <si>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</si>
  <si>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</si>
  <si>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</si>
  <si>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</si>
  <si>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</si>
  <si>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</si>
  <si>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</si>
  <si>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</si>
  <si>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</si>
  <si>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</si>
  <si>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</si>
  <si>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</si>
  <si>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</si>
  <si>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</si>
  <si>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</si>
  <si>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</si>
  <si>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</si>
  <si>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</si>
  <si>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</si>
  <si>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</si>
  <si>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</si>
  <si>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</si>
  <si>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</si>
  <si>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</si>
  <si>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</si>
  <si>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</si>
  <si>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</si>
  <si>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</si>
  <si>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</si>
  <si>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</si>
  <si>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</si>
  <si>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</si>
  <si>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</si>
  <si>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</si>
  <si>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</si>
  <si>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</si>
  <si>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</si>
  <si>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</si>
  <si>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</si>
  <si>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</si>
  <si>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</si>
  <si>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</si>
  <si>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</si>
  <si>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</si>
  <si>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</si>
  <si>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</si>
  <si>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 Se define como límite inferior de 0,5 horas según D.S 594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</si>
  <si>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</si>
  <si>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</si>
  <si>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</si>
  <si>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</si>
  <si>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</si>
  <si>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</si>
  <si>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¿Estos sobrepasan los siguientes valores: 0,35 m/s2 para el eje X; 0,35m/s2 para el eje Y; 0,50 para el eje Z?</t>
  </si>
  <si>
    <t>¿Existe desconocimiento por parte de los trabajadores sobre los riesgos relacionados con las vibraciones de cuerpo entero?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</si>
  <si>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</si>
  <si>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</si>
  <si>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</si>
  <si>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</si>
  <si>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</si>
  <si>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</si>
  <si>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</si>
  <si>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</si>
  <si>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</si>
  <si>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</si>
  <si>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operar maquinarias o herramientas vibrantes por periodos prolongados mayores a 30 minutos todos los días? Se define como límite inferior de 0,5 horas
según D.S 594.</t>
  </si>
  <si>
    <t>¿Las herramientas que se utilizan no están diseñadas para la tarea realizada? ¿Las herramientas son hechizas?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</si>
</sst>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CHS Nueva Sans"/>
    </font>
    <font>
      <sz val="10"/>
      <color theme="1"/>
      <name val="Aptos Narrow"/>
      <family val="2"/>
      <scheme val="minor"/>
    </font>
    <font>
      <sz val="10"/>
      <color theme="0"/>
      <name val="ACHS Nueva Sans"/>
    </font>
    <font>
      <b/>
      <sz val="8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4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3" borderId="5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 applyProtection="1">
      <alignment vertical="center" wrapText="1"/>
      <protection locked="0"/>
    </xf>
    <xf numFmtId="0" fontId="19" fillId="8" borderId="1" xfId="0" applyFont="1" applyFill="1" applyBorder="1" applyAlignment="1" applyProtection="1">
      <alignment horizontal="left" vertical="center" wrapText="1"/>
      <protection locked="0"/>
    </xf>
    <xf numFmtId="14" fontId="19" fillId="8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8" borderId="4" xfId="0" applyFont="1" applyFill="1" applyBorder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horizontal="left" vertical="center" wrapText="1"/>
      <protection locked="0"/>
    </xf>
    <xf numFmtId="0" fontId="20" fillId="9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1" fillId="0" borderId="16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23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4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7" fillId="3" borderId="2" xfId="0" applyFont="1" applyFill="1" applyBorder="1" applyAlignment="1">
      <alignment vertical="center" wrapText="1"/>
    </xf>
    <xf numFmtId="0" fontId="28" fillId="0" borderId="0" xfId="0" applyFont="1"/>
    <xf numFmtId="0" fontId="24" fillId="4" borderId="0" xfId="0" applyFont="1" applyFill="1" applyAlignment="1">
      <alignment horizontal="center" vertical="center"/>
    </xf>
    <xf numFmtId="0" fontId="24" fillId="4" borderId="17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 applyProtection="1">
      <alignment vertical="center" wrapText="1"/>
      <protection locked="0"/>
    </xf>
    <xf numFmtId="0" fontId="29" fillId="4" borderId="2" xfId="0" applyFont="1" applyFill="1" applyBorder="1" applyAlignment="1" applyProtection="1">
      <alignment vertical="center" wrapText="1"/>
      <protection locked="0"/>
    </xf>
    <xf numFmtId="0" fontId="19" fillId="0" borderId="8" xfId="0" applyFont="1" applyBorder="1" applyAlignment="1" applyProtection="1">
      <alignment vertical="center" wrapText="1"/>
      <protection locked="0"/>
    </xf>
    <xf numFmtId="0" fontId="19" fillId="0" borderId="3" xfId="0" applyFont="1" applyBorder="1" applyAlignment="1" applyProtection="1">
      <alignment vertical="center" wrapText="1"/>
      <protection locked="0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wrapText="1"/>
    </xf>
    <xf numFmtId="0" fontId="28" fillId="0" borderId="0" xfId="0" applyFont="1" applyAlignment="1">
      <alignment vertical="center"/>
    </xf>
    <xf numFmtId="0" fontId="28" fillId="0" borderId="21" xfId="0" applyFont="1" applyBorder="1" applyAlignment="1">
      <alignment wrapText="1"/>
    </xf>
    <xf numFmtId="0" fontId="28" fillId="0" borderId="22" xfId="0" applyFont="1" applyBorder="1"/>
    <xf numFmtId="0" fontId="28" fillId="0" borderId="0" xfId="0" applyFont="1" applyAlignment="1">
      <alignment horizontal="center"/>
    </xf>
    <xf numFmtId="0" fontId="30" fillId="5" borderId="2" xfId="0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center" textRotation="90" wrapText="1"/>
    </xf>
    <xf numFmtId="0" fontId="30" fillId="5" borderId="3" xfId="0" applyFont="1" applyFill="1" applyBorder="1" applyAlignment="1">
      <alignment horizontal="center" vertical="center" wrapText="1"/>
    </xf>
    <xf numFmtId="0" fontId="32" fillId="0" borderId="0" xfId="0" applyFont="1" applyAlignment="1">
      <alignment wrapText="1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 applyProtection="1">
      <alignment horizontal="left" vertical="center" wrapText="1" indent="1"/>
      <protection locked="0"/>
    </xf>
    <xf numFmtId="0" fontId="33" fillId="0" borderId="6" xfId="0" applyFont="1" applyBorder="1" applyAlignment="1" applyProtection="1">
      <alignment horizontal="left" vertical="center" wrapText="1" indent="1"/>
      <protection locked="0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>
      <alignment horizontal="center" vertical="center"/>
    </xf>
    <xf numFmtId="0" fontId="33" fillId="0" borderId="0" xfId="0" applyFont="1"/>
    <xf numFmtId="0" fontId="34" fillId="0" borderId="1" xfId="0" applyFont="1" applyBorder="1" applyAlignment="1">
      <alignment wrapText="1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0" borderId="1" xfId="0" applyFont="1" applyBorder="1" applyAlignment="1">
      <alignment wrapText="1"/>
    </xf>
    <xf numFmtId="0" fontId="35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 applyProtection="1">
      <alignment horizontal="center" vertical="center" wrapText="1"/>
      <protection locked="0"/>
    </xf>
    <xf numFmtId="0" fontId="19" fillId="8" borderId="6" xfId="0" applyFont="1" applyFill="1" applyBorder="1" applyAlignment="1" applyProtection="1">
      <alignment horizontal="center" vertical="center" wrapText="1"/>
      <protection locked="0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textRotation="90" wrapText="1"/>
    </xf>
    <xf numFmtId="0" fontId="2" fillId="4" borderId="0" xfId="0" applyFont="1" applyFill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18" fillId="8" borderId="1" xfId="1" applyFill="1" applyBorder="1" applyAlignment="1" applyProtection="1">
      <alignment vertical="center" wrapText="1"/>
      <protection locked="0"/>
    </xf>
  </cellXfs>
  <cellStyles count="2">
    <cellStyle name="Hyperlink" xfId="1" xr:uid="{00000000-000B-0000-0000-000008000000}"/>
    <cellStyle name="Normal" xfId="0" builtinId="0"/>
  </cellStyles>
  <dxfs count="71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7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0.18252413215789887"/>
                  <c:y val="-0.18196706180958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dLbl>
              <c:idx val="1"/>
              <c:layout>
                <c:manualLayout>
                  <c:x val="-4.3132689809122694E-2"/>
                  <c:y val="3.03538980704335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Portada!$F$1:$G$1</c:f>
              <c:strCache>
                <c:ptCount val="2"/>
                <c:pt idx="0">
                  <c:v>N° de Puestos </c:v>
                </c:pt>
                <c:pt idx="1">
                  <c:v>Evaluados</c:v>
                </c:pt>
              </c:strCache>
            </c:strRef>
          </c:cat>
          <c:val>
            <c:numRef>
              <c:f>Portada!$F$2:$G$2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95250</xdr:rowOff>
    </xdr:from>
    <xdr:to>
      <xdr:col>8</xdr:col>
      <xdr:colOff>53340</xdr:colOff>
      <xdr:row>7</xdr:row>
      <xdr:rowOff>251460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torrealbag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workbookViewId="0">
      <selection activeCell="B17" sqref="B17"/>
    </sheetView>
  </sheetViews>
  <sheetFormatPr defaultColWidth="11.42578125" defaultRowHeight="15"/>
  <cols>
    <col min="1" max="1" width="26.28515625" style="1" customWidth="1"/>
    <col min="2" max="2" width="44.28515625" customWidth="1"/>
    <col min="3" max="3" width="16.28515625" customWidth="1"/>
    <col min="4" max="4" width="27.5703125" style="29" customWidth="1"/>
    <col min="6" max="6" width="12.5703125" bestFit="1" customWidth="1"/>
    <col min="7" max="7" width="9.140625" bestFit="1" customWidth="1"/>
    <col min="8" max="8" width="10" bestFit="1" customWidth="1"/>
  </cols>
  <sheetData>
    <row r="1" spans="1:8" ht="26.45" customHeight="1" thickBot="1">
      <c r="A1" s="130" t="s">
        <v>0</v>
      </c>
      <c r="B1" s="130"/>
      <c r="C1" s="130"/>
      <c r="D1" s="130"/>
      <c r="F1" s="34" t="s">
        <v>1</v>
      </c>
      <c r="G1" s="34" t="s">
        <v>2</v>
      </c>
      <c r="H1" s="34" t="s">
        <v>3</v>
      </c>
    </row>
    <row r="2" spans="1:8" ht="22.15" customHeight="1" thickBot="1">
      <c r="A2" s="33" t="s">
        <v>4</v>
      </c>
      <c r="B2" s="26" t="s">
        <v>5</v>
      </c>
      <c r="C2" s="25" t="s">
        <v>6</v>
      </c>
      <c r="D2" s="27" t="s">
        <v>7</v>
      </c>
      <c r="F2" s="35">
        <f>COUNTIF(Datos!B:B,"Procesos")</f>
        <v>0</v>
      </c>
      <c r="G2" s="36">
        <f>COUNTIF(Datos!T:T,"SI")</f>
        <v>115</v>
      </c>
      <c r="H2" s="36">
        <f>COUNTIF(Datos!T:T,"NO")</f>
        <v>0</v>
      </c>
    </row>
    <row r="3" spans="1:8" ht="25.9" customHeight="1">
      <c r="A3" s="33" t="s">
        <v>8</v>
      </c>
      <c r="B3" s="26" t="s">
        <v>9</v>
      </c>
      <c r="C3" s="25" t="s">
        <v>10</v>
      </c>
      <c r="D3" s="27"/>
    </row>
    <row r="4" spans="1:8" ht="22.15" customHeight="1">
      <c r="A4" s="33" t="s">
        <v>11</v>
      </c>
      <c r="B4" s="26" t="s">
        <v>12</v>
      </c>
      <c r="C4" s="25" t="s">
        <v>13</v>
      </c>
      <c r="D4" s="27" t="s">
        <v>14</v>
      </c>
    </row>
    <row r="5" spans="1:8" ht="22.15" customHeight="1">
      <c r="A5" s="33" t="s">
        <v>15</v>
      </c>
      <c r="B5" s="26" t="s">
        <v>16</v>
      </c>
      <c r="C5" s="26"/>
      <c r="D5" s="26"/>
    </row>
    <row r="6" spans="1:8" ht="31.9" customHeight="1">
      <c r="A6" s="33" t="s">
        <v>17</v>
      </c>
      <c r="B6" s="26" t="s">
        <v>18</v>
      </c>
      <c r="C6" s="25" t="s">
        <v>19</v>
      </c>
      <c r="D6" s="28">
        <v>45402</v>
      </c>
    </row>
    <row r="7" spans="1:8" ht="22.15" customHeight="1">
      <c r="A7" s="131" t="s">
        <v>20</v>
      </c>
      <c r="B7" s="131"/>
      <c r="C7" s="131"/>
      <c r="D7" s="131"/>
    </row>
    <row r="8" spans="1:8" ht="33.6" customHeight="1">
      <c r="A8" s="33" t="s">
        <v>21</v>
      </c>
      <c r="B8" s="26" t="s">
        <v>22</v>
      </c>
      <c r="C8" s="132" t="s">
        <v>23</v>
      </c>
      <c r="D8" s="133"/>
    </row>
    <row r="9" spans="1:8" ht="22.15" customHeight="1">
      <c r="A9" s="33" t="s">
        <v>24</v>
      </c>
      <c r="B9" s="26" t="s">
        <v>12</v>
      </c>
      <c r="C9" s="25" t="s">
        <v>25</v>
      </c>
      <c r="D9" s="27"/>
    </row>
    <row r="10" spans="1:8" ht="22.15" customHeight="1">
      <c r="A10" s="33" t="s">
        <v>13</v>
      </c>
      <c r="B10" s="27" t="s">
        <v>14</v>
      </c>
      <c r="C10" s="25" t="s">
        <v>26</v>
      </c>
      <c r="D10" s="27"/>
    </row>
    <row r="11" spans="1:8" ht="22.15" customHeight="1">
      <c r="A11" s="131" t="s">
        <v>27</v>
      </c>
      <c r="B11" s="131"/>
      <c r="C11" s="131"/>
      <c r="D11" s="131"/>
    </row>
    <row r="12" spans="1:8" ht="22.15" customHeight="1">
      <c r="A12" s="33" t="s">
        <v>28</v>
      </c>
      <c r="B12" s="30" t="s">
        <v>29</v>
      </c>
      <c r="C12" s="25" t="s">
        <v>30</v>
      </c>
      <c r="D12" s="27">
        <v>722312747</v>
      </c>
    </row>
    <row r="13" spans="1:8" ht="22.15" customHeight="1">
      <c r="A13" s="33" t="s">
        <v>31</v>
      </c>
      <c r="B13" s="26" t="s">
        <v>32</v>
      </c>
      <c r="C13" s="31"/>
      <c r="D13" s="32"/>
    </row>
    <row r="14" spans="1:8" ht="22.15" customHeight="1">
      <c r="A14" s="33" t="s">
        <v>33</v>
      </c>
      <c r="B14" s="175" t="s">
        <v>34</v>
      </c>
    </row>
  </sheetData>
  <sheetProtection algorithmName="SHA-512" hashValue="KhUk0a9Z8XN0VmMxY09gnWzgy+qcMAFh7v/a0lj1ZJGQUVqNa6Z6vEmEv0OnqmOTg7/7ho/lDEL12iT+ou/pwQ==" saltValue="FIjF8XCvQAGW5eVXf4OZew==" spinCount="100000" sheet="1" objects="1" scenarios="1" formatCells="0" formatColumns="0" formatRows="0" insertColumns="0" insertRows="0" insertHyperlinks="0" deleteColumns="0" deleteRows="0"/>
  <mergeCells count="4">
    <mergeCell ref="A1:D1"/>
    <mergeCell ref="A7:D7"/>
    <mergeCell ref="C8:D8"/>
    <mergeCell ref="A11:D11"/>
  </mergeCells>
  <hyperlinks>
    <hyperlink ref="B14" r:id="rId1" xr:uid="{B033DC64-8F94-4571-A8B3-4B7840C9129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T116"/>
  <sheetViews>
    <sheetView tabSelected="1" zoomScale="93" zoomScaleNormal="93" workbookViewId="0">
      <pane xSplit="4" ySplit="1" topLeftCell="F2" activePane="bottomRight" state="frozen"/>
      <selection pane="bottomRight" activeCell="B2" sqref="B2"/>
      <selection pane="bottomLeft" activeCell="A2" sqref="A2"/>
      <selection pane="topRight" activeCell="E1" sqref="E1"/>
    </sheetView>
  </sheetViews>
  <sheetFormatPr defaultColWidth="6.42578125" defaultRowHeight="12"/>
  <cols>
    <col min="1" max="1" width="4.7109375" style="127" customWidth="1"/>
    <col min="2" max="2" width="14.28515625" style="127" customWidth="1"/>
    <col min="3" max="3" width="17.28515625" style="127" customWidth="1"/>
    <col min="4" max="4" width="14.85546875" style="127" customWidth="1"/>
    <col min="5" max="5" width="14.28515625" style="128" hidden="1" customWidth="1"/>
    <col min="6" max="6" width="16.28515625" style="127" customWidth="1"/>
    <col min="7" max="10" width="6.42578125" style="127"/>
    <col min="11" max="11" width="10" style="127" customWidth="1"/>
    <col min="12" max="12" width="7.5703125" style="127" customWidth="1"/>
    <col min="13" max="13" width="9.85546875" style="127" customWidth="1"/>
    <col min="14" max="15" width="8.85546875" style="127" customWidth="1"/>
    <col min="16" max="16" width="9.28515625" style="129" customWidth="1"/>
    <col min="17" max="17" width="19.85546875" style="127" customWidth="1"/>
    <col min="18" max="18" width="13.7109375" style="127" customWidth="1"/>
    <col min="19" max="19" width="12.42578125" style="127" customWidth="1"/>
    <col min="20" max="20" width="6.42578125" style="129"/>
    <col min="21" max="16384" width="6.42578125" style="119"/>
  </cols>
  <sheetData>
    <row r="1" spans="1:20" s="113" customFormat="1" ht="88.9" customHeight="1">
      <c r="A1" s="110" t="s">
        <v>35</v>
      </c>
      <c r="B1" s="110" t="s">
        <v>36</v>
      </c>
      <c r="C1" s="110" t="s">
        <v>37</v>
      </c>
      <c r="D1" s="110" t="s">
        <v>38</v>
      </c>
      <c r="E1" s="110" t="s">
        <v>39</v>
      </c>
      <c r="F1" s="110" t="s">
        <v>40</v>
      </c>
      <c r="G1" s="111" t="s">
        <v>41</v>
      </c>
      <c r="H1" s="111" t="s">
        <v>42</v>
      </c>
      <c r="I1" s="111" t="s">
        <v>43</v>
      </c>
      <c r="J1" s="111" t="s">
        <v>44</v>
      </c>
      <c r="K1" s="110" t="s">
        <v>45</v>
      </c>
      <c r="L1" s="110" t="s">
        <v>46</v>
      </c>
      <c r="M1" s="110" t="s">
        <v>47</v>
      </c>
      <c r="N1" s="110" t="s">
        <v>48</v>
      </c>
      <c r="O1" s="110" t="s">
        <v>49</v>
      </c>
      <c r="P1" s="110" t="s">
        <v>50</v>
      </c>
      <c r="Q1" s="110" t="s">
        <v>51</v>
      </c>
      <c r="R1" s="110" t="s">
        <v>52</v>
      </c>
      <c r="S1" s="110" t="s">
        <v>53</v>
      </c>
      <c r="T1" s="112" t="s">
        <v>54</v>
      </c>
    </row>
    <row r="2" spans="1:20" ht="52.15" customHeight="1">
      <c r="A2" s="114">
        <v>1</v>
      </c>
      <c r="B2" s="115" t="s">
        <v>55</v>
      </c>
      <c r="C2" s="115" t="s">
        <v>56</v>
      </c>
      <c r="D2" s="115" t="s">
        <v>57</v>
      </c>
      <c r="E2" s="115" t="s">
        <v>58</v>
      </c>
      <c r="F2" s="116" t="s">
        <v>59</v>
      </c>
      <c r="G2" s="115">
        <v>1</v>
      </c>
      <c r="H2" s="115">
        <v>6</v>
      </c>
      <c r="I2" s="115">
        <v>11</v>
      </c>
      <c r="J2" s="115">
        <v>5</v>
      </c>
      <c r="K2" s="115" t="s">
        <v>60</v>
      </c>
      <c r="L2" s="115" t="s">
        <v>61</v>
      </c>
      <c r="M2" s="117">
        <v>484</v>
      </c>
      <c r="N2" s="115" t="s">
        <v>62</v>
      </c>
      <c r="O2" s="117" t="s">
        <v>63</v>
      </c>
      <c r="P2" s="117" t="s">
        <v>64</v>
      </c>
      <c r="Q2" s="117" t="s">
        <v>65</v>
      </c>
      <c r="R2" s="115" t="s">
        <v>66</v>
      </c>
      <c r="S2" s="115" t="s">
        <v>67</v>
      </c>
      <c r="T2" s="118" t="s">
        <v>63</v>
      </c>
    </row>
    <row r="3" spans="1:20" ht="51.6" customHeight="1">
      <c r="A3" s="114">
        <v>2</v>
      </c>
      <c r="B3" s="115" t="s">
        <v>55</v>
      </c>
      <c r="C3" s="115" t="s">
        <v>56</v>
      </c>
      <c r="D3" s="115" t="s">
        <v>68</v>
      </c>
      <c r="E3" s="115" t="s">
        <v>69</v>
      </c>
      <c r="F3" s="116" t="s">
        <v>70</v>
      </c>
      <c r="G3" s="115">
        <v>1</v>
      </c>
      <c r="H3" s="115">
        <v>6</v>
      </c>
      <c r="I3" s="115">
        <v>11</v>
      </c>
      <c r="J3" s="115">
        <v>5</v>
      </c>
      <c r="K3" s="115" t="s">
        <v>60</v>
      </c>
      <c r="L3" s="115" t="s">
        <v>61</v>
      </c>
      <c r="M3" s="117">
        <v>484</v>
      </c>
      <c r="N3" s="115" t="s">
        <v>62</v>
      </c>
      <c r="O3" s="117" t="s">
        <v>63</v>
      </c>
      <c r="P3" s="117" t="s">
        <v>64</v>
      </c>
      <c r="Q3" s="117" t="s">
        <v>65</v>
      </c>
      <c r="R3" s="115" t="s">
        <v>66</v>
      </c>
      <c r="S3" s="115" t="s">
        <v>67</v>
      </c>
      <c r="T3" s="118" t="s">
        <v>63</v>
      </c>
    </row>
    <row r="4" spans="1:20" ht="50.45" customHeight="1">
      <c r="A4" s="114">
        <v>3</v>
      </c>
      <c r="B4" s="115" t="s">
        <v>55</v>
      </c>
      <c r="C4" s="115" t="s">
        <v>56</v>
      </c>
      <c r="D4" s="115" t="s">
        <v>71</v>
      </c>
      <c r="E4" s="120" t="s">
        <v>58</v>
      </c>
      <c r="F4" s="116" t="s">
        <v>72</v>
      </c>
      <c r="G4" s="115">
        <v>1</v>
      </c>
      <c r="H4" s="115">
        <v>6</v>
      </c>
      <c r="I4" s="115">
        <v>11</v>
      </c>
      <c r="J4" s="115">
        <v>5</v>
      </c>
      <c r="K4" s="115" t="s">
        <v>60</v>
      </c>
      <c r="L4" s="115" t="s">
        <v>61</v>
      </c>
      <c r="M4" s="117">
        <v>484</v>
      </c>
      <c r="N4" s="115" t="s">
        <v>62</v>
      </c>
      <c r="O4" s="117" t="s">
        <v>63</v>
      </c>
      <c r="P4" s="117" t="s">
        <v>64</v>
      </c>
      <c r="Q4" s="117" t="s">
        <v>65</v>
      </c>
      <c r="R4" s="115" t="s">
        <v>66</v>
      </c>
      <c r="S4" s="115" t="s">
        <v>67</v>
      </c>
      <c r="T4" s="118" t="s">
        <v>63</v>
      </c>
    </row>
    <row r="5" spans="1:20" ht="52.15" customHeight="1">
      <c r="A5" s="114">
        <v>4</v>
      </c>
      <c r="B5" s="115" t="s">
        <v>55</v>
      </c>
      <c r="C5" s="115" t="s">
        <v>56</v>
      </c>
      <c r="D5" s="115" t="s">
        <v>73</v>
      </c>
      <c r="E5" s="120" t="s">
        <v>58</v>
      </c>
      <c r="F5" s="116" t="s">
        <v>74</v>
      </c>
      <c r="G5" s="115">
        <v>1</v>
      </c>
      <c r="H5" s="115">
        <v>6</v>
      </c>
      <c r="I5" s="115">
        <v>11</v>
      </c>
      <c r="J5" s="115">
        <v>5</v>
      </c>
      <c r="K5" s="115" t="s">
        <v>60</v>
      </c>
      <c r="L5" s="115" t="s">
        <v>61</v>
      </c>
      <c r="M5" s="117">
        <v>484</v>
      </c>
      <c r="N5" s="115" t="s">
        <v>62</v>
      </c>
      <c r="O5" s="117" t="s">
        <v>63</v>
      </c>
      <c r="P5" s="117" t="s">
        <v>64</v>
      </c>
      <c r="Q5" s="117" t="s">
        <v>65</v>
      </c>
      <c r="R5" s="115" t="s">
        <v>66</v>
      </c>
      <c r="S5" s="115" t="s">
        <v>67</v>
      </c>
      <c r="T5" s="118" t="s">
        <v>63</v>
      </c>
    </row>
    <row r="6" spans="1:20" ht="52.15" customHeight="1">
      <c r="A6" s="114">
        <v>5</v>
      </c>
      <c r="B6" s="115" t="s">
        <v>55</v>
      </c>
      <c r="C6" s="115" t="s">
        <v>56</v>
      </c>
      <c r="D6" s="115" t="s">
        <v>75</v>
      </c>
      <c r="E6" s="120" t="s">
        <v>58</v>
      </c>
      <c r="F6" s="116" t="s">
        <v>76</v>
      </c>
      <c r="G6" s="115">
        <v>1</v>
      </c>
      <c r="H6" s="115">
        <v>6</v>
      </c>
      <c r="I6" s="115">
        <v>11</v>
      </c>
      <c r="J6" s="115">
        <v>5</v>
      </c>
      <c r="K6" s="115" t="s">
        <v>60</v>
      </c>
      <c r="L6" s="115" t="s">
        <v>61</v>
      </c>
      <c r="M6" s="117">
        <v>484</v>
      </c>
      <c r="N6" s="115" t="s">
        <v>62</v>
      </c>
      <c r="O6" s="117" t="s">
        <v>63</v>
      </c>
      <c r="P6" s="117" t="s">
        <v>64</v>
      </c>
      <c r="Q6" s="117" t="s">
        <v>65</v>
      </c>
      <c r="R6" s="115" t="s">
        <v>66</v>
      </c>
      <c r="S6" s="115" t="s">
        <v>67</v>
      </c>
      <c r="T6" s="118" t="s">
        <v>63</v>
      </c>
    </row>
    <row r="7" spans="1:20" ht="52.15" customHeight="1">
      <c r="A7" s="114">
        <v>6</v>
      </c>
      <c r="B7" s="115" t="s">
        <v>55</v>
      </c>
      <c r="C7" s="115" t="s">
        <v>56</v>
      </c>
      <c r="D7" s="115" t="s">
        <v>77</v>
      </c>
      <c r="E7" s="120" t="s">
        <v>58</v>
      </c>
      <c r="F7" s="116" t="s">
        <v>78</v>
      </c>
      <c r="G7" s="115">
        <v>1</v>
      </c>
      <c r="H7" s="115">
        <v>6</v>
      </c>
      <c r="I7" s="115">
        <v>11</v>
      </c>
      <c r="J7" s="115">
        <v>5</v>
      </c>
      <c r="K7" s="115" t="s">
        <v>60</v>
      </c>
      <c r="L7" s="115" t="s">
        <v>61</v>
      </c>
      <c r="M7" s="117">
        <v>484</v>
      </c>
      <c r="N7" s="115" t="s">
        <v>62</v>
      </c>
      <c r="O7" s="117" t="s">
        <v>63</v>
      </c>
      <c r="P7" s="117" t="s">
        <v>64</v>
      </c>
      <c r="Q7" s="117" t="s">
        <v>65</v>
      </c>
      <c r="R7" s="115" t="s">
        <v>66</v>
      </c>
      <c r="S7" s="115" t="s">
        <v>67</v>
      </c>
      <c r="T7" s="118" t="s">
        <v>63</v>
      </c>
    </row>
    <row r="8" spans="1:20" ht="52.15" customHeight="1">
      <c r="A8" s="114">
        <v>7</v>
      </c>
      <c r="B8" s="115" t="s">
        <v>55</v>
      </c>
      <c r="C8" s="115" t="s">
        <v>56</v>
      </c>
      <c r="D8" s="115" t="s">
        <v>79</v>
      </c>
      <c r="E8" s="120" t="s">
        <v>58</v>
      </c>
      <c r="F8" s="116" t="s">
        <v>80</v>
      </c>
      <c r="G8" s="115">
        <v>1</v>
      </c>
      <c r="H8" s="115">
        <v>6</v>
      </c>
      <c r="I8" s="115">
        <v>11</v>
      </c>
      <c r="J8" s="115">
        <v>5</v>
      </c>
      <c r="K8" s="115" t="s">
        <v>60</v>
      </c>
      <c r="L8" s="115" t="s">
        <v>61</v>
      </c>
      <c r="M8" s="117">
        <v>484</v>
      </c>
      <c r="N8" s="115" t="s">
        <v>62</v>
      </c>
      <c r="O8" s="117" t="s">
        <v>63</v>
      </c>
      <c r="P8" s="117" t="s">
        <v>64</v>
      </c>
      <c r="Q8" s="117" t="s">
        <v>65</v>
      </c>
      <c r="R8" s="115" t="s">
        <v>66</v>
      </c>
      <c r="S8" s="115" t="s">
        <v>67</v>
      </c>
      <c r="T8" s="118" t="s">
        <v>63</v>
      </c>
    </row>
    <row r="9" spans="1:20" ht="52.15" customHeight="1">
      <c r="A9" s="114">
        <v>8</v>
      </c>
      <c r="B9" s="115" t="s">
        <v>55</v>
      </c>
      <c r="C9" s="115" t="s">
        <v>56</v>
      </c>
      <c r="D9" s="115" t="s">
        <v>81</v>
      </c>
      <c r="E9" s="120" t="s">
        <v>58</v>
      </c>
      <c r="F9" s="116" t="s">
        <v>82</v>
      </c>
      <c r="G9" s="115">
        <v>1</v>
      </c>
      <c r="H9" s="115">
        <v>6</v>
      </c>
      <c r="I9" s="115">
        <v>11</v>
      </c>
      <c r="J9" s="115">
        <v>5</v>
      </c>
      <c r="K9" s="115" t="s">
        <v>60</v>
      </c>
      <c r="L9" s="115" t="s">
        <v>61</v>
      </c>
      <c r="M9" s="117">
        <v>484</v>
      </c>
      <c r="N9" s="115" t="s">
        <v>62</v>
      </c>
      <c r="O9" s="117" t="s">
        <v>63</v>
      </c>
      <c r="P9" s="117" t="s">
        <v>64</v>
      </c>
      <c r="Q9" s="117" t="s">
        <v>65</v>
      </c>
      <c r="R9" s="115" t="s">
        <v>66</v>
      </c>
      <c r="S9" s="115" t="s">
        <v>67</v>
      </c>
      <c r="T9" s="118" t="s">
        <v>63</v>
      </c>
    </row>
    <row r="10" spans="1:20" ht="52.15" customHeight="1">
      <c r="A10" s="114">
        <v>9</v>
      </c>
      <c r="B10" s="115" t="s">
        <v>55</v>
      </c>
      <c r="C10" s="115" t="s">
        <v>56</v>
      </c>
      <c r="D10" s="115" t="s">
        <v>81</v>
      </c>
      <c r="E10" s="120" t="s">
        <v>58</v>
      </c>
      <c r="F10" s="116" t="s">
        <v>83</v>
      </c>
      <c r="G10" s="115">
        <v>1</v>
      </c>
      <c r="H10" s="115">
        <v>6</v>
      </c>
      <c r="I10" s="115">
        <v>11</v>
      </c>
      <c r="J10" s="115">
        <v>5</v>
      </c>
      <c r="K10" s="115" t="s">
        <v>60</v>
      </c>
      <c r="L10" s="115" t="s">
        <v>61</v>
      </c>
      <c r="M10" s="117">
        <v>484</v>
      </c>
      <c r="N10" s="115" t="s">
        <v>62</v>
      </c>
      <c r="O10" s="117" t="s">
        <v>63</v>
      </c>
      <c r="P10" s="117" t="s">
        <v>64</v>
      </c>
      <c r="Q10" s="117" t="s">
        <v>65</v>
      </c>
      <c r="R10" s="115" t="s">
        <v>66</v>
      </c>
      <c r="S10" s="115" t="s">
        <v>67</v>
      </c>
      <c r="T10" s="118" t="s">
        <v>63</v>
      </c>
    </row>
    <row r="11" spans="1:20" ht="52.15" customHeight="1">
      <c r="A11" s="114">
        <v>10</v>
      </c>
      <c r="B11" s="115" t="s">
        <v>55</v>
      </c>
      <c r="C11" s="115" t="s">
        <v>56</v>
      </c>
      <c r="D11" s="115" t="s">
        <v>84</v>
      </c>
      <c r="E11" s="120" t="s">
        <v>85</v>
      </c>
      <c r="F11" s="116" t="s">
        <v>86</v>
      </c>
      <c r="G11" s="115">
        <v>1</v>
      </c>
      <c r="H11" s="115">
        <v>6</v>
      </c>
      <c r="I11" s="115">
        <v>11</v>
      </c>
      <c r="J11" s="115">
        <v>5</v>
      </c>
      <c r="K11" s="115" t="s">
        <v>60</v>
      </c>
      <c r="L11" s="115" t="s">
        <v>61</v>
      </c>
      <c r="M11" s="117">
        <v>484</v>
      </c>
      <c r="N11" s="115" t="s">
        <v>62</v>
      </c>
      <c r="O11" s="117" t="s">
        <v>63</v>
      </c>
      <c r="P11" s="117" t="s">
        <v>64</v>
      </c>
      <c r="Q11" s="117" t="s">
        <v>65</v>
      </c>
      <c r="R11" s="115" t="s">
        <v>66</v>
      </c>
      <c r="S11" s="115" t="s">
        <v>67</v>
      </c>
      <c r="T11" s="118" t="s">
        <v>63</v>
      </c>
    </row>
    <row r="12" spans="1:20" ht="52.15" customHeight="1">
      <c r="A12" s="114">
        <v>11</v>
      </c>
      <c r="B12" s="115" t="s">
        <v>55</v>
      </c>
      <c r="C12" s="115" t="s">
        <v>56</v>
      </c>
      <c r="D12" s="115" t="s">
        <v>87</v>
      </c>
      <c r="E12" s="120" t="s">
        <v>88</v>
      </c>
      <c r="F12" s="116" t="s">
        <v>89</v>
      </c>
      <c r="G12" s="115">
        <v>1</v>
      </c>
      <c r="H12" s="115">
        <v>6</v>
      </c>
      <c r="I12" s="115">
        <v>11</v>
      </c>
      <c r="J12" s="115">
        <v>5</v>
      </c>
      <c r="K12" s="115" t="s">
        <v>60</v>
      </c>
      <c r="L12" s="115" t="s">
        <v>61</v>
      </c>
      <c r="M12" s="117">
        <v>484</v>
      </c>
      <c r="N12" s="115" t="s">
        <v>62</v>
      </c>
      <c r="O12" s="117" t="s">
        <v>63</v>
      </c>
      <c r="P12" s="117" t="s">
        <v>64</v>
      </c>
      <c r="Q12" s="117" t="s">
        <v>65</v>
      </c>
      <c r="R12" s="115" t="s">
        <v>66</v>
      </c>
      <c r="S12" s="115" t="s">
        <v>67</v>
      </c>
      <c r="T12" s="118" t="s">
        <v>63</v>
      </c>
    </row>
    <row r="13" spans="1:20" ht="52.15" customHeight="1">
      <c r="A13" s="114">
        <v>12</v>
      </c>
      <c r="B13" s="115" t="s">
        <v>55</v>
      </c>
      <c r="C13" s="115" t="s">
        <v>90</v>
      </c>
      <c r="D13" s="115" t="s">
        <v>91</v>
      </c>
      <c r="E13" s="120" t="s">
        <v>92</v>
      </c>
      <c r="F13" s="116" t="s">
        <v>93</v>
      </c>
      <c r="G13" s="115">
        <v>1</v>
      </c>
      <c r="H13" s="115">
        <v>6</v>
      </c>
      <c r="I13" s="115">
        <v>24</v>
      </c>
      <c r="J13" s="115">
        <v>0</v>
      </c>
      <c r="K13" s="115" t="s">
        <v>60</v>
      </c>
      <c r="L13" s="115" t="s">
        <v>61</v>
      </c>
      <c r="M13" s="117">
        <v>484</v>
      </c>
      <c r="N13" s="115" t="s">
        <v>62</v>
      </c>
      <c r="O13" s="117" t="s">
        <v>63</v>
      </c>
      <c r="P13" s="117" t="s">
        <v>64</v>
      </c>
      <c r="Q13" s="117" t="s">
        <v>94</v>
      </c>
      <c r="R13" s="115" t="s">
        <v>95</v>
      </c>
      <c r="S13" s="115" t="s">
        <v>96</v>
      </c>
      <c r="T13" s="118" t="s">
        <v>63</v>
      </c>
    </row>
    <row r="14" spans="1:20" ht="52.15" customHeight="1">
      <c r="A14" s="114">
        <v>13</v>
      </c>
      <c r="B14" s="115" t="s">
        <v>55</v>
      </c>
      <c r="C14" s="115" t="s">
        <v>90</v>
      </c>
      <c r="D14" s="115" t="s">
        <v>97</v>
      </c>
      <c r="E14" s="121" t="s">
        <v>98</v>
      </c>
      <c r="F14" s="116" t="s">
        <v>99</v>
      </c>
      <c r="G14" s="115">
        <v>1</v>
      </c>
      <c r="H14" s="115">
        <v>6</v>
      </c>
      <c r="I14" s="115">
        <v>24</v>
      </c>
      <c r="J14" s="115">
        <v>0</v>
      </c>
      <c r="K14" s="115" t="s">
        <v>60</v>
      </c>
      <c r="L14" s="115" t="s">
        <v>61</v>
      </c>
      <c r="M14" s="117">
        <v>484</v>
      </c>
      <c r="N14" s="115" t="s">
        <v>62</v>
      </c>
      <c r="O14" s="117" t="s">
        <v>63</v>
      </c>
      <c r="P14" s="117" t="s">
        <v>64</v>
      </c>
      <c r="Q14" s="117" t="s">
        <v>100</v>
      </c>
      <c r="R14" s="115" t="s">
        <v>101</v>
      </c>
      <c r="S14" s="115" t="s">
        <v>96</v>
      </c>
      <c r="T14" s="118" t="s">
        <v>63</v>
      </c>
    </row>
    <row r="15" spans="1:20" ht="52.15" customHeight="1">
      <c r="A15" s="114">
        <v>14</v>
      </c>
      <c r="B15" s="115" t="s">
        <v>55</v>
      </c>
      <c r="C15" s="115" t="s">
        <v>90</v>
      </c>
      <c r="D15" s="115" t="s">
        <v>102</v>
      </c>
      <c r="E15" s="121" t="s">
        <v>103</v>
      </c>
      <c r="F15" s="122" t="s">
        <v>59</v>
      </c>
      <c r="G15" s="115">
        <v>1</v>
      </c>
      <c r="H15" s="115">
        <v>6</v>
      </c>
      <c r="I15" s="115">
        <v>10</v>
      </c>
      <c r="J15" s="115">
        <v>0</v>
      </c>
      <c r="K15" s="115" t="s">
        <v>60</v>
      </c>
      <c r="L15" s="115" t="s">
        <v>61</v>
      </c>
      <c r="M15" s="117">
        <v>484</v>
      </c>
      <c r="N15" s="115" t="s">
        <v>62</v>
      </c>
      <c r="O15" s="117" t="s">
        <v>63</v>
      </c>
      <c r="P15" s="117" t="s">
        <v>63</v>
      </c>
      <c r="Q15" s="117" t="s">
        <v>94</v>
      </c>
      <c r="R15" s="115" t="s">
        <v>104</v>
      </c>
      <c r="S15" s="115" t="s">
        <v>96</v>
      </c>
      <c r="T15" s="118" t="s">
        <v>63</v>
      </c>
    </row>
    <row r="16" spans="1:20" ht="52.15" customHeight="1">
      <c r="A16" s="114">
        <v>15</v>
      </c>
      <c r="B16" s="115" t="s">
        <v>55</v>
      </c>
      <c r="C16" s="115" t="s">
        <v>90</v>
      </c>
      <c r="D16" s="115" t="s">
        <v>105</v>
      </c>
      <c r="E16" s="121" t="s">
        <v>106</v>
      </c>
      <c r="F16" s="116" t="s">
        <v>59</v>
      </c>
      <c r="G16" s="115">
        <v>1</v>
      </c>
      <c r="H16" s="115">
        <v>6</v>
      </c>
      <c r="I16" s="115">
        <v>8</v>
      </c>
      <c r="J16" s="115">
        <v>0</v>
      </c>
      <c r="K16" s="115" t="s">
        <v>60</v>
      </c>
      <c r="L16" s="115" t="s">
        <v>61</v>
      </c>
      <c r="M16" s="117">
        <v>484</v>
      </c>
      <c r="N16" s="115" t="s">
        <v>62</v>
      </c>
      <c r="O16" s="117" t="s">
        <v>63</v>
      </c>
      <c r="P16" s="117" t="s">
        <v>64</v>
      </c>
      <c r="Q16" s="117" t="s">
        <v>94</v>
      </c>
      <c r="R16" s="115" t="s">
        <v>104</v>
      </c>
      <c r="S16" s="115" t="s">
        <v>96</v>
      </c>
      <c r="T16" s="118" t="s">
        <v>63</v>
      </c>
    </row>
    <row r="17" spans="1:20" ht="52.15" customHeight="1">
      <c r="A17" s="114">
        <v>16</v>
      </c>
      <c r="B17" s="115" t="s">
        <v>55</v>
      </c>
      <c r="C17" s="115" t="s">
        <v>90</v>
      </c>
      <c r="D17" s="115" t="s">
        <v>107</v>
      </c>
      <c r="E17" s="121" t="s">
        <v>108</v>
      </c>
      <c r="F17" s="116" t="s">
        <v>59</v>
      </c>
      <c r="G17" s="115">
        <v>1</v>
      </c>
      <c r="H17" s="115">
        <v>6</v>
      </c>
      <c r="I17" s="115">
        <v>2</v>
      </c>
      <c r="J17" s="115">
        <v>0</v>
      </c>
      <c r="K17" s="115" t="s">
        <v>60</v>
      </c>
      <c r="L17" s="115" t="s">
        <v>61</v>
      </c>
      <c r="M17" s="117">
        <v>484</v>
      </c>
      <c r="N17" s="115" t="s">
        <v>62</v>
      </c>
      <c r="O17" s="117" t="s">
        <v>63</v>
      </c>
      <c r="P17" s="117" t="s">
        <v>64</v>
      </c>
      <c r="Q17" s="117" t="s">
        <v>94</v>
      </c>
      <c r="R17" s="115"/>
      <c r="S17" s="115" t="s">
        <v>96</v>
      </c>
      <c r="T17" s="118" t="s">
        <v>63</v>
      </c>
    </row>
    <row r="18" spans="1:20" ht="52.15" customHeight="1">
      <c r="A18" s="114">
        <v>17</v>
      </c>
      <c r="B18" s="115" t="s">
        <v>55</v>
      </c>
      <c r="C18" s="115" t="s">
        <v>90</v>
      </c>
      <c r="D18" s="115" t="s">
        <v>109</v>
      </c>
      <c r="E18" s="121" t="s">
        <v>110</v>
      </c>
      <c r="F18" s="116" t="s">
        <v>59</v>
      </c>
      <c r="G18" s="115">
        <v>1</v>
      </c>
      <c r="H18" s="115">
        <v>6</v>
      </c>
      <c r="I18" s="115">
        <v>2</v>
      </c>
      <c r="J18" s="115">
        <v>0</v>
      </c>
      <c r="K18" s="115" t="s">
        <v>60</v>
      </c>
      <c r="L18" s="115" t="s">
        <v>61</v>
      </c>
      <c r="M18" s="117">
        <v>484</v>
      </c>
      <c r="N18" s="115" t="s">
        <v>62</v>
      </c>
      <c r="O18" s="117" t="s">
        <v>63</v>
      </c>
      <c r="P18" s="117" t="s">
        <v>64</v>
      </c>
      <c r="Q18" s="117" t="s">
        <v>94</v>
      </c>
      <c r="R18" s="115"/>
      <c r="S18" s="115" t="s">
        <v>96</v>
      </c>
      <c r="T18" s="118" t="s">
        <v>63</v>
      </c>
    </row>
    <row r="19" spans="1:20" ht="52.15" customHeight="1">
      <c r="A19" s="114">
        <v>18</v>
      </c>
      <c r="B19" s="115" t="s">
        <v>55</v>
      </c>
      <c r="C19" s="115" t="s">
        <v>90</v>
      </c>
      <c r="D19" s="115" t="s">
        <v>111</v>
      </c>
      <c r="E19" s="121" t="s">
        <v>112</v>
      </c>
      <c r="F19" s="116" t="s">
        <v>59</v>
      </c>
      <c r="G19" s="115">
        <v>1</v>
      </c>
      <c r="H19" s="115">
        <v>6</v>
      </c>
      <c r="I19" s="115">
        <v>0</v>
      </c>
      <c r="J19" s="115">
        <v>12</v>
      </c>
      <c r="K19" s="115" t="s">
        <v>60</v>
      </c>
      <c r="L19" s="115" t="s">
        <v>61</v>
      </c>
      <c r="M19" s="117">
        <v>484</v>
      </c>
      <c r="N19" s="115" t="s">
        <v>62</v>
      </c>
      <c r="O19" s="117" t="s">
        <v>63</v>
      </c>
      <c r="P19" s="117" t="s">
        <v>64</v>
      </c>
      <c r="Q19" s="117" t="s">
        <v>94</v>
      </c>
      <c r="R19" s="115" t="s">
        <v>66</v>
      </c>
      <c r="S19" s="115" t="s">
        <v>96</v>
      </c>
      <c r="T19" s="118" t="s">
        <v>63</v>
      </c>
    </row>
    <row r="20" spans="1:20" ht="52.15" customHeight="1">
      <c r="A20" s="114">
        <v>19</v>
      </c>
      <c r="B20" s="115" t="s">
        <v>55</v>
      </c>
      <c r="C20" s="115" t="s">
        <v>90</v>
      </c>
      <c r="D20" s="115" t="s">
        <v>113</v>
      </c>
      <c r="E20" s="121" t="s">
        <v>112</v>
      </c>
      <c r="F20" s="116" t="s">
        <v>59</v>
      </c>
      <c r="G20" s="115">
        <v>1</v>
      </c>
      <c r="H20" s="115">
        <v>6</v>
      </c>
      <c r="I20" s="115">
        <v>0</v>
      </c>
      <c r="J20" s="115">
        <v>12</v>
      </c>
      <c r="K20" s="115" t="s">
        <v>60</v>
      </c>
      <c r="L20" s="115" t="s">
        <v>61</v>
      </c>
      <c r="M20" s="117">
        <v>484</v>
      </c>
      <c r="N20" s="115" t="s">
        <v>62</v>
      </c>
      <c r="O20" s="117" t="s">
        <v>63</v>
      </c>
      <c r="P20" s="117" t="s">
        <v>64</v>
      </c>
      <c r="Q20" s="117" t="s">
        <v>94</v>
      </c>
      <c r="R20" s="115"/>
      <c r="S20" s="115" t="s">
        <v>96</v>
      </c>
      <c r="T20" s="118" t="s">
        <v>63</v>
      </c>
    </row>
    <row r="21" spans="1:20" ht="52.15" customHeight="1">
      <c r="A21" s="114">
        <v>20</v>
      </c>
      <c r="B21" s="115" t="s">
        <v>55</v>
      </c>
      <c r="C21" s="115" t="s">
        <v>90</v>
      </c>
      <c r="D21" s="115" t="s">
        <v>114</v>
      </c>
      <c r="E21" s="121" t="s">
        <v>112</v>
      </c>
      <c r="F21" s="116" t="s">
        <v>59</v>
      </c>
      <c r="G21" s="115">
        <v>1</v>
      </c>
      <c r="H21" s="115">
        <v>6</v>
      </c>
      <c r="I21" s="115">
        <v>0</v>
      </c>
      <c r="J21" s="115">
        <v>12</v>
      </c>
      <c r="K21" s="115" t="s">
        <v>60</v>
      </c>
      <c r="L21" s="115" t="s">
        <v>61</v>
      </c>
      <c r="M21" s="117">
        <v>484</v>
      </c>
      <c r="N21" s="115" t="s">
        <v>62</v>
      </c>
      <c r="O21" s="117" t="s">
        <v>63</v>
      </c>
      <c r="P21" s="117" t="s">
        <v>64</v>
      </c>
      <c r="Q21" s="117" t="s">
        <v>94</v>
      </c>
      <c r="R21" s="115"/>
      <c r="S21" s="115" t="s">
        <v>96</v>
      </c>
      <c r="T21" s="118" t="s">
        <v>63</v>
      </c>
    </row>
    <row r="22" spans="1:20" ht="52.15" customHeight="1">
      <c r="A22" s="114">
        <v>21</v>
      </c>
      <c r="B22" s="115" t="s">
        <v>55</v>
      </c>
      <c r="C22" s="115" t="s">
        <v>90</v>
      </c>
      <c r="D22" s="115" t="s">
        <v>115</v>
      </c>
      <c r="E22" s="121" t="s">
        <v>112</v>
      </c>
      <c r="F22" s="116" t="s">
        <v>59</v>
      </c>
      <c r="G22" s="115">
        <v>1</v>
      </c>
      <c r="H22" s="115">
        <v>6</v>
      </c>
      <c r="I22" s="115">
        <v>0</v>
      </c>
      <c r="J22" s="115">
        <v>12</v>
      </c>
      <c r="K22" s="115" t="s">
        <v>60</v>
      </c>
      <c r="L22" s="115" t="s">
        <v>61</v>
      </c>
      <c r="M22" s="117">
        <v>484</v>
      </c>
      <c r="N22" s="115" t="s">
        <v>62</v>
      </c>
      <c r="O22" s="117" t="s">
        <v>63</v>
      </c>
      <c r="P22" s="117" t="s">
        <v>64</v>
      </c>
      <c r="Q22" s="117" t="s">
        <v>94</v>
      </c>
      <c r="R22" s="115"/>
      <c r="S22" s="115" t="s">
        <v>96</v>
      </c>
      <c r="T22" s="118" t="s">
        <v>63</v>
      </c>
    </row>
    <row r="23" spans="1:20" ht="52.15" customHeight="1">
      <c r="A23" s="114">
        <v>22</v>
      </c>
      <c r="B23" s="115" t="s">
        <v>55</v>
      </c>
      <c r="C23" s="115" t="s">
        <v>90</v>
      </c>
      <c r="D23" s="115" t="s">
        <v>116</v>
      </c>
      <c r="E23" s="121" t="s">
        <v>117</v>
      </c>
      <c r="F23" s="116" t="s">
        <v>59</v>
      </c>
      <c r="G23" s="115">
        <v>1</v>
      </c>
      <c r="H23" s="115">
        <v>6</v>
      </c>
      <c r="I23" s="115">
        <v>0</v>
      </c>
      <c r="J23" s="115">
        <v>4</v>
      </c>
      <c r="K23" s="115" t="s">
        <v>60</v>
      </c>
      <c r="L23" s="115" t="s">
        <v>61</v>
      </c>
      <c r="M23" s="117">
        <v>484</v>
      </c>
      <c r="N23" s="115" t="s">
        <v>62</v>
      </c>
      <c r="O23" s="117" t="s">
        <v>63</v>
      </c>
      <c r="P23" s="117" t="s">
        <v>64</v>
      </c>
      <c r="Q23" s="117" t="s">
        <v>94</v>
      </c>
      <c r="R23" s="115" t="s">
        <v>66</v>
      </c>
      <c r="S23" s="115" t="s">
        <v>96</v>
      </c>
      <c r="T23" s="118" t="s">
        <v>63</v>
      </c>
    </row>
    <row r="24" spans="1:20" ht="52.15" customHeight="1">
      <c r="A24" s="114">
        <v>23</v>
      </c>
      <c r="B24" s="115" t="s">
        <v>55</v>
      </c>
      <c r="C24" s="115" t="s">
        <v>90</v>
      </c>
      <c r="D24" s="115" t="s">
        <v>118</v>
      </c>
      <c r="E24" s="121" t="s">
        <v>119</v>
      </c>
      <c r="F24" s="116"/>
      <c r="G24" s="115">
        <v>1</v>
      </c>
      <c r="H24" s="115">
        <v>6</v>
      </c>
      <c r="I24" s="115">
        <v>48</v>
      </c>
      <c r="J24" s="115">
        <v>0</v>
      </c>
      <c r="K24" s="115" t="s">
        <v>60</v>
      </c>
      <c r="L24" s="115" t="s">
        <v>61</v>
      </c>
      <c r="M24" s="117">
        <v>484</v>
      </c>
      <c r="N24" s="115" t="s">
        <v>62</v>
      </c>
      <c r="O24" s="117" t="s">
        <v>63</v>
      </c>
      <c r="P24" s="117" t="s">
        <v>64</v>
      </c>
      <c r="Q24" s="117" t="s">
        <v>94</v>
      </c>
      <c r="R24" s="115" t="s">
        <v>120</v>
      </c>
      <c r="S24" s="115" t="s">
        <v>96</v>
      </c>
      <c r="T24" s="118" t="s">
        <v>63</v>
      </c>
    </row>
    <row r="25" spans="1:20" ht="52.15" customHeight="1">
      <c r="A25" s="114">
        <v>24</v>
      </c>
      <c r="B25" s="115" t="s">
        <v>55</v>
      </c>
      <c r="C25" s="115" t="s">
        <v>90</v>
      </c>
      <c r="D25" s="115" t="s">
        <v>121</v>
      </c>
      <c r="E25" s="121" t="s">
        <v>122</v>
      </c>
      <c r="F25" s="116"/>
      <c r="G25" s="115">
        <v>1</v>
      </c>
      <c r="H25" s="115">
        <v>6</v>
      </c>
      <c r="I25" s="115">
        <v>48</v>
      </c>
      <c r="J25" s="115">
        <v>0</v>
      </c>
      <c r="K25" s="115" t="s">
        <v>60</v>
      </c>
      <c r="L25" s="115" t="s">
        <v>61</v>
      </c>
      <c r="M25" s="117">
        <v>484</v>
      </c>
      <c r="N25" s="115" t="s">
        <v>62</v>
      </c>
      <c r="O25" s="117" t="s">
        <v>63</v>
      </c>
      <c r="P25" s="117" t="s">
        <v>64</v>
      </c>
      <c r="Q25" s="117" t="s">
        <v>94</v>
      </c>
      <c r="R25" s="115" t="s">
        <v>120</v>
      </c>
      <c r="S25" s="115" t="s">
        <v>96</v>
      </c>
      <c r="T25" s="118" t="s">
        <v>63</v>
      </c>
    </row>
    <row r="26" spans="1:20" ht="52.15" customHeight="1">
      <c r="A26" s="114">
        <v>25</v>
      </c>
      <c r="B26" s="115" t="s">
        <v>123</v>
      </c>
      <c r="C26" s="115" t="s">
        <v>124</v>
      </c>
      <c r="D26" s="123" t="s">
        <v>125</v>
      </c>
      <c r="E26" s="121" t="s">
        <v>126</v>
      </c>
      <c r="F26" s="115" t="s">
        <v>127</v>
      </c>
      <c r="G26" s="115">
        <v>1</v>
      </c>
      <c r="H26" s="115">
        <v>6</v>
      </c>
      <c r="I26" s="115">
        <v>24</v>
      </c>
      <c r="J26" s="115">
        <v>3</v>
      </c>
      <c r="K26" s="115" t="s">
        <v>60</v>
      </c>
      <c r="L26" s="115" t="s">
        <v>61</v>
      </c>
      <c r="M26" s="117">
        <v>484</v>
      </c>
      <c r="N26" s="115" t="s">
        <v>62</v>
      </c>
      <c r="O26" s="117" t="s">
        <v>63</v>
      </c>
      <c r="P26" s="117" t="s">
        <v>64</v>
      </c>
      <c r="Q26" s="117" t="s">
        <v>94</v>
      </c>
      <c r="R26" s="115" t="s">
        <v>120</v>
      </c>
      <c r="S26" s="115" t="s">
        <v>96</v>
      </c>
      <c r="T26" s="118" t="s">
        <v>63</v>
      </c>
    </row>
    <row r="27" spans="1:20" ht="52.15" customHeight="1">
      <c r="A27" s="114">
        <v>26</v>
      </c>
      <c r="B27" s="115" t="s">
        <v>123</v>
      </c>
      <c r="C27" s="115" t="s">
        <v>124</v>
      </c>
      <c r="D27" s="123" t="s">
        <v>128</v>
      </c>
      <c r="E27" s="124" t="s">
        <v>129</v>
      </c>
      <c r="F27" s="115" t="s">
        <v>127</v>
      </c>
      <c r="G27" s="115">
        <v>1</v>
      </c>
      <c r="H27" s="115">
        <v>6</v>
      </c>
      <c r="I27" s="115">
        <v>24</v>
      </c>
      <c r="J27" s="115">
        <v>3</v>
      </c>
      <c r="K27" s="115" t="s">
        <v>60</v>
      </c>
      <c r="L27" s="115" t="s">
        <v>61</v>
      </c>
      <c r="M27" s="117">
        <v>484</v>
      </c>
      <c r="N27" s="115" t="s">
        <v>62</v>
      </c>
      <c r="O27" s="117" t="s">
        <v>63</v>
      </c>
      <c r="P27" s="117" t="s">
        <v>64</v>
      </c>
      <c r="Q27" s="117" t="s">
        <v>94</v>
      </c>
      <c r="R27" s="115" t="s">
        <v>120</v>
      </c>
      <c r="S27" s="115" t="s">
        <v>96</v>
      </c>
      <c r="T27" s="118" t="s">
        <v>63</v>
      </c>
    </row>
    <row r="28" spans="1:20" ht="52.15" customHeight="1">
      <c r="A28" s="114">
        <v>27</v>
      </c>
      <c r="B28" s="115" t="s">
        <v>123</v>
      </c>
      <c r="C28" s="115" t="s">
        <v>124</v>
      </c>
      <c r="D28" s="123" t="s">
        <v>130</v>
      </c>
      <c r="E28" s="124" t="s">
        <v>131</v>
      </c>
      <c r="F28" s="115" t="s">
        <v>127</v>
      </c>
      <c r="G28" s="115">
        <v>1</v>
      </c>
      <c r="H28" s="115">
        <v>6</v>
      </c>
      <c r="I28" s="115">
        <v>24</v>
      </c>
      <c r="J28" s="115">
        <v>3</v>
      </c>
      <c r="K28" s="115" t="s">
        <v>60</v>
      </c>
      <c r="L28" s="115" t="s">
        <v>61</v>
      </c>
      <c r="M28" s="117">
        <v>484</v>
      </c>
      <c r="N28" s="115" t="s">
        <v>62</v>
      </c>
      <c r="O28" s="117" t="s">
        <v>63</v>
      </c>
      <c r="P28" s="117" t="s">
        <v>63</v>
      </c>
      <c r="Q28" s="117" t="s">
        <v>94</v>
      </c>
      <c r="R28" s="115" t="s">
        <v>120</v>
      </c>
      <c r="S28" s="115" t="s">
        <v>96</v>
      </c>
      <c r="T28" s="118" t="s">
        <v>63</v>
      </c>
    </row>
    <row r="29" spans="1:20" ht="52.15" customHeight="1">
      <c r="A29" s="114">
        <v>28</v>
      </c>
      <c r="B29" s="115" t="s">
        <v>123</v>
      </c>
      <c r="C29" s="115" t="s">
        <v>124</v>
      </c>
      <c r="D29" s="123" t="s">
        <v>132</v>
      </c>
      <c r="E29" s="124" t="s">
        <v>133</v>
      </c>
      <c r="F29" s="115" t="s">
        <v>127</v>
      </c>
      <c r="G29" s="115">
        <v>1</v>
      </c>
      <c r="H29" s="115">
        <v>6</v>
      </c>
      <c r="I29" s="115">
        <v>24</v>
      </c>
      <c r="J29" s="115">
        <v>3</v>
      </c>
      <c r="K29" s="115" t="s">
        <v>60</v>
      </c>
      <c r="L29" s="115" t="s">
        <v>61</v>
      </c>
      <c r="M29" s="117">
        <v>484</v>
      </c>
      <c r="N29" s="115" t="s">
        <v>62</v>
      </c>
      <c r="O29" s="117" t="s">
        <v>63</v>
      </c>
      <c r="P29" s="117" t="s">
        <v>64</v>
      </c>
      <c r="Q29" s="117" t="s">
        <v>94</v>
      </c>
      <c r="R29" s="115" t="s">
        <v>120</v>
      </c>
      <c r="S29" s="115" t="s">
        <v>96</v>
      </c>
      <c r="T29" s="118" t="s">
        <v>63</v>
      </c>
    </row>
    <row r="30" spans="1:20" ht="52.15" customHeight="1">
      <c r="A30" s="114">
        <v>29</v>
      </c>
      <c r="B30" s="115" t="s">
        <v>123</v>
      </c>
      <c r="C30" s="115" t="s">
        <v>124</v>
      </c>
      <c r="D30" s="123" t="s">
        <v>134</v>
      </c>
      <c r="E30" s="124" t="s">
        <v>135</v>
      </c>
      <c r="F30" s="115" t="s">
        <v>127</v>
      </c>
      <c r="G30" s="115">
        <v>1</v>
      </c>
      <c r="H30" s="115">
        <v>6</v>
      </c>
      <c r="I30" s="115">
        <v>24</v>
      </c>
      <c r="J30" s="115">
        <v>3</v>
      </c>
      <c r="K30" s="115" t="s">
        <v>60</v>
      </c>
      <c r="L30" s="115" t="s">
        <v>61</v>
      </c>
      <c r="M30" s="117">
        <v>484</v>
      </c>
      <c r="N30" s="115" t="s">
        <v>62</v>
      </c>
      <c r="O30" s="117" t="s">
        <v>63</v>
      </c>
      <c r="P30" s="117" t="s">
        <v>64</v>
      </c>
      <c r="Q30" s="117" t="s">
        <v>94</v>
      </c>
      <c r="R30" s="115" t="s">
        <v>120</v>
      </c>
      <c r="S30" s="115" t="s">
        <v>96</v>
      </c>
      <c r="T30" s="118" t="s">
        <v>63</v>
      </c>
    </row>
    <row r="31" spans="1:20" ht="52.15" customHeight="1">
      <c r="A31" s="114">
        <v>30</v>
      </c>
      <c r="B31" s="115" t="s">
        <v>123</v>
      </c>
      <c r="C31" s="115" t="s">
        <v>124</v>
      </c>
      <c r="D31" s="123" t="s">
        <v>136</v>
      </c>
      <c r="E31" s="124" t="s">
        <v>137</v>
      </c>
      <c r="F31" s="115" t="s">
        <v>127</v>
      </c>
      <c r="G31" s="115">
        <v>1</v>
      </c>
      <c r="H31" s="115">
        <v>6</v>
      </c>
      <c r="I31" s="115">
        <v>24</v>
      </c>
      <c r="J31" s="115">
        <v>3</v>
      </c>
      <c r="K31" s="115" t="s">
        <v>60</v>
      </c>
      <c r="L31" s="115" t="s">
        <v>61</v>
      </c>
      <c r="M31" s="117">
        <v>484</v>
      </c>
      <c r="N31" s="115" t="s">
        <v>62</v>
      </c>
      <c r="O31" s="117" t="s">
        <v>63</v>
      </c>
      <c r="P31" s="117" t="s">
        <v>64</v>
      </c>
      <c r="Q31" s="117" t="s">
        <v>94</v>
      </c>
      <c r="R31" s="115" t="s">
        <v>120</v>
      </c>
      <c r="S31" s="115" t="s">
        <v>96</v>
      </c>
      <c r="T31" s="118" t="s">
        <v>63</v>
      </c>
    </row>
    <row r="32" spans="1:20" ht="52.15" customHeight="1">
      <c r="A32" s="114">
        <v>31</v>
      </c>
      <c r="B32" s="115" t="s">
        <v>123</v>
      </c>
      <c r="C32" s="115" t="s">
        <v>124</v>
      </c>
      <c r="D32" s="123" t="s">
        <v>138</v>
      </c>
      <c r="E32" s="124" t="s">
        <v>139</v>
      </c>
      <c r="F32" s="115" t="s">
        <v>127</v>
      </c>
      <c r="G32" s="115">
        <v>1</v>
      </c>
      <c r="H32" s="115">
        <v>6</v>
      </c>
      <c r="I32" s="115">
        <v>24</v>
      </c>
      <c r="J32" s="115">
        <v>3</v>
      </c>
      <c r="K32" s="115" t="s">
        <v>60</v>
      </c>
      <c r="L32" s="115" t="s">
        <v>61</v>
      </c>
      <c r="M32" s="117">
        <v>484</v>
      </c>
      <c r="N32" s="115" t="s">
        <v>62</v>
      </c>
      <c r="O32" s="117" t="s">
        <v>63</v>
      </c>
      <c r="P32" s="117" t="s">
        <v>64</v>
      </c>
      <c r="Q32" s="117" t="s">
        <v>94</v>
      </c>
      <c r="R32" s="115" t="s">
        <v>120</v>
      </c>
      <c r="S32" s="115" t="s">
        <v>96</v>
      </c>
      <c r="T32" s="118" t="s">
        <v>63</v>
      </c>
    </row>
    <row r="33" spans="1:20" ht="52.15" customHeight="1">
      <c r="A33" s="114">
        <v>32</v>
      </c>
      <c r="B33" s="115" t="s">
        <v>123</v>
      </c>
      <c r="C33" s="115" t="s">
        <v>124</v>
      </c>
      <c r="D33" s="123" t="s">
        <v>140</v>
      </c>
      <c r="E33" s="124" t="s">
        <v>141</v>
      </c>
      <c r="F33" s="115" t="s">
        <v>127</v>
      </c>
      <c r="G33" s="115">
        <v>1</v>
      </c>
      <c r="H33" s="115">
        <v>6</v>
      </c>
      <c r="I33" s="115">
        <v>24</v>
      </c>
      <c r="J33" s="115">
        <v>3</v>
      </c>
      <c r="K33" s="115" t="s">
        <v>60</v>
      </c>
      <c r="L33" s="115" t="s">
        <v>61</v>
      </c>
      <c r="M33" s="117">
        <v>484</v>
      </c>
      <c r="N33" s="115" t="s">
        <v>62</v>
      </c>
      <c r="O33" s="117" t="s">
        <v>63</v>
      </c>
      <c r="P33" s="117" t="s">
        <v>63</v>
      </c>
      <c r="Q33" s="117" t="s">
        <v>94</v>
      </c>
      <c r="R33" s="115" t="s">
        <v>120</v>
      </c>
      <c r="S33" s="115" t="s">
        <v>96</v>
      </c>
      <c r="T33" s="118" t="s">
        <v>63</v>
      </c>
    </row>
    <row r="34" spans="1:20" ht="52.15" customHeight="1">
      <c r="A34" s="114">
        <v>33</v>
      </c>
      <c r="B34" s="115" t="s">
        <v>123</v>
      </c>
      <c r="C34" s="115" t="s">
        <v>124</v>
      </c>
      <c r="D34" s="123" t="s">
        <v>142</v>
      </c>
      <c r="E34" s="124" t="s">
        <v>143</v>
      </c>
      <c r="F34" s="115" t="s">
        <v>127</v>
      </c>
      <c r="G34" s="115">
        <v>1</v>
      </c>
      <c r="H34" s="115">
        <v>6</v>
      </c>
      <c r="I34" s="115">
        <v>24</v>
      </c>
      <c r="J34" s="115">
        <v>3</v>
      </c>
      <c r="K34" s="115" t="s">
        <v>60</v>
      </c>
      <c r="L34" s="115" t="s">
        <v>61</v>
      </c>
      <c r="M34" s="117">
        <v>484</v>
      </c>
      <c r="N34" s="115" t="s">
        <v>62</v>
      </c>
      <c r="O34" s="117" t="s">
        <v>63</v>
      </c>
      <c r="P34" s="117" t="s">
        <v>64</v>
      </c>
      <c r="Q34" s="117" t="s">
        <v>94</v>
      </c>
      <c r="R34" s="115" t="s">
        <v>120</v>
      </c>
      <c r="S34" s="115" t="s">
        <v>96</v>
      </c>
      <c r="T34" s="118" t="s">
        <v>63</v>
      </c>
    </row>
    <row r="35" spans="1:20" ht="52.15" customHeight="1">
      <c r="A35" s="114">
        <v>34</v>
      </c>
      <c r="B35" s="115" t="s">
        <v>123</v>
      </c>
      <c r="C35" s="115" t="s">
        <v>144</v>
      </c>
      <c r="D35" s="123" t="s">
        <v>145</v>
      </c>
      <c r="E35" s="124" t="s">
        <v>146</v>
      </c>
      <c r="F35" s="115" t="s">
        <v>127</v>
      </c>
      <c r="G35" s="115">
        <v>1</v>
      </c>
      <c r="H35" s="115">
        <v>6</v>
      </c>
      <c r="I35" s="115">
        <v>0</v>
      </c>
      <c r="J35" s="115">
        <v>50</v>
      </c>
      <c r="K35" s="115" t="s">
        <v>60</v>
      </c>
      <c r="L35" s="115" t="s">
        <v>61</v>
      </c>
      <c r="M35" s="117">
        <v>484</v>
      </c>
      <c r="N35" s="115" t="s">
        <v>62</v>
      </c>
      <c r="O35" s="117" t="s">
        <v>63</v>
      </c>
      <c r="P35" s="117" t="s">
        <v>64</v>
      </c>
      <c r="Q35" s="117" t="s">
        <v>94</v>
      </c>
      <c r="R35" s="115" t="s">
        <v>120</v>
      </c>
      <c r="S35" s="115" t="s">
        <v>96</v>
      </c>
      <c r="T35" s="118" t="s">
        <v>63</v>
      </c>
    </row>
    <row r="36" spans="1:20" ht="52.15" customHeight="1">
      <c r="A36" s="114">
        <v>35</v>
      </c>
      <c r="B36" s="115" t="s">
        <v>123</v>
      </c>
      <c r="C36" s="115" t="s">
        <v>144</v>
      </c>
      <c r="D36" s="123" t="s">
        <v>147</v>
      </c>
      <c r="E36" s="124" t="s">
        <v>148</v>
      </c>
      <c r="F36" s="115" t="s">
        <v>127</v>
      </c>
      <c r="G36" s="115">
        <v>1</v>
      </c>
      <c r="H36" s="115">
        <v>6</v>
      </c>
      <c r="I36" s="115">
        <v>0</v>
      </c>
      <c r="J36" s="115">
        <v>50</v>
      </c>
      <c r="K36" s="115" t="s">
        <v>60</v>
      </c>
      <c r="L36" s="115" t="s">
        <v>61</v>
      </c>
      <c r="M36" s="117">
        <v>484</v>
      </c>
      <c r="N36" s="115" t="s">
        <v>62</v>
      </c>
      <c r="O36" s="117" t="s">
        <v>63</v>
      </c>
      <c r="P36" s="117" t="s">
        <v>64</v>
      </c>
      <c r="Q36" s="117" t="s">
        <v>94</v>
      </c>
      <c r="R36" s="115" t="s">
        <v>120</v>
      </c>
      <c r="S36" s="115" t="s">
        <v>96</v>
      </c>
      <c r="T36" s="118" t="s">
        <v>63</v>
      </c>
    </row>
    <row r="37" spans="1:20" ht="52.15" customHeight="1">
      <c r="A37" s="114">
        <v>36</v>
      </c>
      <c r="B37" s="115" t="s">
        <v>123</v>
      </c>
      <c r="C37" s="115" t="s">
        <v>144</v>
      </c>
      <c r="D37" s="123" t="s">
        <v>149</v>
      </c>
      <c r="E37" s="124" t="s">
        <v>150</v>
      </c>
      <c r="F37" s="115" t="s">
        <v>127</v>
      </c>
      <c r="G37" s="115">
        <v>1</v>
      </c>
      <c r="H37" s="115">
        <v>6</v>
      </c>
      <c r="I37" s="115">
        <v>0</v>
      </c>
      <c r="J37" s="115">
        <v>50</v>
      </c>
      <c r="K37" s="115" t="s">
        <v>60</v>
      </c>
      <c r="L37" s="115" t="s">
        <v>61</v>
      </c>
      <c r="M37" s="117">
        <v>484</v>
      </c>
      <c r="N37" s="115" t="s">
        <v>62</v>
      </c>
      <c r="O37" s="117" t="s">
        <v>63</v>
      </c>
      <c r="P37" s="117" t="s">
        <v>64</v>
      </c>
      <c r="Q37" s="117" t="s">
        <v>94</v>
      </c>
      <c r="R37" s="115" t="s">
        <v>120</v>
      </c>
      <c r="S37" s="115" t="s">
        <v>96</v>
      </c>
      <c r="T37" s="118" t="s">
        <v>63</v>
      </c>
    </row>
    <row r="38" spans="1:20" ht="52.15" customHeight="1">
      <c r="A38" s="114">
        <v>37</v>
      </c>
      <c r="B38" s="115" t="s">
        <v>123</v>
      </c>
      <c r="C38" s="115" t="s">
        <v>144</v>
      </c>
      <c r="D38" s="123" t="s">
        <v>151</v>
      </c>
      <c r="E38" s="124" t="s">
        <v>152</v>
      </c>
      <c r="F38" s="115" t="s">
        <v>127</v>
      </c>
      <c r="G38" s="115">
        <v>1</v>
      </c>
      <c r="H38" s="115">
        <v>6</v>
      </c>
      <c r="I38" s="115">
        <v>0</v>
      </c>
      <c r="J38" s="115">
        <v>50</v>
      </c>
      <c r="K38" s="115" t="s">
        <v>60</v>
      </c>
      <c r="L38" s="115" t="s">
        <v>61</v>
      </c>
      <c r="M38" s="117">
        <v>484</v>
      </c>
      <c r="N38" s="115" t="s">
        <v>62</v>
      </c>
      <c r="O38" s="117" t="s">
        <v>63</v>
      </c>
      <c r="P38" s="117" t="s">
        <v>64</v>
      </c>
      <c r="Q38" s="117" t="s">
        <v>94</v>
      </c>
      <c r="R38" s="115" t="s">
        <v>120</v>
      </c>
      <c r="S38" s="115" t="s">
        <v>96</v>
      </c>
      <c r="T38" s="118" t="s">
        <v>63</v>
      </c>
    </row>
    <row r="39" spans="1:20" ht="52.15" customHeight="1">
      <c r="A39" s="114">
        <v>38</v>
      </c>
      <c r="B39" s="115" t="s">
        <v>123</v>
      </c>
      <c r="C39" s="115" t="s">
        <v>144</v>
      </c>
      <c r="D39" s="123" t="s">
        <v>153</v>
      </c>
      <c r="E39" s="124" t="s">
        <v>154</v>
      </c>
      <c r="F39" s="115" t="s">
        <v>127</v>
      </c>
      <c r="G39" s="115">
        <v>1</v>
      </c>
      <c r="H39" s="115">
        <v>6</v>
      </c>
      <c r="I39" s="115">
        <v>0</v>
      </c>
      <c r="J39" s="115">
        <v>50</v>
      </c>
      <c r="K39" s="115" t="s">
        <v>60</v>
      </c>
      <c r="L39" s="115" t="s">
        <v>61</v>
      </c>
      <c r="M39" s="117">
        <v>484</v>
      </c>
      <c r="N39" s="115" t="s">
        <v>62</v>
      </c>
      <c r="O39" s="117" t="s">
        <v>63</v>
      </c>
      <c r="P39" s="117" t="s">
        <v>64</v>
      </c>
      <c r="Q39" s="117" t="s">
        <v>94</v>
      </c>
      <c r="R39" s="115" t="s">
        <v>120</v>
      </c>
      <c r="S39" s="115" t="s">
        <v>96</v>
      </c>
      <c r="T39" s="118" t="s">
        <v>63</v>
      </c>
    </row>
    <row r="40" spans="1:20" ht="52.15" customHeight="1">
      <c r="A40" s="114">
        <v>39</v>
      </c>
      <c r="B40" s="115" t="s">
        <v>123</v>
      </c>
      <c r="C40" s="115" t="s">
        <v>144</v>
      </c>
      <c r="D40" s="123" t="s">
        <v>155</v>
      </c>
      <c r="E40" s="124" t="s">
        <v>156</v>
      </c>
      <c r="F40" s="115" t="s">
        <v>127</v>
      </c>
      <c r="G40" s="115">
        <v>1</v>
      </c>
      <c r="H40" s="115">
        <v>6</v>
      </c>
      <c r="I40" s="115">
        <v>0</v>
      </c>
      <c r="J40" s="115">
        <v>50</v>
      </c>
      <c r="K40" s="115" t="s">
        <v>60</v>
      </c>
      <c r="L40" s="115" t="s">
        <v>61</v>
      </c>
      <c r="M40" s="117">
        <v>484</v>
      </c>
      <c r="N40" s="115" t="s">
        <v>62</v>
      </c>
      <c r="O40" s="117" t="s">
        <v>63</v>
      </c>
      <c r="P40" s="117" t="s">
        <v>64</v>
      </c>
      <c r="Q40" s="117" t="s">
        <v>94</v>
      </c>
      <c r="R40" s="115" t="s">
        <v>120</v>
      </c>
      <c r="S40" s="115" t="s">
        <v>96</v>
      </c>
      <c r="T40" s="118" t="s">
        <v>63</v>
      </c>
    </row>
    <row r="41" spans="1:20" ht="52.15" customHeight="1">
      <c r="A41" s="114">
        <v>40</v>
      </c>
      <c r="B41" s="115" t="s">
        <v>123</v>
      </c>
      <c r="C41" s="115" t="s">
        <v>144</v>
      </c>
      <c r="D41" s="123" t="s">
        <v>157</v>
      </c>
      <c r="E41" s="124" t="s">
        <v>158</v>
      </c>
      <c r="F41" s="115" t="s">
        <v>127</v>
      </c>
      <c r="G41" s="115">
        <v>1</v>
      </c>
      <c r="H41" s="115">
        <v>6</v>
      </c>
      <c r="I41" s="115">
        <v>0</v>
      </c>
      <c r="J41" s="115">
        <v>50</v>
      </c>
      <c r="K41" s="115" t="s">
        <v>60</v>
      </c>
      <c r="L41" s="115" t="s">
        <v>61</v>
      </c>
      <c r="M41" s="117">
        <v>484</v>
      </c>
      <c r="N41" s="115" t="s">
        <v>62</v>
      </c>
      <c r="O41" s="117" t="s">
        <v>63</v>
      </c>
      <c r="P41" s="117" t="s">
        <v>63</v>
      </c>
      <c r="Q41" s="117" t="s">
        <v>94</v>
      </c>
      <c r="R41" s="115" t="s">
        <v>120</v>
      </c>
      <c r="S41" s="115" t="s">
        <v>96</v>
      </c>
      <c r="T41" s="118" t="s">
        <v>63</v>
      </c>
    </row>
    <row r="42" spans="1:20" ht="52.15" customHeight="1">
      <c r="A42" s="114">
        <v>41</v>
      </c>
      <c r="B42" s="115" t="s">
        <v>123</v>
      </c>
      <c r="C42" s="115" t="s">
        <v>144</v>
      </c>
      <c r="D42" s="123" t="s">
        <v>159</v>
      </c>
      <c r="E42" s="124" t="s">
        <v>160</v>
      </c>
      <c r="F42" s="115" t="s">
        <v>127</v>
      </c>
      <c r="G42" s="115">
        <v>1</v>
      </c>
      <c r="H42" s="115">
        <v>6</v>
      </c>
      <c r="I42" s="115">
        <v>0</v>
      </c>
      <c r="J42" s="115">
        <v>50</v>
      </c>
      <c r="K42" s="115" t="s">
        <v>60</v>
      </c>
      <c r="L42" s="115" t="s">
        <v>61</v>
      </c>
      <c r="M42" s="117">
        <v>484</v>
      </c>
      <c r="N42" s="115" t="s">
        <v>62</v>
      </c>
      <c r="O42" s="117" t="s">
        <v>63</v>
      </c>
      <c r="P42" s="117" t="s">
        <v>64</v>
      </c>
      <c r="Q42" s="117" t="s">
        <v>94</v>
      </c>
      <c r="R42" s="115" t="s">
        <v>120</v>
      </c>
      <c r="S42" s="115" t="s">
        <v>96</v>
      </c>
      <c r="T42" s="118" t="s">
        <v>63</v>
      </c>
    </row>
    <row r="43" spans="1:20" ht="52.15" customHeight="1">
      <c r="A43" s="114">
        <v>42</v>
      </c>
      <c r="B43" s="115" t="s">
        <v>123</v>
      </c>
      <c r="C43" s="115" t="s">
        <v>144</v>
      </c>
      <c r="D43" s="123" t="s">
        <v>161</v>
      </c>
      <c r="E43" s="124" t="s">
        <v>162</v>
      </c>
      <c r="F43" s="115" t="s">
        <v>127</v>
      </c>
      <c r="G43" s="115">
        <v>1</v>
      </c>
      <c r="H43" s="115">
        <v>6</v>
      </c>
      <c r="I43" s="115">
        <v>0</v>
      </c>
      <c r="J43" s="115">
        <v>50</v>
      </c>
      <c r="K43" s="115" t="s">
        <v>60</v>
      </c>
      <c r="L43" s="115" t="s">
        <v>61</v>
      </c>
      <c r="M43" s="117">
        <v>484</v>
      </c>
      <c r="N43" s="115" t="s">
        <v>62</v>
      </c>
      <c r="O43" s="117" t="s">
        <v>63</v>
      </c>
      <c r="P43" s="117" t="s">
        <v>64</v>
      </c>
      <c r="Q43" s="117" t="s">
        <v>94</v>
      </c>
      <c r="R43" s="115" t="s">
        <v>120</v>
      </c>
      <c r="S43" s="115" t="s">
        <v>96</v>
      </c>
      <c r="T43" s="118" t="s">
        <v>63</v>
      </c>
    </row>
    <row r="44" spans="1:20" ht="52.15" customHeight="1">
      <c r="A44" s="114">
        <v>43</v>
      </c>
      <c r="B44" s="115" t="s">
        <v>123</v>
      </c>
      <c r="C44" s="115" t="s">
        <v>144</v>
      </c>
      <c r="D44" s="123" t="s">
        <v>163</v>
      </c>
      <c r="E44" s="124" t="s">
        <v>164</v>
      </c>
      <c r="F44" s="115" t="s">
        <v>127</v>
      </c>
      <c r="G44" s="115">
        <v>1</v>
      </c>
      <c r="H44" s="115">
        <v>6</v>
      </c>
      <c r="I44" s="115">
        <v>0</v>
      </c>
      <c r="J44" s="115">
        <v>50</v>
      </c>
      <c r="K44" s="115" t="s">
        <v>60</v>
      </c>
      <c r="L44" s="115" t="s">
        <v>61</v>
      </c>
      <c r="M44" s="117">
        <v>484</v>
      </c>
      <c r="N44" s="115" t="s">
        <v>62</v>
      </c>
      <c r="O44" s="117" t="s">
        <v>63</v>
      </c>
      <c r="P44" s="117" t="s">
        <v>64</v>
      </c>
      <c r="Q44" s="117" t="s">
        <v>94</v>
      </c>
      <c r="R44" s="115" t="s">
        <v>120</v>
      </c>
      <c r="S44" s="115" t="s">
        <v>96</v>
      </c>
      <c r="T44" s="118" t="s">
        <v>63</v>
      </c>
    </row>
    <row r="45" spans="1:20" ht="52.15" customHeight="1">
      <c r="A45" s="114">
        <v>44</v>
      </c>
      <c r="B45" s="115" t="s">
        <v>123</v>
      </c>
      <c r="C45" s="115" t="s">
        <v>144</v>
      </c>
      <c r="D45" s="123" t="s">
        <v>165</v>
      </c>
      <c r="E45" s="124" t="s">
        <v>166</v>
      </c>
      <c r="F45" s="115" t="s">
        <v>127</v>
      </c>
      <c r="G45" s="115">
        <v>1</v>
      </c>
      <c r="H45" s="115">
        <v>6</v>
      </c>
      <c r="I45" s="115">
        <v>0</v>
      </c>
      <c r="J45" s="115">
        <v>50</v>
      </c>
      <c r="K45" s="115" t="s">
        <v>60</v>
      </c>
      <c r="L45" s="115" t="s">
        <v>61</v>
      </c>
      <c r="M45" s="117">
        <v>484</v>
      </c>
      <c r="N45" s="115" t="s">
        <v>62</v>
      </c>
      <c r="O45" s="117" t="s">
        <v>63</v>
      </c>
      <c r="P45" s="117" t="s">
        <v>64</v>
      </c>
      <c r="Q45" s="117" t="s">
        <v>94</v>
      </c>
      <c r="R45" s="115" t="s">
        <v>120</v>
      </c>
      <c r="S45" s="115" t="s">
        <v>96</v>
      </c>
      <c r="T45" s="118" t="s">
        <v>63</v>
      </c>
    </row>
    <row r="46" spans="1:20" ht="52.15" customHeight="1">
      <c r="A46" s="114">
        <v>45</v>
      </c>
      <c r="B46" s="115" t="s">
        <v>123</v>
      </c>
      <c r="C46" s="115" t="s">
        <v>167</v>
      </c>
      <c r="D46" s="123" t="s">
        <v>168</v>
      </c>
      <c r="E46" s="124" t="s">
        <v>169</v>
      </c>
      <c r="F46" s="115" t="s">
        <v>127</v>
      </c>
      <c r="G46" s="115">
        <v>1</v>
      </c>
      <c r="H46" s="115">
        <v>6</v>
      </c>
      <c r="I46" s="115">
        <v>46</v>
      </c>
      <c r="J46" s="115">
        <v>0</v>
      </c>
      <c r="K46" s="115" t="s">
        <v>60</v>
      </c>
      <c r="L46" s="115" t="s">
        <v>61</v>
      </c>
      <c r="M46" s="117">
        <v>484</v>
      </c>
      <c r="N46" s="115" t="s">
        <v>62</v>
      </c>
      <c r="O46" s="117" t="s">
        <v>63</v>
      </c>
      <c r="P46" s="117" t="s">
        <v>64</v>
      </c>
      <c r="Q46" s="117" t="s">
        <v>94</v>
      </c>
      <c r="R46" s="115" t="s">
        <v>120</v>
      </c>
      <c r="S46" s="115" t="s">
        <v>96</v>
      </c>
      <c r="T46" s="118" t="s">
        <v>63</v>
      </c>
    </row>
    <row r="47" spans="1:20" ht="52.15" customHeight="1">
      <c r="A47" s="114">
        <v>46</v>
      </c>
      <c r="B47" s="115" t="s">
        <v>123</v>
      </c>
      <c r="C47" s="115" t="s">
        <v>167</v>
      </c>
      <c r="D47" s="123" t="s">
        <v>170</v>
      </c>
      <c r="E47" s="124" t="s">
        <v>171</v>
      </c>
      <c r="F47" s="115" t="s">
        <v>127</v>
      </c>
      <c r="G47" s="115">
        <v>1</v>
      </c>
      <c r="H47" s="115">
        <v>6</v>
      </c>
      <c r="I47" s="115">
        <v>46</v>
      </c>
      <c r="J47" s="115">
        <v>0</v>
      </c>
      <c r="K47" s="115" t="s">
        <v>60</v>
      </c>
      <c r="L47" s="115" t="s">
        <v>61</v>
      </c>
      <c r="M47" s="117">
        <v>484</v>
      </c>
      <c r="N47" s="115" t="s">
        <v>62</v>
      </c>
      <c r="O47" s="117" t="s">
        <v>63</v>
      </c>
      <c r="P47" s="117" t="s">
        <v>64</v>
      </c>
      <c r="Q47" s="117" t="s">
        <v>94</v>
      </c>
      <c r="R47" s="115" t="s">
        <v>120</v>
      </c>
      <c r="S47" s="115" t="s">
        <v>96</v>
      </c>
      <c r="T47" s="118" t="s">
        <v>63</v>
      </c>
    </row>
    <row r="48" spans="1:20" ht="52.15" customHeight="1">
      <c r="A48" s="114">
        <v>47</v>
      </c>
      <c r="B48" s="115" t="s">
        <v>123</v>
      </c>
      <c r="C48" s="115" t="s">
        <v>167</v>
      </c>
      <c r="D48" s="123" t="s">
        <v>172</v>
      </c>
      <c r="E48" s="124" t="s">
        <v>173</v>
      </c>
      <c r="F48" s="115" t="s">
        <v>127</v>
      </c>
      <c r="G48" s="115">
        <v>1</v>
      </c>
      <c r="H48" s="115">
        <v>6</v>
      </c>
      <c r="I48" s="115">
        <v>46</v>
      </c>
      <c r="J48" s="115">
        <v>0</v>
      </c>
      <c r="K48" s="115" t="s">
        <v>60</v>
      </c>
      <c r="L48" s="115" t="s">
        <v>61</v>
      </c>
      <c r="M48" s="117">
        <v>484</v>
      </c>
      <c r="N48" s="115" t="s">
        <v>62</v>
      </c>
      <c r="O48" s="117" t="s">
        <v>63</v>
      </c>
      <c r="P48" s="117" t="s">
        <v>64</v>
      </c>
      <c r="Q48" s="117" t="s">
        <v>94</v>
      </c>
      <c r="R48" s="115" t="s">
        <v>120</v>
      </c>
      <c r="S48" s="115" t="s">
        <v>96</v>
      </c>
      <c r="T48" s="118" t="s">
        <v>63</v>
      </c>
    </row>
    <row r="49" spans="1:20" ht="52.15" customHeight="1">
      <c r="A49" s="114">
        <v>48</v>
      </c>
      <c r="B49" s="115" t="s">
        <v>123</v>
      </c>
      <c r="C49" s="115" t="s">
        <v>167</v>
      </c>
      <c r="D49" s="123" t="s">
        <v>174</v>
      </c>
      <c r="E49" s="124" t="s">
        <v>175</v>
      </c>
      <c r="F49" s="115" t="s">
        <v>127</v>
      </c>
      <c r="G49" s="115">
        <v>1</v>
      </c>
      <c r="H49" s="115">
        <v>6</v>
      </c>
      <c r="I49" s="115">
        <v>46</v>
      </c>
      <c r="J49" s="115">
        <v>0</v>
      </c>
      <c r="K49" s="115" t="s">
        <v>60</v>
      </c>
      <c r="L49" s="115" t="s">
        <v>61</v>
      </c>
      <c r="M49" s="117">
        <v>484</v>
      </c>
      <c r="N49" s="115" t="s">
        <v>62</v>
      </c>
      <c r="O49" s="117" t="s">
        <v>63</v>
      </c>
      <c r="P49" s="117" t="s">
        <v>64</v>
      </c>
      <c r="Q49" s="117" t="s">
        <v>94</v>
      </c>
      <c r="R49" s="115" t="s">
        <v>120</v>
      </c>
      <c r="S49" s="115" t="s">
        <v>96</v>
      </c>
      <c r="T49" s="118" t="s">
        <v>63</v>
      </c>
    </row>
    <row r="50" spans="1:20" ht="52.15" customHeight="1">
      <c r="A50" s="114">
        <v>49</v>
      </c>
      <c r="B50" s="115" t="s">
        <v>123</v>
      </c>
      <c r="C50" s="115" t="s">
        <v>167</v>
      </c>
      <c r="D50" s="123" t="s">
        <v>176</v>
      </c>
      <c r="E50" s="124" t="s">
        <v>177</v>
      </c>
      <c r="F50" s="115" t="s">
        <v>127</v>
      </c>
      <c r="G50" s="115">
        <v>1</v>
      </c>
      <c r="H50" s="115">
        <v>6</v>
      </c>
      <c r="I50" s="115">
        <v>46</v>
      </c>
      <c r="J50" s="115">
        <v>0</v>
      </c>
      <c r="K50" s="115" t="s">
        <v>60</v>
      </c>
      <c r="L50" s="115" t="s">
        <v>61</v>
      </c>
      <c r="M50" s="117">
        <v>484</v>
      </c>
      <c r="N50" s="115" t="s">
        <v>62</v>
      </c>
      <c r="O50" s="117" t="s">
        <v>63</v>
      </c>
      <c r="P50" s="117" t="s">
        <v>64</v>
      </c>
      <c r="Q50" s="117" t="s">
        <v>94</v>
      </c>
      <c r="R50" s="115" t="s">
        <v>120</v>
      </c>
      <c r="S50" s="115" t="s">
        <v>96</v>
      </c>
      <c r="T50" s="118" t="s">
        <v>63</v>
      </c>
    </row>
    <row r="51" spans="1:20" ht="52.15" customHeight="1">
      <c r="A51" s="114">
        <v>50</v>
      </c>
      <c r="B51" s="115" t="s">
        <v>123</v>
      </c>
      <c r="C51" s="115" t="s">
        <v>167</v>
      </c>
      <c r="D51" s="123" t="s">
        <v>178</v>
      </c>
      <c r="E51" s="124" t="s">
        <v>179</v>
      </c>
      <c r="F51" s="115" t="s">
        <v>127</v>
      </c>
      <c r="G51" s="115">
        <v>1</v>
      </c>
      <c r="H51" s="115">
        <v>6</v>
      </c>
      <c r="I51" s="115">
        <v>46</v>
      </c>
      <c r="J51" s="115">
        <v>0</v>
      </c>
      <c r="K51" s="115" t="s">
        <v>60</v>
      </c>
      <c r="L51" s="115" t="s">
        <v>61</v>
      </c>
      <c r="M51" s="117">
        <v>484</v>
      </c>
      <c r="N51" s="115" t="s">
        <v>62</v>
      </c>
      <c r="O51" s="117" t="s">
        <v>63</v>
      </c>
      <c r="P51" s="117" t="s">
        <v>63</v>
      </c>
      <c r="Q51" s="117" t="s">
        <v>94</v>
      </c>
      <c r="R51" s="115" t="s">
        <v>120</v>
      </c>
      <c r="S51" s="115" t="s">
        <v>96</v>
      </c>
      <c r="T51" s="118" t="s">
        <v>63</v>
      </c>
    </row>
    <row r="52" spans="1:20" ht="52.15" customHeight="1">
      <c r="A52" s="114">
        <v>51</v>
      </c>
      <c r="B52" s="115" t="s">
        <v>123</v>
      </c>
      <c r="C52" s="115" t="s">
        <v>167</v>
      </c>
      <c r="D52" s="123" t="s">
        <v>180</v>
      </c>
      <c r="E52" s="124" t="s">
        <v>181</v>
      </c>
      <c r="F52" s="115" t="s">
        <v>127</v>
      </c>
      <c r="G52" s="115">
        <v>1</v>
      </c>
      <c r="H52" s="115">
        <v>6</v>
      </c>
      <c r="I52" s="115">
        <v>46</v>
      </c>
      <c r="J52" s="115">
        <v>0</v>
      </c>
      <c r="K52" s="115" t="s">
        <v>60</v>
      </c>
      <c r="L52" s="115" t="s">
        <v>61</v>
      </c>
      <c r="M52" s="117">
        <v>484</v>
      </c>
      <c r="N52" s="115" t="s">
        <v>62</v>
      </c>
      <c r="O52" s="117" t="s">
        <v>63</v>
      </c>
      <c r="P52" s="117" t="s">
        <v>64</v>
      </c>
      <c r="Q52" s="117" t="s">
        <v>94</v>
      </c>
      <c r="R52" s="115" t="s">
        <v>120</v>
      </c>
      <c r="S52" s="115" t="s">
        <v>96</v>
      </c>
      <c r="T52" s="118" t="s">
        <v>63</v>
      </c>
    </row>
    <row r="53" spans="1:20" ht="52.15" customHeight="1">
      <c r="A53" s="114">
        <v>52</v>
      </c>
      <c r="B53" s="115" t="s">
        <v>123</v>
      </c>
      <c r="C53" s="115" t="s">
        <v>167</v>
      </c>
      <c r="D53" s="123" t="s">
        <v>182</v>
      </c>
      <c r="E53" s="124" t="s">
        <v>183</v>
      </c>
      <c r="F53" s="115" t="s">
        <v>127</v>
      </c>
      <c r="G53" s="115">
        <v>1</v>
      </c>
      <c r="H53" s="115">
        <v>6</v>
      </c>
      <c r="I53" s="115">
        <v>46</v>
      </c>
      <c r="J53" s="115">
        <v>0</v>
      </c>
      <c r="K53" s="115" t="s">
        <v>60</v>
      </c>
      <c r="L53" s="115" t="s">
        <v>61</v>
      </c>
      <c r="M53" s="117">
        <v>484</v>
      </c>
      <c r="N53" s="115" t="s">
        <v>62</v>
      </c>
      <c r="O53" s="117" t="s">
        <v>63</v>
      </c>
      <c r="P53" s="117" t="s">
        <v>64</v>
      </c>
      <c r="Q53" s="117" t="s">
        <v>94</v>
      </c>
      <c r="R53" s="115" t="s">
        <v>120</v>
      </c>
      <c r="S53" s="115" t="s">
        <v>96</v>
      </c>
      <c r="T53" s="118" t="s">
        <v>63</v>
      </c>
    </row>
    <row r="54" spans="1:20" ht="52.15" customHeight="1">
      <c r="A54" s="114">
        <v>53</v>
      </c>
      <c r="B54" s="115" t="s">
        <v>123</v>
      </c>
      <c r="C54" s="115" t="s">
        <v>167</v>
      </c>
      <c r="D54" s="123" t="s">
        <v>184</v>
      </c>
      <c r="E54" s="124" t="s">
        <v>185</v>
      </c>
      <c r="F54" s="115" t="s">
        <v>127</v>
      </c>
      <c r="G54" s="115">
        <v>1</v>
      </c>
      <c r="H54" s="115">
        <v>6</v>
      </c>
      <c r="I54" s="115">
        <v>46</v>
      </c>
      <c r="J54" s="115">
        <v>0</v>
      </c>
      <c r="K54" s="115" t="s">
        <v>60</v>
      </c>
      <c r="L54" s="115" t="s">
        <v>61</v>
      </c>
      <c r="M54" s="117">
        <v>484</v>
      </c>
      <c r="N54" s="115" t="s">
        <v>62</v>
      </c>
      <c r="O54" s="117" t="s">
        <v>63</v>
      </c>
      <c r="P54" s="117" t="s">
        <v>64</v>
      </c>
      <c r="Q54" s="117" t="s">
        <v>94</v>
      </c>
      <c r="R54" s="115" t="s">
        <v>120</v>
      </c>
      <c r="S54" s="115" t="s">
        <v>96</v>
      </c>
      <c r="T54" s="118" t="s">
        <v>63</v>
      </c>
    </row>
    <row r="55" spans="1:20" ht="52.15" customHeight="1">
      <c r="A55" s="114">
        <v>54</v>
      </c>
      <c r="B55" s="115" t="s">
        <v>123</v>
      </c>
      <c r="C55" s="115" t="s">
        <v>167</v>
      </c>
      <c r="D55" s="123" t="s">
        <v>186</v>
      </c>
      <c r="E55" s="124" t="s">
        <v>187</v>
      </c>
      <c r="F55" s="115" t="s">
        <v>127</v>
      </c>
      <c r="G55" s="115">
        <v>1</v>
      </c>
      <c r="H55" s="115">
        <v>6</v>
      </c>
      <c r="I55" s="115">
        <v>46</v>
      </c>
      <c r="J55" s="115">
        <v>0</v>
      </c>
      <c r="K55" s="115" t="s">
        <v>60</v>
      </c>
      <c r="L55" s="115" t="s">
        <v>61</v>
      </c>
      <c r="M55" s="117">
        <v>484</v>
      </c>
      <c r="N55" s="115" t="s">
        <v>62</v>
      </c>
      <c r="O55" s="117" t="s">
        <v>63</v>
      </c>
      <c r="P55" s="117" t="s">
        <v>64</v>
      </c>
      <c r="Q55" s="117" t="s">
        <v>94</v>
      </c>
      <c r="R55" s="115" t="s">
        <v>120</v>
      </c>
      <c r="S55" s="115" t="s">
        <v>96</v>
      </c>
      <c r="T55" s="118" t="s">
        <v>63</v>
      </c>
    </row>
    <row r="56" spans="1:20" ht="52.15" customHeight="1">
      <c r="A56" s="114">
        <v>55</v>
      </c>
      <c r="B56" s="115" t="s">
        <v>123</v>
      </c>
      <c r="C56" s="115" t="s">
        <v>167</v>
      </c>
      <c r="D56" s="123" t="s">
        <v>188</v>
      </c>
      <c r="E56" s="124" t="s">
        <v>189</v>
      </c>
      <c r="F56" s="115" t="s">
        <v>127</v>
      </c>
      <c r="G56" s="115">
        <v>1</v>
      </c>
      <c r="H56" s="115">
        <v>6</v>
      </c>
      <c r="I56" s="115">
        <v>46</v>
      </c>
      <c r="J56" s="115">
        <v>0</v>
      </c>
      <c r="K56" s="115" t="s">
        <v>60</v>
      </c>
      <c r="L56" s="115" t="s">
        <v>61</v>
      </c>
      <c r="M56" s="117">
        <v>484</v>
      </c>
      <c r="N56" s="115" t="s">
        <v>62</v>
      </c>
      <c r="O56" s="117" t="s">
        <v>63</v>
      </c>
      <c r="P56" s="117" t="s">
        <v>64</v>
      </c>
      <c r="Q56" s="117" t="s">
        <v>94</v>
      </c>
      <c r="R56" s="115" t="s">
        <v>120</v>
      </c>
      <c r="S56" s="115" t="s">
        <v>96</v>
      </c>
      <c r="T56" s="118" t="s">
        <v>63</v>
      </c>
    </row>
    <row r="57" spans="1:20" ht="52.15" customHeight="1">
      <c r="A57" s="114">
        <v>56</v>
      </c>
      <c r="B57" s="115" t="s">
        <v>123</v>
      </c>
      <c r="C57" s="115" t="s">
        <v>167</v>
      </c>
      <c r="D57" s="123" t="s">
        <v>190</v>
      </c>
      <c r="E57" s="124" t="s">
        <v>191</v>
      </c>
      <c r="F57" s="115" t="s">
        <v>127</v>
      </c>
      <c r="G57" s="115">
        <v>1</v>
      </c>
      <c r="H57" s="115">
        <v>6</v>
      </c>
      <c r="I57" s="115">
        <v>46</v>
      </c>
      <c r="J57" s="115">
        <v>0</v>
      </c>
      <c r="K57" s="115" t="s">
        <v>60</v>
      </c>
      <c r="L57" s="115" t="s">
        <v>61</v>
      </c>
      <c r="M57" s="117">
        <v>484</v>
      </c>
      <c r="N57" s="115" t="s">
        <v>62</v>
      </c>
      <c r="O57" s="117" t="s">
        <v>63</v>
      </c>
      <c r="P57" s="117" t="s">
        <v>64</v>
      </c>
      <c r="Q57" s="117" t="s">
        <v>94</v>
      </c>
      <c r="R57" s="115" t="s">
        <v>120</v>
      </c>
      <c r="S57" s="115" t="s">
        <v>96</v>
      </c>
      <c r="T57" s="118" t="s">
        <v>63</v>
      </c>
    </row>
    <row r="58" spans="1:20" ht="52.15" customHeight="1">
      <c r="A58" s="114">
        <v>57</v>
      </c>
      <c r="B58" s="115" t="s">
        <v>123</v>
      </c>
      <c r="C58" s="115" t="s">
        <v>192</v>
      </c>
      <c r="D58" s="123" t="s">
        <v>193</v>
      </c>
      <c r="E58" s="124" t="s">
        <v>194</v>
      </c>
      <c r="F58" s="115" t="s">
        <v>127</v>
      </c>
      <c r="G58" s="115">
        <v>1</v>
      </c>
      <c r="H58" s="115">
        <v>6</v>
      </c>
      <c r="I58" s="115">
        <v>38</v>
      </c>
      <c r="J58" s="115">
        <v>0</v>
      </c>
      <c r="K58" s="115" t="s">
        <v>60</v>
      </c>
      <c r="L58" s="115" t="s">
        <v>61</v>
      </c>
      <c r="M58" s="117">
        <v>484</v>
      </c>
      <c r="N58" s="115" t="s">
        <v>62</v>
      </c>
      <c r="O58" s="117" t="s">
        <v>63</v>
      </c>
      <c r="P58" s="117" t="s">
        <v>64</v>
      </c>
      <c r="Q58" s="117" t="s">
        <v>94</v>
      </c>
      <c r="R58" s="115" t="s">
        <v>120</v>
      </c>
      <c r="S58" s="115" t="s">
        <v>96</v>
      </c>
      <c r="T58" s="118" t="s">
        <v>63</v>
      </c>
    </row>
    <row r="59" spans="1:20" ht="52.15" customHeight="1">
      <c r="A59" s="114">
        <v>58</v>
      </c>
      <c r="B59" s="115" t="s">
        <v>123</v>
      </c>
      <c r="C59" s="115" t="s">
        <v>192</v>
      </c>
      <c r="D59" s="115" t="s">
        <v>195</v>
      </c>
      <c r="E59" s="124" t="s">
        <v>196</v>
      </c>
      <c r="F59" s="115" t="s">
        <v>127</v>
      </c>
      <c r="G59" s="115">
        <v>1</v>
      </c>
      <c r="H59" s="115">
        <v>6</v>
      </c>
      <c r="I59" s="115">
        <v>38</v>
      </c>
      <c r="J59" s="115">
        <v>0</v>
      </c>
      <c r="K59" s="115" t="s">
        <v>60</v>
      </c>
      <c r="L59" s="115" t="s">
        <v>61</v>
      </c>
      <c r="M59" s="117">
        <v>484</v>
      </c>
      <c r="N59" s="115" t="s">
        <v>62</v>
      </c>
      <c r="O59" s="117" t="s">
        <v>63</v>
      </c>
      <c r="P59" s="117" t="s">
        <v>64</v>
      </c>
      <c r="Q59" s="117" t="s">
        <v>94</v>
      </c>
      <c r="R59" s="115" t="s">
        <v>120</v>
      </c>
      <c r="S59" s="115" t="s">
        <v>96</v>
      </c>
      <c r="T59" s="118" t="s">
        <v>63</v>
      </c>
    </row>
    <row r="60" spans="1:20" ht="52.15" customHeight="1">
      <c r="A60" s="114">
        <v>59</v>
      </c>
      <c r="B60" s="115" t="s">
        <v>123</v>
      </c>
      <c r="C60" s="115" t="s">
        <v>192</v>
      </c>
      <c r="D60" s="115" t="s">
        <v>197</v>
      </c>
      <c r="E60" s="124"/>
      <c r="F60" s="115" t="s">
        <v>127</v>
      </c>
      <c r="G60" s="115">
        <v>1</v>
      </c>
      <c r="H60" s="115">
        <v>6</v>
      </c>
      <c r="I60" s="115">
        <v>38</v>
      </c>
      <c r="J60" s="115">
        <v>0</v>
      </c>
      <c r="K60" s="115" t="s">
        <v>60</v>
      </c>
      <c r="L60" s="115" t="s">
        <v>61</v>
      </c>
      <c r="M60" s="117">
        <v>484</v>
      </c>
      <c r="N60" s="115" t="s">
        <v>62</v>
      </c>
      <c r="O60" s="117" t="s">
        <v>63</v>
      </c>
      <c r="P60" s="117" t="s">
        <v>64</v>
      </c>
      <c r="Q60" s="117" t="s">
        <v>94</v>
      </c>
      <c r="R60" s="115" t="s">
        <v>120</v>
      </c>
      <c r="S60" s="115" t="s">
        <v>96</v>
      </c>
      <c r="T60" s="118" t="s">
        <v>63</v>
      </c>
    </row>
    <row r="61" spans="1:20" ht="52.15" customHeight="1">
      <c r="A61" s="114">
        <v>60</v>
      </c>
      <c r="B61" s="115" t="s">
        <v>123</v>
      </c>
      <c r="C61" s="115" t="s">
        <v>192</v>
      </c>
      <c r="D61" s="115" t="s">
        <v>178</v>
      </c>
      <c r="E61" s="124" t="s">
        <v>198</v>
      </c>
      <c r="F61" s="115" t="s">
        <v>127</v>
      </c>
      <c r="G61" s="115">
        <v>1</v>
      </c>
      <c r="H61" s="115">
        <v>6</v>
      </c>
      <c r="I61" s="115">
        <v>38</v>
      </c>
      <c r="J61" s="115">
        <v>0</v>
      </c>
      <c r="K61" s="115" t="s">
        <v>60</v>
      </c>
      <c r="L61" s="115" t="s">
        <v>61</v>
      </c>
      <c r="M61" s="117">
        <v>484</v>
      </c>
      <c r="N61" s="115" t="s">
        <v>62</v>
      </c>
      <c r="O61" s="117" t="s">
        <v>63</v>
      </c>
      <c r="P61" s="117" t="s">
        <v>63</v>
      </c>
      <c r="Q61" s="117" t="s">
        <v>94</v>
      </c>
      <c r="R61" s="115" t="s">
        <v>120</v>
      </c>
      <c r="S61" s="115" t="s">
        <v>96</v>
      </c>
      <c r="T61" s="118" t="s">
        <v>63</v>
      </c>
    </row>
    <row r="62" spans="1:20" ht="52.15" customHeight="1">
      <c r="A62" s="114">
        <v>61</v>
      </c>
      <c r="B62" s="115" t="s">
        <v>123</v>
      </c>
      <c r="C62" s="115" t="s">
        <v>192</v>
      </c>
      <c r="D62" s="115" t="s">
        <v>199</v>
      </c>
      <c r="E62" s="124" t="s">
        <v>200</v>
      </c>
      <c r="F62" s="115" t="s">
        <v>127</v>
      </c>
      <c r="G62" s="115">
        <v>1</v>
      </c>
      <c r="H62" s="115">
        <v>6</v>
      </c>
      <c r="I62" s="115">
        <v>38</v>
      </c>
      <c r="J62" s="115">
        <v>0</v>
      </c>
      <c r="K62" s="115" t="s">
        <v>60</v>
      </c>
      <c r="L62" s="115" t="s">
        <v>61</v>
      </c>
      <c r="M62" s="117">
        <v>484</v>
      </c>
      <c r="N62" s="115" t="s">
        <v>62</v>
      </c>
      <c r="O62" s="117" t="s">
        <v>63</v>
      </c>
      <c r="P62" s="117" t="s">
        <v>63</v>
      </c>
      <c r="Q62" s="117" t="s">
        <v>94</v>
      </c>
      <c r="R62" s="115" t="s">
        <v>120</v>
      </c>
      <c r="S62" s="115" t="s">
        <v>96</v>
      </c>
      <c r="T62" s="118" t="s">
        <v>63</v>
      </c>
    </row>
    <row r="63" spans="1:20" ht="52.15" customHeight="1">
      <c r="A63" s="114">
        <v>62</v>
      </c>
      <c r="B63" s="115" t="s">
        <v>123</v>
      </c>
      <c r="C63" s="115" t="s">
        <v>192</v>
      </c>
      <c r="D63" s="115" t="s">
        <v>201</v>
      </c>
      <c r="E63" s="124" t="s">
        <v>202</v>
      </c>
      <c r="F63" s="115" t="s">
        <v>127</v>
      </c>
      <c r="G63" s="115">
        <v>1</v>
      </c>
      <c r="H63" s="115">
        <v>6</v>
      </c>
      <c r="I63" s="115">
        <v>38</v>
      </c>
      <c r="J63" s="115">
        <v>0</v>
      </c>
      <c r="K63" s="115" t="s">
        <v>60</v>
      </c>
      <c r="L63" s="115" t="s">
        <v>61</v>
      </c>
      <c r="M63" s="117">
        <v>484</v>
      </c>
      <c r="N63" s="115" t="s">
        <v>62</v>
      </c>
      <c r="O63" s="117" t="s">
        <v>63</v>
      </c>
      <c r="P63" s="117" t="s">
        <v>64</v>
      </c>
      <c r="Q63" s="117" t="s">
        <v>94</v>
      </c>
      <c r="R63" s="115" t="s">
        <v>120</v>
      </c>
      <c r="S63" s="115" t="s">
        <v>96</v>
      </c>
      <c r="T63" s="118" t="s">
        <v>63</v>
      </c>
    </row>
    <row r="64" spans="1:20" ht="52.15" customHeight="1">
      <c r="A64" s="114">
        <v>63</v>
      </c>
      <c r="B64" s="115" t="s">
        <v>123</v>
      </c>
      <c r="C64" s="115" t="s">
        <v>192</v>
      </c>
      <c r="D64" s="115" t="s">
        <v>203</v>
      </c>
      <c r="E64" s="124" t="s">
        <v>204</v>
      </c>
      <c r="F64" s="115" t="s">
        <v>127</v>
      </c>
      <c r="G64" s="115">
        <v>1</v>
      </c>
      <c r="H64" s="115">
        <v>6</v>
      </c>
      <c r="I64" s="115">
        <v>38</v>
      </c>
      <c r="J64" s="115">
        <v>0</v>
      </c>
      <c r="K64" s="115" t="s">
        <v>60</v>
      </c>
      <c r="L64" s="115" t="s">
        <v>61</v>
      </c>
      <c r="M64" s="117">
        <v>484</v>
      </c>
      <c r="N64" s="115" t="s">
        <v>62</v>
      </c>
      <c r="O64" s="117" t="s">
        <v>63</v>
      </c>
      <c r="P64" s="117" t="s">
        <v>64</v>
      </c>
      <c r="Q64" s="117" t="s">
        <v>94</v>
      </c>
      <c r="R64" s="115" t="s">
        <v>120</v>
      </c>
      <c r="S64" s="115" t="s">
        <v>96</v>
      </c>
      <c r="T64" s="118" t="s">
        <v>63</v>
      </c>
    </row>
    <row r="65" spans="1:20" ht="52.15" customHeight="1">
      <c r="A65" s="114">
        <v>64</v>
      </c>
      <c r="B65" s="115" t="s">
        <v>123</v>
      </c>
      <c r="C65" s="115" t="s">
        <v>205</v>
      </c>
      <c r="D65" s="115" t="s">
        <v>206</v>
      </c>
      <c r="E65" s="124" t="s">
        <v>108</v>
      </c>
      <c r="F65" s="115" t="s">
        <v>127</v>
      </c>
      <c r="G65" s="115">
        <v>1</v>
      </c>
      <c r="H65" s="115">
        <v>6</v>
      </c>
      <c r="I65" s="115">
        <v>32</v>
      </c>
      <c r="J65" s="115">
        <v>0</v>
      </c>
      <c r="K65" s="115" t="s">
        <v>60</v>
      </c>
      <c r="L65" s="115" t="s">
        <v>61</v>
      </c>
      <c r="M65" s="117">
        <v>484</v>
      </c>
      <c r="N65" s="115" t="s">
        <v>62</v>
      </c>
      <c r="O65" s="117" t="s">
        <v>63</v>
      </c>
      <c r="P65" s="117" t="s">
        <v>63</v>
      </c>
      <c r="Q65" s="117" t="s">
        <v>94</v>
      </c>
      <c r="R65" s="115" t="s">
        <v>120</v>
      </c>
      <c r="S65" s="115" t="s">
        <v>96</v>
      </c>
      <c r="T65" s="118" t="s">
        <v>63</v>
      </c>
    </row>
    <row r="66" spans="1:20" ht="52.15" customHeight="1">
      <c r="A66" s="114">
        <v>65</v>
      </c>
      <c r="B66" s="115" t="s">
        <v>123</v>
      </c>
      <c r="C66" s="115" t="s">
        <v>205</v>
      </c>
      <c r="D66" s="125" t="s">
        <v>207</v>
      </c>
      <c r="E66" s="125" t="s">
        <v>208</v>
      </c>
      <c r="F66" s="115" t="s">
        <v>127</v>
      </c>
      <c r="G66" s="115">
        <v>1</v>
      </c>
      <c r="H66" s="115">
        <v>6</v>
      </c>
      <c r="I66" s="115">
        <v>32</v>
      </c>
      <c r="J66" s="115">
        <v>0</v>
      </c>
      <c r="K66" s="115" t="s">
        <v>60</v>
      </c>
      <c r="L66" s="115" t="s">
        <v>61</v>
      </c>
      <c r="M66" s="117">
        <v>484</v>
      </c>
      <c r="N66" s="115" t="s">
        <v>62</v>
      </c>
      <c r="O66" s="117" t="s">
        <v>63</v>
      </c>
      <c r="P66" s="117" t="s">
        <v>64</v>
      </c>
      <c r="Q66" s="117" t="s">
        <v>94</v>
      </c>
      <c r="R66" s="115" t="s">
        <v>120</v>
      </c>
      <c r="S66" s="115" t="s">
        <v>96</v>
      </c>
      <c r="T66" s="118" t="s">
        <v>63</v>
      </c>
    </row>
    <row r="67" spans="1:20" ht="52.15" customHeight="1">
      <c r="A67" s="114">
        <v>66</v>
      </c>
      <c r="B67" s="115" t="s">
        <v>123</v>
      </c>
      <c r="C67" s="115" t="s">
        <v>205</v>
      </c>
      <c r="D67" s="125" t="s">
        <v>209</v>
      </c>
      <c r="E67" s="125" t="s">
        <v>210</v>
      </c>
      <c r="F67" s="115" t="s">
        <v>127</v>
      </c>
      <c r="G67" s="115">
        <v>1</v>
      </c>
      <c r="H67" s="115">
        <v>6</v>
      </c>
      <c r="I67" s="115">
        <v>32</v>
      </c>
      <c r="J67" s="115">
        <v>0</v>
      </c>
      <c r="K67" s="115" t="s">
        <v>60</v>
      </c>
      <c r="L67" s="115" t="s">
        <v>61</v>
      </c>
      <c r="M67" s="117">
        <v>484</v>
      </c>
      <c r="N67" s="115" t="s">
        <v>62</v>
      </c>
      <c r="O67" s="117" t="s">
        <v>63</v>
      </c>
      <c r="P67" s="117" t="s">
        <v>63</v>
      </c>
      <c r="Q67" s="117" t="s">
        <v>94</v>
      </c>
      <c r="R67" s="115" t="s">
        <v>120</v>
      </c>
      <c r="S67" s="115" t="s">
        <v>96</v>
      </c>
      <c r="T67" s="118" t="s">
        <v>63</v>
      </c>
    </row>
    <row r="68" spans="1:20" ht="52.15" customHeight="1">
      <c r="A68" s="114">
        <v>67</v>
      </c>
      <c r="B68" s="115" t="s">
        <v>123</v>
      </c>
      <c r="C68" s="115" t="s">
        <v>205</v>
      </c>
      <c r="D68" s="125" t="s">
        <v>211</v>
      </c>
      <c r="E68" s="125" t="s">
        <v>212</v>
      </c>
      <c r="F68" s="115" t="s">
        <v>127</v>
      </c>
      <c r="G68" s="115">
        <v>1</v>
      </c>
      <c r="H68" s="115">
        <v>6</v>
      </c>
      <c r="I68" s="115">
        <v>32</v>
      </c>
      <c r="J68" s="115">
        <v>0</v>
      </c>
      <c r="K68" s="115" t="s">
        <v>60</v>
      </c>
      <c r="L68" s="115" t="s">
        <v>61</v>
      </c>
      <c r="M68" s="117">
        <v>484</v>
      </c>
      <c r="N68" s="115" t="s">
        <v>62</v>
      </c>
      <c r="O68" s="117" t="s">
        <v>63</v>
      </c>
      <c r="P68" s="117" t="s">
        <v>63</v>
      </c>
      <c r="Q68" s="117" t="s">
        <v>94</v>
      </c>
      <c r="R68" s="115" t="s">
        <v>120</v>
      </c>
      <c r="S68" s="115" t="s">
        <v>96</v>
      </c>
      <c r="T68" s="118" t="s">
        <v>63</v>
      </c>
    </row>
    <row r="69" spans="1:20" ht="52.15" customHeight="1">
      <c r="A69" s="114">
        <v>68</v>
      </c>
      <c r="B69" s="115" t="s">
        <v>123</v>
      </c>
      <c r="C69" s="115" t="s">
        <v>205</v>
      </c>
      <c r="D69" s="125" t="s">
        <v>213</v>
      </c>
      <c r="E69" s="125"/>
      <c r="F69" s="115" t="s">
        <v>127</v>
      </c>
      <c r="G69" s="115">
        <v>1</v>
      </c>
      <c r="H69" s="115">
        <v>6</v>
      </c>
      <c r="I69" s="115">
        <v>32</v>
      </c>
      <c r="J69" s="115">
        <v>0</v>
      </c>
      <c r="K69" s="115" t="s">
        <v>60</v>
      </c>
      <c r="L69" s="115" t="s">
        <v>61</v>
      </c>
      <c r="M69" s="117">
        <v>484</v>
      </c>
      <c r="N69" s="115" t="s">
        <v>62</v>
      </c>
      <c r="O69" s="117" t="s">
        <v>63</v>
      </c>
      <c r="P69" s="117" t="s">
        <v>63</v>
      </c>
      <c r="Q69" s="117" t="s">
        <v>94</v>
      </c>
      <c r="R69" s="115" t="s">
        <v>120</v>
      </c>
      <c r="S69" s="115" t="s">
        <v>96</v>
      </c>
      <c r="T69" s="118" t="s">
        <v>63</v>
      </c>
    </row>
    <row r="70" spans="1:20" ht="52.15" customHeight="1">
      <c r="A70" s="114">
        <v>69</v>
      </c>
      <c r="B70" s="115" t="s">
        <v>123</v>
      </c>
      <c r="C70" s="115" t="s">
        <v>205</v>
      </c>
      <c r="D70" s="114" t="s">
        <v>214</v>
      </c>
      <c r="E70" s="126" t="s">
        <v>215</v>
      </c>
      <c r="F70" s="115" t="s">
        <v>127</v>
      </c>
      <c r="G70" s="115">
        <v>1</v>
      </c>
      <c r="H70" s="115">
        <v>6</v>
      </c>
      <c r="I70" s="115">
        <v>32</v>
      </c>
      <c r="J70" s="115">
        <v>0</v>
      </c>
      <c r="K70" s="115" t="s">
        <v>60</v>
      </c>
      <c r="L70" s="115" t="s">
        <v>61</v>
      </c>
      <c r="M70" s="117">
        <v>484</v>
      </c>
      <c r="N70" s="115" t="s">
        <v>62</v>
      </c>
      <c r="O70" s="117" t="s">
        <v>63</v>
      </c>
      <c r="P70" s="117" t="s">
        <v>63</v>
      </c>
      <c r="Q70" s="117" t="s">
        <v>94</v>
      </c>
      <c r="R70" s="115" t="s">
        <v>120</v>
      </c>
      <c r="S70" s="115" t="s">
        <v>96</v>
      </c>
      <c r="T70" s="118" t="s">
        <v>63</v>
      </c>
    </row>
    <row r="71" spans="1:20" ht="52.15" customHeight="1">
      <c r="A71" s="114">
        <v>70</v>
      </c>
      <c r="B71" s="115" t="s">
        <v>123</v>
      </c>
      <c r="C71" s="115" t="s">
        <v>205</v>
      </c>
      <c r="D71" s="114" t="s">
        <v>216</v>
      </c>
      <c r="E71" s="126" t="s">
        <v>217</v>
      </c>
      <c r="F71" s="115" t="s">
        <v>127</v>
      </c>
      <c r="G71" s="115">
        <v>1</v>
      </c>
      <c r="H71" s="115">
        <v>6</v>
      </c>
      <c r="I71" s="115">
        <v>32</v>
      </c>
      <c r="J71" s="115">
        <v>0</v>
      </c>
      <c r="K71" s="115" t="s">
        <v>60</v>
      </c>
      <c r="L71" s="115" t="s">
        <v>61</v>
      </c>
      <c r="M71" s="117">
        <v>484</v>
      </c>
      <c r="N71" s="115" t="s">
        <v>62</v>
      </c>
      <c r="O71" s="117" t="s">
        <v>63</v>
      </c>
      <c r="P71" s="118" t="s">
        <v>63</v>
      </c>
      <c r="Q71" s="117" t="s">
        <v>94</v>
      </c>
      <c r="R71" s="115" t="s">
        <v>120</v>
      </c>
      <c r="S71" s="115" t="s">
        <v>96</v>
      </c>
      <c r="T71" s="118" t="s">
        <v>63</v>
      </c>
    </row>
    <row r="72" spans="1:20" ht="52.15" customHeight="1">
      <c r="A72" s="114">
        <v>71</v>
      </c>
      <c r="B72" s="115" t="s">
        <v>123</v>
      </c>
      <c r="C72" s="115" t="s">
        <v>205</v>
      </c>
      <c r="D72" s="114" t="s">
        <v>218</v>
      </c>
      <c r="E72" s="126" t="s">
        <v>219</v>
      </c>
      <c r="F72" s="115" t="s">
        <v>127</v>
      </c>
      <c r="G72" s="115">
        <v>1</v>
      </c>
      <c r="H72" s="115">
        <v>6</v>
      </c>
      <c r="I72" s="115">
        <v>32</v>
      </c>
      <c r="J72" s="115">
        <v>0</v>
      </c>
      <c r="K72" s="115" t="s">
        <v>60</v>
      </c>
      <c r="L72" s="115" t="s">
        <v>61</v>
      </c>
      <c r="M72" s="117">
        <v>484</v>
      </c>
      <c r="N72" s="115" t="s">
        <v>62</v>
      </c>
      <c r="O72" s="117" t="s">
        <v>63</v>
      </c>
      <c r="P72" s="118" t="s">
        <v>63</v>
      </c>
      <c r="Q72" s="117" t="s">
        <v>94</v>
      </c>
      <c r="R72" s="115" t="s">
        <v>120</v>
      </c>
      <c r="S72" s="115" t="s">
        <v>96</v>
      </c>
      <c r="T72" s="118" t="s">
        <v>63</v>
      </c>
    </row>
    <row r="73" spans="1:20" ht="52.15" customHeight="1">
      <c r="A73" s="114">
        <v>72</v>
      </c>
      <c r="B73" s="115" t="s">
        <v>123</v>
      </c>
      <c r="C73" s="115" t="s">
        <v>205</v>
      </c>
      <c r="D73" s="114" t="s">
        <v>220</v>
      </c>
      <c r="E73" s="126" t="s">
        <v>221</v>
      </c>
      <c r="F73" s="115" t="s">
        <v>127</v>
      </c>
      <c r="G73" s="115">
        <v>1</v>
      </c>
      <c r="H73" s="115">
        <v>6</v>
      </c>
      <c r="I73" s="115">
        <v>32</v>
      </c>
      <c r="J73" s="115">
        <v>0</v>
      </c>
      <c r="K73" s="115" t="s">
        <v>60</v>
      </c>
      <c r="L73" s="115" t="s">
        <v>61</v>
      </c>
      <c r="M73" s="117">
        <v>484</v>
      </c>
      <c r="N73" s="115" t="s">
        <v>62</v>
      </c>
      <c r="O73" s="117" t="s">
        <v>63</v>
      </c>
      <c r="P73" s="118" t="s">
        <v>63</v>
      </c>
      <c r="Q73" s="117" t="s">
        <v>94</v>
      </c>
      <c r="R73" s="115" t="s">
        <v>120</v>
      </c>
      <c r="S73" s="115" t="s">
        <v>96</v>
      </c>
      <c r="T73" s="118" t="s">
        <v>63</v>
      </c>
    </row>
    <row r="74" spans="1:20" ht="52.15" customHeight="1">
      <c r="A74" s="114">
        <v>73</v>
      </c>
      <c r="B74" s="115" t="s">
        <v>123</v>
      </c>
      <c r="C74" s="115" t="s">
        <v>205</v>
      </c>
      <c r="D74" s="114" t="s">
        <v>222</v>
      </c>
      <c r="E74" s="126" t="s">
        <v>223</v>
      </c>
      <c r="F74" s="115" t="s">
        <v>127</v>
      </c>
      <c r="G74" s="115">
        <v>1</v>
      </c>
      <c r="H74" s="115">
        <v>6</v>
      </c>
      <c r="I74" s="115">
        <v>32</v>
      </c>
      <c r="J74" s="115">
        <v>0</v>
      </c>
      <c r="K74" s="115" t="s">
        <v>60</v>
      </c>
      <c r="L74" s="115" t="s">
        <v>61</v>
      </c>
      <c r="M74" s="117">
        <v>484</v>
      </c>
      <c r="N74" s="115" t="s">
        <v>62</v>
      </c>
      <c r="O74" s="117" t="s">
        <v>63</v>
      </c>
      <c r="P74" s="118" t="s">
        <v>64</v>
      </c>
      <c r="Q74" s="117" t="s">
        <v>94</v>
      </c>
      <c r="R74" s="115" t="s">
        <v>120</v>
      </c>
      <c r="S74" s="115" t="s">
        <v>96</v>
      </c>
      <c r="T74" s="118" t="s">
        <v>63</v>
      </c>
    </row>
    <row r="75" spans="1:20" ht="52.15" customHeight="1">
      <c r="A75" s="114">
        <v>74</v>
      </c>
      <c r="B75" s="115" t="s">
        <v>123</v>
      </c>
      <c r="C75" s="115" t="s">
        <v>205</v>
      </c>
      <c r="D75" s="114" t="s">
        <v>224</v>
      </c>
      <c r="E75" s="126" t="s">
        <v>225</v>
      </c>
      <c r="F75" s="115" t="s">
        <v>127</v>
      </c>
      <c r="G75" s="115">
        <v>1</v>
      </c>
      <c r="H75" s="115">
        <v>6</v>
      </c>
      <c r="I75" s="115">
        <v>32</v>
      </c>
      <c r="J75" s="115">
        <v>0</v>
      </c>
      <c r="K75" s="115" t="s">
        <v>60</v>
      </c>
      <c r="L75" s="115" t="s">
        <v>61</v>
      </c>
      <c r="M75" s="117">
        <v>484</v>
      </c>
      <c r="N75" s="115" t="s">
        <v>62</v>
      </c>
      <c r="O75" s="117" t="s">
        <v>63</v>
      </c>
      <c r="P75" s="118" t="s">
        <v>63</v>
      </c>
      <c r="Q75" s="117" t="s">
        <v>94</v>
      </c>
      <c r="R75" s="115" t="s">
        <v>120</v>
      </c>
      <c r="S75" s="115" t="s">
        <v>96</v>
      </c>
      <c r="T75" s="118" t="s">
        <v>63</v>
      </c>
    </row>
    <row r="76" spans="1:20" ht="52.15" customHeight="1">
      <c r="A76" s="114">
        <v>75</v>
      </c>
      <c r="B76" s="114" t="s">
        <v>123</v>
      </c>
      <c r="C76" s="114" t="s">
        <v>226</v>
      </c>
      <c r="D76" s="114" t="s">
        <v>227</v>
      </c>
      <c r="E76" s="126" t="s">
        <v>228</v>
      </c>
      <c r="F76" s="115" t="s">
        <v>127</v>
      </c>
      <c r="G76" s="115">
        <v>1</v>
      </c>
      <c r="H76" s="115">
        <v>6</v>
      </c>
      <c r="I76" s="115">
        <v>36</v>
      </c>
      <c r="J76" s="115">
        <v>0</v>
      </c>
      <c r="K76" s="115" t="s">
        <v>60</v>
      </c>
      <c r="L76" s="115" t="s">
        <v>61</v>
      </c>
      <c r="M76" s="117">
        <v>484</v>
      </c>
      <c r="N76" s="115" t="s">
        <v>62</v>
      </c>
      <c r="O76" s="117" t="s">
        <v>63</v>
      </c>
      <c r="P76" s="118" t="s">
        <v>229</v>
      </c>
      <c r="Q76" s="117" t="s">
        <v>94</v>
      </c>
      <c r="R76" s="115" t="s">
        <v>120</v>
      </c>
      <c r="S76" s="115" t="s">
        <v>96</v>
      </c>
      <c r="T76" s="118" t="s">
        <v>63</v>
      </c>
    </row>
    <row r="77" spans="1:20" ht="52.15" customHeight="1">
      <c r="A77" s="114">
        <v>76</v>
      </c>
      <c r="B77" s="114" t="s">
        <v>123</v>
      </c>
      <c r="C77" s="114" t="s">
        <v>226</v>
      </c>
      <c r="D77" s="114" t="s">
        <v>230</v>
      </c>
      <c r="E77" s="126"/>
      <c r="F77" s="115" t="s">
        <v>127</v>
      </c>
      <c r="G77" s="115">
        <v>1</v>
      </c>
      <c r="H77" s="115">
        <v>6</v>
      </c>
      <c r="I77" s="115">
        <v>36</v>
      </c>
      <c r="J77" s="115">
        <v>0</v>
      </c>
      <c r="K77" s="115" t="s">
        <v>60</v>
      </c>
      <c r="L77" s="115" t="s">
        <v>61</v>
      </c>
      <c r="M77" s="117">
        <v>484</v>
      </c>
      <c r="N77" s="115" t="s">
        <v>62</v>
      </c>
      <c r="O77" s="117" t="s">
        <v>63</v>
      </c>
      <c r="P77" s="118" t="s">
        <v>63</v>
      </c>
      <c r="Q77" s="117" t="s">
        <v>94</v>
      </c>
      <c r="R77" s="115" t="s">
        <v>120</v>
      </c>
      <c r="S77" s="115" t="s">
        <v>96</v>
      </c>
      <c r="T77" s="118" t="s">
        <v>63</v>
      </c>
    </row>
    <row r="78" spans="1:20" ht="52.15" customHeight="1">
      <c r="A78" s="114">
        <v>77</v>
      </c>
      <c r="B78" s="114" t="s">
        <v>123</v>
      </c>
      <c r="C78" s="114" t="s">
        <v>226</v>
      </c>
      <c r="D78" s="114" t="s">
        <v>231</v>
      </c>
      <c r="E78" s="126" t="s">
        <v>232</v>
      </c>
      <c r="F78" s="115" t="s">
        <v>127</v>
      </c>
      <c r="G78" s="115">
        <v>1</v>
      </c>
      <c r="H78" s="115">
        <v>6</v>
      </c>
      <c r="I78" s="115">
        <v>36</v>
      </c>
      <c r="J78" s="115">
        <v>0</v>
      </c>
      <c r="K78" s="115" t="s">
        <v>60</v>
      </c>
      <c r="L78" s="115" t="s">
        <v>61</v>
      </c>
      <c r="M78" s="117">
        <v>484</v>
      </c>
      <c r="N78" s="115" t="s">
        <v>62</v>
      </c>
      <c r="O78" s="117" t="s">
        <v>63</v>
      </c>
      <c r="P78" s="118" t="s">
        <v>63</v>
      </c>
      <c r="Q78" s="117" t="s">
        <v>94</v>
      </c>
      <c r="R78" s="115" t="s">
        <v>120</v>
      </c>
      <c r="S78" s="115" t="s">
        <v>96</v>
      </c>
      <c r="T78" s="118" t="s">
        <v>63</v>
      </c>
    </row>
    <row r="79" spans="1:20" ht="52.15" customHeight="1">
      <c r="A79" s="114">
        <v>78</v>
      </c>
      <c r="B79" s="114" t="s">
        <v>123</v>
      </c>
      <c r="C79" s="114" t="s">
        <v>226</v>
      </c>
      <c r="D79" s="114" t="s">
        <v>233</v>
      </c>
      <c r="E79" s="126" t="s">
        <v>234</v>
      </c>
      <c r="F79" s="115" t="s">
        <v>127</v>
      </c>
      <c r="G79" s="115">
        <v>1</v>
      </c>
      <c r="H79" s="115">
        <v>6</v>
      </c>
      <c r="I79" s="115">
        <v>36</v>
      </c>
      <c r="J79" s="115">
        <v>0</v>
      </c>
      <c r="K79" s="115" t="s">
        <v>60</v>
      </c>
      <c r="L79" s="115" t="s">
        <v>61</v>
      </c>
      <c r="M79" s="117">
        <v>484</v>
      </c>
      <c r="N79" s="115" t="s">
        <v>62</v>
      </c>
      <c r="O79" s="117" t="s">
        <v>63</v>
      </c>
      <c r="P79" s="118" t="s">
        <v>63</v>
      </c>
      <c r="Q79" s="117" t="s">
        <v>94</v>
      </c>
      <c r="R79" s="115" t="s">
        <v>120</v>
      </c>
      <c r="S79" s="115" t="s">
        <v>96</v>
      </c>
      <c r="T79" s="118" t="s">
        <v>63</v>
      </c>
    </row>
    <row r="80" spans="1:20" ht="52.15" customHeight="1">
      <c r="A80" s="114">
        <v>79</v>
      </c>
      <c r="B80" s="114" t="s">
        <v>123</v>
      </c>
      <c r="C80" s="114" t="s">
        <v>226</v>
      </c>
      <c r="D80" s="114" t="s">
        <v>235</v>
      </c>
      <c r="E80" s="126" t="s">
        <v>236</v>
      </c>
      <c r="F80" s="115" t="s">
        <v>127</v>
      </c>
      <c r="G80" s="115">
        <v>1</v>
      </c>
      <c r="H80" s="115">
        <v>6</v>
      </c>
      <c r="I80" s="115">
        <v>36</v>
      </c>
      <c r="J80" s="115">
        <v>0</v>
      </c>
      <c r="K80" s="115" t="s">
        <v>60</v>
      </c>
      <c r="L80" s="115" t="s">
        <v>61</v>
      </c>
      <c r="M80" s="117">
        <v>484</v>
      </c>
      <c r="N80" s="115" t="s">
        <v>62</v>
      </c>
      <c r="O80" s="117" t="s">
        <v>63</v>
      </c>
      <c r="P80" s="118" t="s">
        <v>63</v>
      </c>
      <c r="Q80" s="117" t="s">
        <v>94</v>
      </c>
      <c r="R80" s="115" t="s">
        <v>120</v>
      </c>
      <c r="S80" s="115" t="s">
        <v>96</v>
      </c>
      <c r="T80" s="118" t="s">
        <v>63</v>
      </c>
    </row>
    <row r="81" spans="1:20" ht="52.15" customHeight="1">
      <c r="A81" s="114">
        <v>80</v>
      </c>
      <c r="B81" s="114" t="s">
        <v>123</v>
      </c>
      <c r="C81" s="114" t="s">
        <v>226</v>
      </c>
      <c r="D81" s="114" t="s">
        <v>237</v>
      </c>
      <c r="E81" s="126" t="s">
        <v>238</v>
      </c>
      <c r="F81" s="115" t="s">
        <v>127</v>
      </c>
      <c r="G81" s="115">
        <v>1</v>
      </c>
      <c r="H81" s="115">
        <v>6</v>
      </c>
      <c r="I81" s="115">
        <v>36</v>
      </c>
      <c r="J81" s="115">
        <v>0</v>
      </c>
      <c r="K81" s="115" t="s">
        <v>60</v>
      </c>
      <c r="L81" s="115" t="s">
        <v>61</v>
      </c>
      <c r="M81" s="117">
        <v>484</v>
      </c>
      <c r="N81" s="115" t="s">
        <v>62</v>
      </c>
      <c r="O81" s="117" t="s">
        <v>63</v>
      </c>
      <c r="P81" s="118" t="s">
        <v>64</v>
      </c>
      <c r="Q81" s="117" t="s">
        <v>94</v>
      </c>
      <c r="R81" s="115" t="s">
        <v>120</v>
      </c>
      <c r="S81" s="115" t="s">
        <v>96</v>
      </c>
      <c r="T81" s="118" t="s">
        <v>63</v>
      </c>
    </row>
    <row r="82" spans="1:20" ht="52.15" customHeight="1">
      <c r="A82" s="114">
        <v>81</v>
      </c>
      <c r="B82" s="114" t="s">
        <v>123</v>
      </c>
      <c r="C82" s="114" t="s">
        <v>226</v>
      </c>
      <c r="D82" s="114" t="s">
        <v>239</v>
      </c>
      <c r="E82" s="126" t="s">
        <v>240</v>
      </c>
      <c r="F82" s="115" t="s">
        <v>127</v>
      </c>
      <c r="G82" s="115">
        <v>1</v>
      </c>
      <c r="H82" s="115">
        <v>6</v>
      </c>
      <c r="I82" s="115">
        <v>36</v>
      </c>
      <c r="J82" s="115">
        <v>0</v>
      </c>
      <c r="K82" s="115" t="s">
        <v>60</v>
      </c>
      <c r="L82" s="115" t="s">
        <v>61</v>
      </c>
      <c r="M82" s="117">
        <v>484</v>
      </c>
      <c r="N82" s="115" t="s">
        <v>62</v>
      </c>
      <c r="O82" s="117" t="s">
        <v>63</v>
      </c>
      <c r="P82" s="118" t="s">
        <v>63</v>
      </c>
      <c r="Q82" s="117" t="s">
        <v>94</v>
      </c>
      <c r="R82" s="115" t="s">
        <v>120</v>
      </c>
      <c r="S82" s="115" t="s">
        <v>96</v>
      </c>
      <c r="T82" s="118" t="s">
        <v>63</v>
      </c>
    </row>
    <row r="83" spans="1:20" ht="52.15" customHeight="1">
      <c r="A83" s="114">
        <v>82</v>
      </c>
      <c r="B83" s="114" t="s">
        <v>123</v>
      </c>
      <c r="C83" s="114" t="s">
        <v>226</v>
      </c>
      <c r="D83" s="114" t="s">
        <v>241</v>
      </c>
      <c r="E83" s="126"/>
      <c r="F83" s="115" t="s">
        <v>127</v>
      </c>
      <c r="G83" s="115">
        <v>1</v>
      </c>
      <c r="H83" s="115">
        <v>6</v>
      </c>
      <c r="I83" s="115">
        <v>36</v>
      </c>
      <c r="J83" s="115">
        <v>0</v>
      </c>
      <c r="K83" s="115" t="s">
        <v>60</v>
      </c>
      <c r="L83" s="115" t="s">
        <v>61</v>
      </c>
      <c r="M83" s="117">
        <v>484</v>
      </c>
      <c r="N83" s="115" t="s">
        <v>62</v>
      </c>
      <c r="O83" s="117" t="s">
        <v>63</v>
      </c>
      <c r="P83" s="118" t="s">
        <v>64</v>
      </c>
      <c r="Q83" s="117" t="s">
        <v>94</v>
      </c>
      <c r="R83" s="115" t="s">
        <v>120</v>
      </c>
      <c r="S83" s="115" t="s">
        <v>96</v>
      </c>
      <c r="T83" s="118" t="s">
        <v>63</v>
      </c>
    </row>
    <row r="84" spans="1:20" ht="52.15" customHeight="1">
      <c r="A84" s="114">
        <v>83</v>
      </c>
      <c r="B84" s="114" t="s">
        <v>123</v>
      </c>
      <c r="C84" s="114" t="s">
        <v>226</v>
      </c>
      <c r="D84" s="114" t="s">
        <v>242</v>
      </c>
      <c r="E84" s="126" t="s">
        <v>243</v>
      </c>
      <c r="F84" s="115" t="s">
        <v>127</v>
      </c>
      <c r="G84" s="115">
        <v>1</v>
      </c>
      <c r="H84" s="115">
        <v>6</v>
      </c>
      <c r="I84" s="115">
        <v>36</v>
      </c>
      <c r="J84" s="115">
        <v>0</v>
      </c>
      <c r="K84" s="115" t="s">
        <v>60</v>
      </c>
      <c r="L84" s="115" t="s">
        <v>61</v>
      </c>
      <c r="M84" s="117">
        <v>484</v>
      </c>
      <c r="N84" s="115" t="s">
        <v>62</v>
      </c>
      <c r="O84" s="117" t="s">
        <v>63</v>
      </c>
      <c r="P84" s="118" t="s">
        <v>63</v>
      </c>
      <c r="Q84" s="117" t="s">
        <v>94</v>
      </c>
      <c r="R84" s="115" t="s">
        <v>120</v>
      </c>
      <c r="S84" s="115" t="s">
        <v>96</v>
      </c>
      <c r="T84" s="118" t="s">
        <v>63</v>
      </c>
    </row>
    <row r="85" spans="1:20" ht="52.15" customHeight="1">
      <c r="A85" s="114">
        <v>84</v>
      </c>
      <c r="B85" s="114" t="s">
        <v>123</v>
      </c>
      <c r="C85" s="114" t="s">
        <v>226</v>
      </c>
      <c r="D85" s="114" t="s">
        <v>244</v>
      </c>
      <c r="E85" s="126" t="s">
        <v>245</v>
      </c>
      <c r="F85" s="115" t="s">
        <v>127</v>
      </c>
      <c r="G85" s="115">
        <v>1</v>
      </c>
      <c r="H85" s="115">
        <v>6</v>
      </c>
      <c r="I85" s="115">
        <v>36</v>
      </c>
      <c r="J85" s="115">
        <v>0</v>
      </c>
      <c r="K85" s="115" t="s">
        <v>60</v>
      </c>
      <c r="L85" s="115" t="s">
        <v>61</v>
      </c>
      <c r="M85" s="117">
        <v>484</v>
      </c>
      <c r="N85" s="115" t="s">
        <v>62</v>
      </c>
      <c r="O85" s="117" t="s">
        <v>63</v>
      </c>
      <c r="P85" s="118" t="s">
        <v>63</v>
      </c>
      <c r="Q85" s="117" t="s">
        <v>94</v>
      </c>
      <c r="R85" s="115" t="s">
        <v>120</v>
      </c>
      <c r="S85" s="115" t="s">
        <v>96</v>
      </c>
      <c r="T85" s="118" t="s">
        <v>63</v>
      </c>
    </row>
    <row r="86" spans="1:20" ht="52.15" customHeight="1">
      <c r="A86" s="114">
        <v>85</v>
      </c>
      <c r="B86" s="114" t="s">
        <v>123</v>
      </c>
      <c r="C86" s="114" t="s">
        <v>226</v>
      </c>
      <c r="D86" s="114" t="s">
        <v>246</v>
      </c>
      <c r="E86" s="126" t="s">
        <v>245</v>
      </c>
      <c r="F86" s="115" t="s">
        <v>127</v>
      </c>
      <c r="G86" s="115">
        <v>1</v>
      </c>
      <c r="H86" s="115">
        <v>6</v>
      </c>
      <c r="I86" s="115">
        <v>36</v>
      </c>
      <c r="J86" s="115">
        <v>0</v>
      </c>
      <c r="K86" s="115" t="s">
        <v>60</v>
      </c>
      <c r="L86" s="115" t="s">
        <v>61</v>
      </c>
      <c r="M86" s="117">
        <v>484</v>
      </c>
      <c r="N86" s="115" t="s">
        <v>62</v>
      </c>
      <c r="O86" s="117" t="s">
        <v>63</v>
      </c>
      <c r="P86" s="118" t="s">
        <v>63</v>
      </c>
      <c r="Q86" s="117" t="s">
        <v>94</v>
      </c>
      <c r="R86" s="115" t="s">
        <v>120</v>
      </c>
      <c r="S86" s="115" t="s">
        <v>96</v>
      </c>
      <c r="T86" s="118" t="s">
        <v>63</v>
      </c>
    </row>
    <row r="87" spans="1:20" ht="52.15" customHeight="1">
      <c r="A87" s="114">
        <v>86</v>
      </c>
      <c r="B87" s="114" t="s">
        <v>123</v>
      </c>
      <c r="C87" s="114" t="s">
        <v>226</v>
      </c>
      <c r="D87" s="114" t="s">
        <v>247</v>
      </c>
      <c r="E87" s="126" t="s">
        <v>245</v>
      </c>
      <c r="F87" s="115" t="s">
        <v>127</v>
      </c>
      <c r="G87" s="115">
        <v>1</v>
      </c>
      <c r="H87" s="115">
        <v>6</v>
      </c>
      <c r="I87" s="115">
        <v>36</v>
      </c>
      <c r="J87" s="115">
        <v>0</v>
      </c>
      <c r="K87" s="115" t="s">
        <v>60</v>
      </c>
      <c r="L87" s="115" t="s">
        <v>61</v>
      </c>
      <c r="M87" s="117">
        <v>484</v>
      </c>
      <c r="N87" s="115" t="s">
        <v>62</v>
      </c>
      <c r="O87" s="117" t="s">
        <v>63</v>
      </c>
      <c r="P87" s="118" t="s">
        <v>63</v>
      </c>
      <c r="Q87" s="117" t="s">
        <v>94</v>
      </c>
      <c r="R87" s="115" t="s">
        <v>120</v>
      </c>
      <c r="S87" s="115" t="s">
        <v>96</v>
      </c>
      <c r="T87" s="118" t="s">
        <v>63</v>
      </c>
    </row>
    <row r="88" spans="1:20" ht="52.15" customHeight="1">
      <c r="A88" s="114">
        <v>87</v>
      </c>
      <c r="B88" s="114" t="s">
        <v>123</v>
      </c>
      <c r="C88" s="114" t="s">
        <v>226</v>
      </c>
      <c r="D88" s="114" t="s">
        <v>199</v>
      </c>
      <c r="E88" s="126" t="s">
        <v>248</v>
      </c>
      <c r="F88" s="115" t="s">
        <v>127</v>
      </c>
      <c r="G88" s="115">
        <v>1</v>
      </c>
      <c r="H88" s="115">
        <v>6</v>
      </c>
      <c r="I88" s="115">
        <v>36</v>
      </c>
      <c r="J88" s="115">
        <v>0</v>
      </c>
      <c r="K88" s="115" t="s">
        <v>60</v>
      </c>
      <c r="L88" s="115" t="s">
        <v>61</v>
      </c>
      <c r="M88" s="117">
        <v>484</v>
      </c>
      <c r="N88" s="115" t="s">
        <v>62</v>
      </c>
      <c r="O88" s="117" t="s">
        <v>63</v>
      </c>
      <c r="P88" s="118" t="s">
        <v>63</v>
      </c>
      <c r="Q88" s="117" t="s">
        <v>94</v>
      </c>
      <c r="R88" s="115" t="s">
        <v>120</v>
      </c>
      <c r="S88" s="115" t="s">
        <v>96</v>
      </c>
      <c r="T88" s="118" t="s">
        <v>63</v>
      </c>
    </row>
    <row r="89" spans="1:20" ht="52.15" customHeight="1">
      <c r="A89" s="114">
        <v>88</v>
      </c>
      <c r="B89" s="114" t="s">
        <v>123</v>
      </c>
      <c r="C89" s="114" t="s">
        <v>249</v>
      </c>
      <c r="D89" s="114" t="s">
        <v>250</v>
      </c>
      <c r="E89" s="126" t="s">
        <v>251</v>
      </c>
      <c r="F89" s="115" t="s">
        <v>127</v>
      </c>
      <c r="G89" s="115">
        <v>1</v>
      </c>
      <c r="H89" s="115">
        <v>6</v>
      </c>
      <c r="I89" s="115">
        <v>80</v>
      </c>
      <c r="J89" s="115">
        <v>14</v>
      </c>
      <c r="K89" s="115" t="s">
        <v>60</v>
      </c>
      <c r="L89" s="115" t="s">
        <v>61</v>
      </c>
      <c r="M89" s="117">
        <v>484</v>
      </c>
      <c r="N89" s="115" t="s">
        <v>62</v>
      </c>
      <c r="O89" s="117" t="s">
        <v>63</v>
      </c>
      <c r="P89" s="118" t="s">
        <v>63</v>
      </c>
      <c r="Q89" s="114"/>
      <c r="R89" s="115" t="s">
        <v>120</v>
      </c>
      <c r="S89" s="115" t="s">
        <v>96</v>
      </c>
      <c r="T89" s="118" t="s">
        <v>63</v>
      </c>
    </row>
    <row r="90" spans="1:20" ht="52.15" customHeight="1">
      <c r="A90" s="114">
        <v>89</v>
      </c>
      <c r="B90" s="114" t="s">
        <v>123</v>
      </c>
      <c r="C90" s="114" t="s">
        <v>249</v>
      </c>
      <c r="D90" s="114" t="s">
        <v>252</v>
      </c>
      <c r="E90" s="126" t="s">
        <v>253</v>
      </c>
      <c r="F90" s="115" t="s">
        <v>127</v>
      </c>
      <c r="G90" s="115">
        <v>1</v>
      </c>
      <c r="H90" s="115">
        <v>6</v>
      </c>
      <c r="I90" s="115">
        <v>80</v>
      </c>
      <c r="J90" s="115">
        <v>14</v>
      </c>
      <c r="K90" s="115" t="s">
        <v>60</v>
      </c>
      <c r="L90" s="115" t="s">
        <v>61</v>
      </c>
      <c r="M90" s="117">
        <v>484</v>
      </c>
      <c r="N90" s="115" t="s">
        <v>62</v>
      </c>
      <c r="O90" s="117" t="s">
        <v>63</v>
      </c>
      <c r="P90" s="118" t="s">
        <v>63</v>
      </c>
      <c r="Q90" s="114"/>
      <c r="R90" s="115" t="s">
        <v>120</v>
      </c>
      <c r="S90" s="115" t="s">
        <v>96</v>
      </c>
      <c r="T90" s="118" t="s">
        <v>63</v>
      </c>
    </row>
    <row r="91" spans="1:20" ht="52.15" customHeight="1">
      <c r="A91" s="114">
        <v>90</v>
      </c>
      <c r="B91" s="114" t="s">
        <v>123</v>
      </c>
      <c r="C91" s="114" t="s">
        <v>249</v>
      </c>
      <c r="D91" s="114" t="s">
        <v>254</v>
      </c>
      <c r="E91" s="126" t="s">
        <v>255</v>
      </c>
      <c r="F91" s="115" t="s">
        <v>127</v>
      </c>
      <c r="G91" s="115">
        <v>1</v>
      </c>
      <c r="H91" s="115">
        <v>6</v>
      </c>
      <c r="I91" s="115">
        <v>80</v>
      </c>
      <c r="J91" s="115">
        <v>14</v>
      </c>
      <c r="K91" s="115" t="s">
        <v>60</v>
      </c>
      <c r="L91" s="115" t="s">
        <v>61</v>
      </c>
      <c r="M91" s="117">
        <v>484</v>
      </c>
      <c r="N91" s="115" t="s">
        <v>62</v>
      </c>
      <c r="O91" s="117" t="s">
        <v>63</v>
      </c>
      <c r="P91" s="118" t="s">
        <v>64</v>
      </c>
      <c r="Q91" s="114"/>
      <c r="R91" s="115" t="s">
        <v>120</v>
      </c>
      <c r="S91" s="115" t="s">
        <v>96</v>
      </c>
      <c r="T91" s="118" t="s">
        <v>63</v>
      </c>
    </row>
    <row r="92" spans="1:20" ht="52.15" customHeight="1">
      <c r="A92" s="114">
        <v>91</v>
      </c>
      <c r="B92" s="114" t="s">
        <v>123</v>
      </c>
      <c r="C92" s="114" t="s">
        <v>249</v>
      </c>
      <c r="D92" s="114" t="s">
        <v>256</v>
      </c>
      <c r="E92" s="126" t="s">
        <v>257</v>
      </c>
      <c r="F92" s="115" t="s">
        <v>127</v>
      </c>
      <c r="G92" s="115">
        <v>1</v>
      </c>
      <c r="H92" s="115">
        <v>6</v>
      </c>
      <c r="I92" s="115">
        <v>80</v>
      </c>
      <c r="J92" s="115">
        <v>14</v>
      </c>
      <c r="K92" s="115" t="s">
        <v>60</v>
      </c>
      <c r="L92" s="115" t="s">
        <v>61</v>
      </c>
      <c r="M92" s="117">
        <v>484</v>
      </c>
      <c r="N92" s="115" t="s">
        <v>62</v>
      </c>
      <c r="O92" s="117" t="s">
        <v>63</v>
      </c>
      <c r="P92" s="118" t="s">
        <v>63</v>
      </c>
      <c r="Q92" s="114"/>
      <c r="R92" s="115" t="s">
        <v>120</v>
      </c>
      <c r="S92" s="115" t="s">
        <v>96</v>
      </c>
      <c r="T92" s="118" t="s">
        <v>63</v>
      </c>
    </row>
    <row r="93" spans="1:20" ht="52.15" customHeight="1">
      <c r="A93" s="114">
        <v>92</v>
      </c>
      <c r="B93" s="114" t="s">
        <v>123</v>
      </c>
      <c r="C93" s="114" t="s">
        <v>249</v>
      </c>
      <c r="D93" s="114" t="s">
        <v>258</v>
      </c>
      <c r="E93" s="126" t="s">
        <v>259</v>
      </c>
      <c r="F93" s="115" t="s">
        <v>127</v>
      </c>
      <c r="G93" s="115">
        <v>1</v>
      </c>
      <c r="H93" s="115">
        <v>6</v>
      </c>
      <c r="I93" s="115">
        <v>80</v>
      </c>
      <c r="J93" s="115">
        <v>14</v>
      </c>
      <c r="K93" s="115" t="s">
        <v>60</v>
      </c>
      <c r="L93" s="115" t="s">
        <v>61</v>
      </c>
      <c r="M93" s="117">
        <v>484</v>
      </c>
      <c r="N93" s="115" t="s">
        <v>62</v>
      </c>
      <c r="O93" s="117" t="s">
        <v>63</v>
      </c>
      <c r="P93" s="118" t="s">
        <v>63</v>
      </c>
      <c r="Q93" s="114"/>
      <c r="R93" s="115" t="s">
        <v>120</v>
      </c>
      <c r="S93" s="115" t="s">
        <v>96</v>
      </c>
      <c r="T93" s="118" t="s">
        <v>63</v>
      </c>
    </row>
    <row r="94" spans="1:20" ht="52.15" customHeight="1">
      <c r="A94" s="114">
        <v>93</v>
      </c>
      <c r="B94" s="114" t="s">
        <v>123</v>
      </c>
      <c r="C94" s="114" t="s">
        <v>249</v>
      </c>
      <c r="D94" s="114" t="s">
        <v>260</v>
      </c>
      <c r="E94" s="126" t="s">
        <v>261</v>
      </c>
      <c r="F94" s="115" t="s">
        <v>127</v>
      </c>
      <c r="G94" s="115">
        <v>1</v>
      </c>
      <c r="H94" s="115">
        <v>6</v>
      </c>
      <c r="I94" s="115">
        <v>80</v>
      </c>
      <c r="J94" s="115">
        <v>14</v>
      </c>
      <c r="K94" s="115" t="s">
        <v>60</v>
      </c>
      <c r="L94" s="115" t="s">
        <v>61</v>
      </c>
      <c r="M94" s="117">
        <v>485</v>
      </c>
      <c r="N94" s="115" t="s">
        <v>262</v>
      </c>
      <c r="O94" s="117" t="s">
        <v>63</v>
      </c>
      <c r="P94" s="118" t="s">
        <v>63</v>
      </c>
      <c r="Q94" s="114"/>
      <c r="R94" s="115" t="s">
        <v>120</v>
      </c>
      <c r="S94" s="115" t="s">
        <v>96</v>
      </c>
      <c r="T94" s="118" t="s">
        <v>63</v>
      </c>
    </row>
    <row r="95" spans="1:20" ht="52.15" customHeight="1">
      <c r="A95" s="114">
        <v>94</v>
      </c>
      <c r="B95" s="114" t="s">
        <v>123</v>
      </c>
      <c r="C95" s="114" t="s">
        <v>249</v>
      </c>
      <c r="D95" s="114" t="s">
        <v>263</v>
      </c>
      <c r="E95" s="126" t="s">
        <v>264</v>
      </c>
      <c r="F95" s="115" t="s">
        <v>127</v>
      </c>
      <c r="G95" s="115">
        <v>1</v>
      </c>
      <c r="H95" s="115">
        <v>6</v>
      </c>
      <c r="I95" s="115">
        <v>80</v>
      </c>
      <c r="J95" s="115">
        <v>14</v>
      </c>
      <c r="K95" s="115" t="s">
        <v>60</v>
      </c>
      <c r="L95" s="115" t="s">
        <v>61</v>
      </c>
      <c r="M95" s="117">
        <v>484</v>
      </c>
      <c r="N95" s="115" t="s">
        <v>62</v>
      </c>
      <c r="O95" s="117" t="s">
        <v>63</v>
      </c>
      <c r="P95" s="118" t="s">
        <v>63</v>
      </c>
      <c r="Q95" s="114"/>
      <c r="R95" s="115" t="s">
        <v>120</v>
      </c>
      <c r="S95" s="115" t="s">
        <v>96</v>
      </c>
      <c r="T95" s="118" t="s">
        <v>63</v>
      </c>
    </row>
    <row r="96" spans="1:20" ht="52.15" customHeight="1">
      <c r="A96" s="114">
        <v>95</v>
      </c>
      <c r="B96" s="114" t="s">
        <v>123</v>
      </c>
      <c r="C96" s="114" t="s">
        <v>249</v>
      </c>
      <c r="D96" s="114" t="s">
        <v>265</v>
      </c>
      <c r="E96" s="126" t="s">
        <v>266</v>
      </c>
      <c r="F96" s="115" t="s">
        <v>127</v>
      </c>
      <c r="G96" s="115">
        <v>1</v>
      </c>
      <c r="H96" s="115">
        <v>6</v>
      </c>
      <c r="I96" s="115">
        <v>80</v>
      </c>
      <c r="J96" s="115">
        <v>14</v>
      </c>
      <c r="K96" s="115" t="s">
        <v>60</v>
      </c>
      <c r="L96" s="115" t="s">
        <v>61</v>
      </c>
      <c r="M96" s="117">
        <v>484</v>
      </c>
      <c r="N96" s="115" t="s">
        <v>62</v>
      </c>
      <c r="O96" s="117" t="s">
        <v>63</v>
      </c>
      <c r="P96" s="118" t="s">
        <v>63</v>
      </c>
      <c r="Q96" s="114"/>
      <c r="R96" s="115" t="s">
        <v>120</v>
      </c>
      <c r="S96" s="115" t="s">
        <v>96</v>
      </c>
      <c r="T96" s="118" t="s">
        <v>63</v>
      </c>
    </row>
    <row r="97" spans="1:20" ht="52.15" customHeight="1">
      <c r="A97" s="114">
        <v>96</v>
      </c>
      <c r="B97" s="114" t="s">
        <v>123</v>
      </c>
      <c r="C97" s="114" t="s">
        <v>249</v>
      </c>
      <c r="D97" s="114" t="s">
        <v>267</v>
      </c>
      <c r="E97" s="126"/>
      <c r="F97" s="115" t="s">
        <v>127</v>
      </c>
      <c r="G97" s="115">
        <v>1</v>
      </c>
      <c r="H97" s="115">
        <v>6</v>
      </c>
      <c r="I97" s="115">
        <v>80</v>
      </c>
      <c r="J97" s="115">
        <v>14</v>
      </c>
      <c r="K97" s="115" t="s">
        <v>60</v>
      </c>
      <c r="L97" s="115" t="s">
        <v>61</v>
      </c>
      <c r="M97" s="117">
        <v>484</v>
      </c>
      <c r="N97" s="115" t="s">
        <v>62</v>
      </c>
      <c r="O97" s="117" t="s">
        <v>63</v>
      </c>
      <c r="P97" s="118" t="s">
        <v>63</v>
      </c>
      <c r="Q97" s="114"/>
      <c r="R97" s="115" t="s">
        <v>120</v>
      </c>
      <c r="S97" s="115" t="s">
        <v>96</v>
      </c>
      <c r="T97" s="118" t="s">
        <v>63</v>
      </c>
    </row>
    <row r="98" spans="1:20" ht="52.15" customHeight="1">
      <c r="A98" s="114">
        <v>97</v>
      </c>
      <c r="B98" s="114" t="s">
        <v>123</v>
      </c>
      <c r="C98" s="114" t="s">
        <v>249</v>
      </c>
      <c r="D98" s="114" t="s">
        <v>256</v>
      </c>
      <c r="E98" s="126" t="s">
        <v>268</v>
      </c>
      <c r="F98" s="115" t="s">
        <v>127</v>
      </c>
      <c r="G98" s="115">
        <v>1</v>
      </c>
      <c r="H98" s="115">
        <v>6</v>
      </c>
      <c r="I98" s="115">
        <v>80</v>
      </c>
      <c r="J98" s="115">
        <v>14</v>
      </c>
      <c r="K98" s="115" t="s">
        <v>60</v>
      </c>
      <c r="L98" s="115" t="s">
        <v>61</v>
      </c>
      <c r="M98" s="117">
        <v>484</v>
      </c>
      <c r="N98" s="115" t="s">
        <v>62</v>
      </c>
      <c r="O98" s="117" t="s">
        <v>63</v>
      </c>
      <c r="P98" s="118" t="s">
        <v>63</v>
      </c>
      <c r="Q98" s="114"/>
      <c r="R98" s="115" t="s">
        <v>120</v>
      </c>
      <c r="S98" s="115" t="s">
        <v>96</v>
      </c>
      <c r="T98" s="118" t="s">
        <v>63</v>
      </c>
    </row>
    <row r="99" spans="1:20" ht="52.15" customHeight="1">
      <c r="A99" s="114">
        <v>98</v>
      </c>
      <c r="B99" s="114" t="s">
        <v>123</v>
      </c>
      <c r="C99" s="114" t="s">
        <v>249</v>
      </c>
      <c r="D99" s="114" t="s">
        <v>269</v>
      </c>
      <c r="E99" s="126" t="s">
        <v>270</v>
      </c>
      <c r="F99" s="115" t="s">
        <v>127</v>
      </c>
      <c r="G99" s="115">
        <v>1</v>
      </c>
      <c r="H99" s="115">
        <v>6</v>
      </c>
      <c r="I99" s="115">
        <v>80</v>
      </c>
      <c r="J99" s="115">
        <v>14</v>
      </c>
      <c r="K99" s="115" t="s">
        <v>60</v>
      </c>
      <c r="L99" s="115" t="s">
        <v>61</v>
      </c>
      <c r="M99" s="117">
        <v>484</v>
      </c>
      <c r="N99" s="115" t="s">
        <v>62</v>
      </c>
      <c r="O99" s="117" t="s">
        <v>63</v>
      </c>
      <c r="P99" s="118" t="s">
        <v>64</v>
      </c>
      <c r="Q99" s="114"/>
      <c r="R99" s="115" t="s">
        <v>120</v>
      </c>
      <c r="S99" s="115" t="s">
        <v>96</v>
      </c>
      <c r="T99" s="118" t="s">
        <v>63</v>
      </c>
    </row>
    <row r="100" spans="1:20" ht="52.15" customHeight="1">
      <c r="A100" s="114">
        <v>99</v>
      </c>
      <c r="B100" s="114" t="s">
        <v>123</v>
      </c>
      <c r="C100" s="114" t="s">
        <v>249</v>
      </c>
      <c r="D100" s="114" t="s">
        <v>271</v>
      </c>
      <c r="E100" s="126" t="s">
        <v>272</v>
      </c>
      <c r="F100" s="115" t="s">
        <v>127</v>
      </c>
      <c r="G100" s="115">
        <v>1</v>
      </c>
      <c r="H100" s="115">
        <v>6</v>
      </c>
      <c r="I100" s="115">
        <v>80</v>
      </c>
      <c r="J100" s="115">
        <v>14</v>
      </c>
      <c r="K100" s="115" t="s">
        <v>60</v>
      </c>
      <c r="L100" s="115" t="s">
        <v>61</v>
      </c>
      <c r="M100" s="117">
        <v>484</v>
      </c>
      <c r="N100" s="115" t="s">
        <v>62</v>
      </c>
      <c r="O100" s="117" t="s">
        <v>63</v>
      </c>
      <c r="P100" s="118" t="s">
        <v>64</v>
      </c>
      <c r="Q100" s="114"/>
      <c r="R100" s="115" t="s">
        <v>120</v>
      </c>
      <c r="S100" s="115" t="s">
        <v>96</v>
      </c>
      <c r="T100" s="118" t="s">
        <v>63</v>
      </c>
    </row>
    <row r="101" spans="1:20" ht="52.15" customHeight="1">
      <c r="A101" s="114">
        <v>100</v>
      </c>
      <c r="B101" s="114" t="s">
        <v>123</v>
      </c>
      <c r="C101" s="114" t="s">
        <v>249</v>
      </c>
      <c r="D101" s="114" t="s">
        <v>273</v>
      </c>
      <c r="E101" s="126" t="s">
        <v>274</v>
      </c>
      <c r="F101" s="115" t="s">
        <v>127</v>
      </c>
      <c r="G101" s="115">
        <v>1</v>
      </c>
      <c r="H101" s="115">
        <v>6</v>
      </c>
      <c r="I101" s="115">
        <v>80</v>
      </c>
      <c r="J101" s="115">
        <v>14</v>
      </c>
      <c r="K101" s="115" t="s">
        <v>60</v>
      </c>
      <c r="L101" s="115" t="s">
        <v>61</v>
      </c>
      <c r="M101" s="117">
        <v>484</v>
      </c>
      <c r="N101" s="115" t="s">
        <v>62</v>
      </c>
      <c r="O101" s="117" t="s">
        <v>63</v>
      </c>
      <c r="P101" s="118" t="s">
        <v>64</v>
      </c>
      <c r="Q101" s="114"/>
      <c r="R101" s="115" t="s">
        <v>120</v>
      </c>
      <c r="S101" s="115" t="s">
        <v>96</v>
      </c>
      <c r="T101" s="118" t="s">
        <v>63</v>
      </c>
    </row>
    <row r="102" spans="1:20" ht="52.15" customHeight="1">
      <c r="A102" s="114">
        <v>101</v>
      </c>
      <c r="B102" s="114" t="s">
        <v>123</v>
      </c>
      <c r="C102" s="114" t="s">
        <v>249</v>
      </c>
      <c r="D102" s="114" t="s">
        <v>275</v>
      </c>
      <c r="E102" s="126" t="s">
        <v>276</v>
      </c>
      <c r="F102" s="115" t="s">
        <v>127</v>
      </c>
      <c r="G102" s="115">
        <v>1</v>
      </c>
      <c r="H102" s="115">
        <v>6</v>
      </c>
      <c r="I102" s="115">
        <v>80</v>
      </c>
      <c r="J102" s="115">
        <v>14</v>
      </c>
      <c r="K102" s="115" t="s">
        <v>60</v>
      </c>
      <c r="L102" s="115" t="s">
        <v>61</v>
      </c>
      <c r="M102" s="117">
        <v>484</v>
      </c>
      <c r="N102" s="115" t="s">
        <v>62</v>
      </c>
      <c r="O102" s="117" t="s">
        <v>63</v>
      </c>
      <c r="P102" s="118" t="s">
        <v>64</v>
      </c>
      <c r="Q102" s="114"/>
      <c r="R102" s="115" t="s">
        <v>120</v>
      </c>
      <c r="S102" s="115" t="s">
        <v>96</v>
      </c>
      <c r="T102" s="118" t="s">
        <v>63</v>
      </c>
    </row>
    <row r="103" spans="1:20" ht="36">
      <c r="A103" s="114">
        <v>102</v>
      </c>
      <c r="B103" s="114" t="s">
        <v>123</v>
      </c>
      <c r="C103" s="114" t="s">
        <v>277</v>
      </c>
      <c r="D103" s="114" t="s">
        <v>278</v>
      </c>
      <c r="E103" s="126"/>
      <c r="F103" s="115" t="s">
        <v>127</v>
      </c>
      <c r="G103" s="115">
        <v>1</v>
      </c>
      <c r="H103" s="115">
        <v>6</v>
      </c>
      <c r="I103" s="115">
        <v>36</v>
      </c>
      <c r="J103" s="115">
        <v>8</v>
      </c>
      <c r="K103" s="115" t="s">
        <v>60</v>
      </c>
      <c r="L103" s="115" t="s">
        <v>61</v>
      </c>
      <c r="M103" s="117">
        <v>484</v>
      </c>
      <c r="N103" s="115" t="s">
        <v>62</v>
      </c>
      <c r="O103" s="117" t="s">
        <v>63</v>
      </c>
      <c r="P103" s="118" t="s">
        <v>64</v>
      </c>
      <c r="Q103" s="114"/>
      <c r="R103" s="115" t="s">
        <v>120</v>
      </c>
      <c r="S103" s="115" t="s">
        <v>96</v>
      </c>
      <c r="T103" s="118" t="s">
        <v>63</v>
      </c>
    </row>
    <row r="104" spans="1:20" ht="36">
      <c r="A104" s="114">
        <v>103</v>
      </c>
      <c r="B104" s="114" t="s">
        <v>123</v>
      </c>
      <c r="C104" s="114" t="s">
        <v>277</v>
      </c>
      <c r="D104" s="114" t="s">
        <v>267</v>
      </c>
      <c r="E104" s="126"/>
      <c r="F104" s="115" t="s">
        <v>127</v>
      </c>
      <c r="G104" s="115">
        <v>1</v>
      </c>
      <c r="H104" s="115">
        <v>6</v>
      </c>
      <c r="I104" s="115">
        <v>36</v>
      </c>
      <c r="J104" s="115">
        <v>8</v>
      </c>
      <c r="K104" s="115" t="s">
        <v>60</v>
      </c>
      <c r="L104" s="115" t="s">
        <v>61</v>
      </c>
      <c r="M104" s="117">
        <v>484</v>
      </c>
      <c r="N104" s="115" t="s">
        <v>62</v>
      </c>
      <c r="O104" s="117" t="s">
        <v>63</v>
      </c>
      <c r="P104" s="118" t="s">
        <v>64</v>
      </c>
      <c r="Q104" s="114"/>
      <c r="R104" s="115" t="s">
        <v>120</v>
      </c>
      <c r="S104" s="115" t="s">
        <v>96</v>
      </c>
      <c r="T104" s="118" t="s">
        <v>63</v>
      </c>
    </row>
    <row r="105" spans="1:20" ht="36">
      <c r="A105" s="114">
        <v>104</v>
      </c>
      <c r="B105" s="114" t="s">
        <v>123</v>
      </c>
      <c r="C105" s="114" t="s">
        <v>277</v>
      </c>
      <c r="D105" s="114" t="s">
        <v>279</v>
      </c>
      <c r="E105" s="126"/>
      <c r="F105" s="115" t="s">
        <v>127</v>
      </c>
      <c r="G105" s="115">
        <v>1</v>
      </c>
      <c r="H105" s="115">
        <v>6</v>
      </c>
      <c r="I105" s="115">
        <v>36</v>
      </c>
      <c r="J105" s="115">
        <v>8</v>
      </c>
      <c r="K105" s="115" t="s">
        <v>60</v>
      </c>
      <c r="L105" s="115" t="s">
        <v>61</v>
      </c>
      <c r="M105" s="117">
        <v>484</v>
      </c>
      <c r="N105" s="115" t="s">
        <v>62</v>
      </c>
      <c r="O105" s="117" t="s">
        <v>63</v>
      </c>
      <c r="P105" s="118" t="s">
        <v>64</v>
      </c>
      <c r="Q105" s="114"/>
      <c r="R105" s="115" t="s">
        <v>120</v>
      </c>
      <c r="S105" s="115" t="s">
        <v>96</v>
      </c>
      <c r="T105" s="118" t="s">
        <v>63</v>
      </c>
    </row>
    <row r="106" spans="1:20" ht="36">
      <c r="A106" s="114">
        <v>105</v>
      </c>
      <c r="B106" s="114" t="s">
        <v>123</v>
      </c>
      <c r="C106" s="114" t="s">
        <v>277</v>
      </c>
      <c r="D106" s="114" t="s">
        <v>280</v>
      </c>
      <c r="E106" s="126"/>
      <c r="F106" s="115" t="s">
        <v>127</v>
      </c>
      <c r="G106" s="115">
        <v>1</v>
      </c>
      <c r="H106" s="115">
        <v>6</v>
      </c>
      <c r="I106" s="115">
        <v>36</v>
      </c>
      <c r="J106" s="115">
        <v>8</v>
      </c>
      <c r="K106" s="115" t="s">
        <v>60</v>
      </c>
      <c r="L106" s="115" t="s">
        <v>61</v>
      </c>
      <c r="M106" s="117">
        <v>484</v>
      </c>
      <c r="N106" s="115" t="s">
        <v>62</v>
      </c>
      <c r="O106" s="117" t="s">
        <v>63</v>
      </c>
      <c r="P106" s="118" t="s">
        <v>64</v>
      </c>
      <c r="Q106" s="114"/>
      <c r="R106" s="115" t="s">
        <v>120</v>
      </c>
      <c r="S106" s="115" t="s">
        <v>96</v>
      </c>
      <c r="T106" s="118" t="s">
        <v>63</v>
      </c>
    </row>
    <row r="107" spans="1:20" ht="36">
      <c r="A107" s="114">
        <v>106</v>
      </c>
      <c r="B107" s="114" t="s">
        <v>123</v>
      </c>
      <c r="C107" s="114" t="s">
        <v>277</v>
      </c>
      <c r="D107" s="114" t="s">
        <v>281</v>
      </c>
      <c r="E107" s="126"/>
      <c r="F107" s="115" t="s">
        <v>127</v>
      </c>
      <c r="G107" s="115">
        <v>1</v>
      </c>
      <c r="H107" s="115">
        <v>6</v>
      </c>
      <c r="I107" s="115">
        <v>36</v>
      </c>
      <c r="J107" s="115">
        <v>8</v>
      </c>
      <c r="K107" s="115" t="s">
        <v>60</v>
      </c>
      <c r="L107" s="115" t="s">
        <v>61</v>
      </c>
      <c r="M107" s="117">
        <v>484</v>
      </c>
      <c r="N107" s="115" t="s">
        <v>62</v>
      </c>
      <c r="O107" s="117" t="s">
        <v>63</v>
      </c>
      <c r="P107" s="118" t="s">
        <v>64</v>
      </c>
      <c r="Q107" s="114"/>
      <c r="R107" s="115" t="s">
        <v>120</v>
      </c>
      <c r="S107" s="115" t="s">
        <v>96</v>
      </c>
      <c r="T107" s="118" t="s">
        <v>63</v>
      </c>
    </row>
    <row r="108" spans="1:20" ht="36">
      <c r="A108" s="114">
        <v>107</v>
      </c>
      <c r="B108" s="114" t="s">
        <v>123</v>
      </c>
      <c r="C108" s="114" t="s">
        <v>277</v>
      </c>
      <c r="D108" s="114" t="s">
        <v>282</v>
      </c>
      <c r="E108" s="126"/>
      <c r="F108" s="115" t="s">
        <v>127</v>
      </c>
      <c r="G108" s="115">
        <v>1</v>
      </c>
      <c r="H108" s="115">
        <v>6</v>
      </c>
      <c r="I108" s="115">
        <v>36</v>
      </c>
      <c r="J108" s="115">
        <v>8</v>
      </c>
      <c r="K108" s="115" t="s">
        <v>60</v>
      </c>
      <c r="L108" s="115" t="s">
        <v>61</v>
      </c>
      <c r="M108" s="117">
        <v>484</v>
      </c>
      <c r="N108" s="115" t="s">
        <v>62</v>
      </c>
      <c r="O108" s="117" t="s">
        <v>63</v>
      </c>
      <c r="P108" s="118" t="s">
        <v>64</v>
      </c>
      <c r="Q108" s="114"/>
      <c r="R108" s="115" t="s">
        <v>120</v>
      </c>
      <c r="S108" s="115" t="s">
        <v>96</v>
      </c>
      <c r="T108" s="118" t="s">
        <v>63</v>
      </c>
    </row>
    <row r="109" spans="1:20" ht="36">
      <c r="A109" s="114">
        <v>108</v>
      </c>
      <c r="B109" s="114" t="s">
        <v>123</v>
      </c>
      <c r="C109" s="114" t="s">
        <v>277</v>
      </c>
      <c r="D109" s="114" t="s">
        <v>283</v>
      </c>
      <c r="E109" s="126"/>
      <c r="F109" s="115" t="s">
        <v>127</v>
      </c>
      <c r="G109" s="115">
        <v>1</v>
      </c>
      <c r="H109" s="115">
        <v>6</v>
      </c>
      <c r="I109" s="115">
        <v>36</v>
      </c>
      <c r="J109" s="115">
        <v>8</v>
      </c>
      <c r="K109" s="115" t="s">
        <v>60</v>
      </c>
      <c r="L109" s="115" t="s">
        <v>61</v>
      </c>
      <c r="M109" s="117">
        <v>484</v>
      </c>
      <c r="N109" s="115" t="s">
        <v>62</v>
      </c>
      <c r="O109" s="117" t="s">
        <v>63</v>
      </c>
      <c r="P109" s="118" t="s">
        <v>64</v>
      </c>
      <c r="Q109" s="114"/>
      <c r="R109" s="115" t="s">
        <v>120</v>
      </c>
      <c r="S109" s="115" t="s">
        <v>96</v>
      </c>
      <c r="T109" s="118" t="s">
        <v>63</v>
      </c>
    </row>
    <row r="110" spans="1:20" ht="36">
      <c r="A110" s="114">
        <v>109</v>
      </c>
      <c r="B110" s="114" t="s">
        <v>123</v>
      </c>
      <c r="C110" s="114" t="s">
        <v>284</v>
      </c>
      <c r="D110" s="114" t="s">
        <v>285</v>
      </c>
      <c r="E110" s="126"/>
      <c r="F110" s="115" t="s">
        <v>127</v>
      </c>
      <c r="G110" s="115">
        <v>1</v>
      </c>
      <c r="H110" s="115">
        <v>6</v>
      </c>
      <c r="I110" s="115">
        <v>20</v>
      </c>
      <c r="J110" s="115">
        <v>6</v>
      </c>
      <c r="K110" s="115" t="s">
        <v>60</v>
      </c>
      <c r="L110" s="115" t="s">
        <v>61</v>
      </c>
      <c r="M110" s="117">
        <v>484</v>
      </c>
      <c r="N110" s="115" t="s">
        <v>62</v>
      </c>
      <c r="O110" s="117" t="s">
        <v>63</v>
      </c>
      <c r="P110" s="118" t="s">
        <v>63</v>
      </c>
      <c r="Q110" s="114"/>
      <c r="R110" s="115" t="s">
        <v>120</v>
      </c>
      <c r="S110" s="115" t="s">
        <v>96</v>
      </c>
      <c r="T110" s="118" t="s">
        <v>63</v>
      </c>
    </row>
    <row r="111" spans="1:20" ht="36">
      <c r="A111" s="114">
        <v>110</v>
      </c>
      <c r="B111" s="114" t="s">
        <v>123</v>
      </c>
      <c r="C111" s="114" t="s">
        <v>284</v>
      </c>
      <c r="D111" s="114" t="s">
        <v>286</v>
      </c>
      <c r="E111" s="126"/>
      <c r="F111" s="115" t="s">
        <v>127</v>
      </c>
      <c r="G111" s="115">
        <v>1</v>
      </c>
      <c r="H111" s="115">
        <v>6</v>
      </c>
      <c r="I111" s="115">
        <v>20</v>
      </c>
      <c r="J111" s="115">
        <v>6</v>
      </c>
      <c r="K111" s="115" t="s">
        <v>60</v>
      </c>
      <c r="L111" s="115" t="s">
        <v>61</v>
      </c>
      <c r="M111" s="117">
        <v>484</v>
      </c>
      <c r="N111" s="115" t="s">
        <v>62</v>
      </c>
      <c r="O111" s="117" t="s">
        <v>63</v>
      </c>
      <c r="P111" s="118" t="s">
        <v>63</v>
      </c>
      <c r="Q111" s="114"/>
      <c r="R111" s="115" t="s">
        <v>120</v>
      </c>
      <c r="S111" s="115" t="s">
        <v>96</v>
      </c>
      <c r="T111" s="118" t="s">
        <v>63</v>
      </c>
    </row>
    <row r="112" spans="1:20" ht="36">
      <c r="A112" s="114">
        <v>111</v>
      </c>
      <c r="B112" s="114" t="s">
        <v>123</v>
      </c>
      <c r="C112" s="114" t="s">
        <v>284</v>
      </c>
      <c r="D112" s="114" t="s">
        <v>287</v>
      </c>
      <c r="E112" s="126"/>
      <c r="F112" s="115" t="s">
        <v>127</v>
      </c>
      <c r="G112" s="115">
        <v>1</v>
      </c>
      <c r="H112" s="115">
        <v>6</v>
      </c>
      <c r="I112" s="115">
        <v>20</v>
      </c>
      <c r="J112" s="115">
        <v>6</v>
      </c>
      <c r="K112" s="115" t="s">
        <v>60</v>
      </c>
      <c r="L112" s="115" t="s">
        <v>61</v>
      </c>
      <c r="M112" s="117">
        <v>484</v>
      </c>
      <c r="N112" s="115" t="s">
        <v>62</v>
      </c>
      <c r="O112" s="117" t="s">
        <v>63</v>
      </c>
      <c r="P112" s="118" t="s">
        <v>63</v>
      </c>
      <c r="Q112" s="114"/>
      <c r="R112" s="115" t="s">
        <v>120</v>
      </c>
      <c r="S112" s="115" t="s">
        <v>96</v>
      </c>
      <c r="T112" s="118" t="s">
        <v>63</v>
      </c>
    </row>
    <row r="113" spans="1:20" ht="36">
      <c r="A113" s="114">
        <v>112</v>
      </c>
      <c r="B113" s="114" t="s">
        <v>123</v>
      </c>
      <c r="C113" s="114" t="s">
        <v>284</v>
      </c>
      <c r="D113" s="114" t="s">
        <v>288</v>
      </c>
      <c r="E113" s="126"/>
      <c r="F113" s="115" t="s">
        <v>127</v>
      </c>
      <c r="G113" s="115">
        <v>1</v>
      </c>
      <c r="H113" s="115">
        <v>6</v>
      </c>
      <c r="I113" s="115">
        <v>20</v>
      </c>
      <c r="J113" s="115">
        <v>6</v>
      </c>
      <c r="K113" s="115" t="s">
        <v>60</v>
      </c>
      <c r="L113" s="115" t="s">
        <v>61</v>
      </c>
      <c r="M113" s="117">
        <v>484</v>
      </c>
      <c r="N113" s="115" t="s">
        <v>62</v>
      </c>
      <c r="O113" s="117" t="s">
        <v>63</v>
      </c>
      <c r="P113" s="118" t="s">
        <v>64</v>
      </c>
      <c r="Q113" s="114"/>
      <c r="R113" s="115" t="s">
        <v>120</v>
      </c>
      <c r="S113" s="115" t="s">
        <v>96</v>
      </c>
      <c r="T113" s="118" t="s">
        <v>63</v>
      </c>
    </row>
    <row r="114" spans="1:20" ht="36">
      <c r="A114" s="114">
        <v>113</v>
      </c>
      <c r="B114" s="114" t="s">
        <v>123</v>
      </c>
      <c r="C114" s="114" t="s">
        <v>284</v>
      </c>
      <c r="D114" s="114" t="s">
        <v>289</v>
      </c>
      <c r="E114" s="126"/>
      <c r="F114" s="115" t="s">
        <v>127</v>
      </c>
      <c r="G114" s="115">
        <v>1</v>
      </c>
      <c r="H114" s="115">
        <v>6</v>
      </c>
      <c r="I114" s="115">
        <v>20</v>
      </c>
      <c r="J114" s="115">
        <v>6</v>
      </c>
      <c r="K114" s="115" t="s">
        <v>60</v>
      </c>
      <c r="L114" s="115" t="s">
        <v>61</v>
      </c>
      <c r="M114" s="117">
        <v>484</v>
      </c>
      <c r="N114" s="115" t="s">
        <v>62</v>
      </c>
      <c r="O114" s="117" t="s">
        <v>63</v>
      </c>
      <c r="P114" s="118" t="s">
        <v>64</v>
      </c>
      <c r="Q114" s="114"/>
      <c r="R114" s="115" t="s">
        <v>120</v>
      </c>
      <c r="S114" s="115" t="s">
        <v>96</v>
      </c>
      <c r="T114" s="118" t="s">
        <v>63</v>
      </c>
    </row>
    <row r="115" spans="1:20" ht="36">
      <c r="A115" s="114">
        <v>114</v>
      </c>
      <c r="B115" s="114" t="s">
        <v>123</v>
      </c>
      <c r="C115" s="114" t="s">
        <v>284</v>
      </c>
      <c r="D115" s="114" t="s">
        <v>290</v>
      </c>
      <c r="E115" s="126"/>
      <c r="F115" s="115" t="s">
        <v>127</v>
      </c>
      <c r="G115" s="115">
        <v>1</v>
      </c>
      <c r="H115" s="115">
        <v>6</v>
      </c>
      <c r="I115" s="115">
        <v>20</v>
      </c>
      <c r="J115" s="115">
        <v>6</v>
      </c>
      <c r="K115" s="115" t="s">
        <v>60</v>
      </c>
      <c r="L115" s="115" t="s">
        <v>61</v>
      </c>
      <c r="M115" s="117">
        <v>484</v>
      </c>
      <c r="N115" s="115" t="s">
        <v>62</v>
      </c>
      <c r="O115" s="117" t="s">
        <v>63</v>
      </c>
      <c r="P115" s="118" t="s">
        <v>64</v>
      </c>
      <c r="Q115" s="114"/>
      <c r="R115" s="115" t="s">
        <v>120</v>
      </c>
      <c r="S115" s="115" t="s">
        <v>96</v>
      </c>
      <c r="T115" s="118" t="s">
        <v>63</v>
      </c>
    </row>
    <row r="116" spans="1:20" ht="36">
      <c r="A116" s="114">
        <v>115</v>
      </c>
      <c r="B116" s="114" t="s">
        <v>123</v>
      </c>
      <c r="C116" s="114" t="s">
        <v>284</v>
      </c>
      <c r="D116" s="114" t="s">
        <v>291</v>
      </c>
      <c r="E116" s="126"/>
      <c r="F116" s="115" t="s">
        <v>127</v>
      </c>
      <c r="G116" s="115">
        <v>1</v>
      </c>
      <c r="H116" s="115">
        <v>6</v>
      </c>
      <c r="I116" s="115">
        <v>20</v>
      </c>
      <c r="J116" s="115">
        <v>6</v>
      </c>
      <c r="K116" s="115" t="s">
        <v>60</v>
      </c>
      <c r="L116" s="115" t="s">
        <v>61</v>
      </c>
      <c r="M116" s="117">
        <v>484</v>
      </c>
      <c r="N116" s="115" t="s">
        <v>62</v>
      </c>
      <c r="O116" s="117" t="s">
        <v>63</v>
      </c>
      <c r="P116" s="118" t="s">
        <v>64</v>
      </c>
      <c r="Q116" s="114"/>
      <c r="R116" s="115" t="s">
        <v>120</v>
      </c>
      <c r="S116" s="115" t="s">
        <v>96</v>
      </c>
      <c r="T116" s="118" t="s">
        <v>63</v>
      </c>
    </row>
  </sheetData>
  <sheetProtection formatCells="0" formatColumns="0" formatRows="0" insertColumns="0" insertRows="0" insertHyperlinks="0" deleteColumns="0" deleteRows="0"/>
  <protectedRanges>
    <protectedRange algorithmName="SHA-512" hashValue="CQpFda0x1LJiowBRnJ3300QaQczxsEKOcQjQYgQv5DhL+DTYSOGMWzFOCUZBqGeUnyQ1eWk8V0Up/vJtEG8HNg==" saltValue="kELK6omg5AiPl6oZN+CvuA==" spinCount="100000" sqref="A1:T1" name="Rango1"/>
  </protectedRanges>
  <phoneticPr fontId="26" type="noConversion"/>
  <conditionalFormatting sqref="T1:T1048576">
    <cfRule type="cellIs" dxfId="70" priority="1" operator="equal">
      <formula>"NO"</formula>
    </cfRule>
    <cfRule type="cellIs" dxfId="69" priority="2" operator="equal">
      <formula>"SI"</formula>
    </cfRule>
  </conditionalFormatting>
  <dataValidations count="1">
    <dataValidation type="list" allowBlank="1" showInputMessage="1" showErrorMessage="1" sqref="T2:T116 O2:O116" xr:uid="{FFF403BE-3641-4AF1-98CF-8E04C2D040BB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AC406"/>
  <sheetViews>
    <sheetView zoomScale="82" zoomScaleNormal="82" workbookViewId="0">
      <pane ySplit="2" topLeftCell="A114" activePane="bottomLeft" state="frozen"/>
      <selection pane="bottomLeft" activeCell="I117" sqref="H3:I117"/>
      <selection activeCell="A2" sqref="A2"/>
    </sheetView>
  </sheetViews>
  <sheetFormatPr defaultColWidth="11.42578125" defaultRowHeight="15"/>
  <cols>
    <col min="1" max="1" width="5.5703125" style="7" customWidth="1"/>
    <col min="2" max="2" width="11.42578125" style="7" customWidth="1"/>
    <col min="3" max="3" width="24.28515625" style="7" customWidth="1"/>
    <col min="4" max="4" width="23.42578125" style="7" customWidth="1"/>
    <col min="5" max="5" width="12.7109375" style="7" customWidth="1"/>
    <col min="6" max="9" width="6.5703125" style="7" customWidth="1"/>
    <col min="10" max="10" width="17.140625" style="3" customWidth="1"/>
    <col min="11" max="11" width="16.5703125" style="3" customWidth="1"/>
    <col min="12" max="12" width="15.5703125" style="3" customWidth="1"/>
    <col min="13" max="13" width="16.7109375" style="3" customWidth="1"/>
    <col min="14" max="14" width="13.28515625" style="3" customWidth="1"/>
    <col min="15" max="15" width="15.42578125" style="3" customWidth="1"/>
    <col min="16" max="16" width="15.28515625" style="3" customWidth="1"/>
    <col min="17" max="17" width="34.7109375" style="3" customWidth="1"/>
  </cols>
  <sheetData>
    <row r="1" spans="1:17" ht="33.75" customHeight="1">
      <c r="A1" s="134" t="s">
        <v>35</v>
      </c>
      <c r="B1" s="22"/>
      <c r="C1" s="134" t="s">
        <v>37</v>
      </c>
      <c r="D1" s="134" t="s">
        <v>38</v>
      </c>
      <c r="E1" s="138" t="s">
        <v>40</v>
      </c>
      <c r="F1" s="140" t="s">
        <v>41</v>
      </c>
      <c r="G1" s="141" t="s">
        <v>42</v>
      </c>
      <c r="H1" s="141" t="s">
        <v>43</v>
      </c>
      <c r="I1" s="142" t="s">
        <v>44</v>
      </c>
      <c r="J1" s="24" t="s">
        <v>292</v>
      </c>
      <c r="K1" s="24" t="s">
        <v>293</v>
      </c>
      <c r="L1" s="24" t="s">
        <v>294</v>
      </c>
      <c r="M1" s="24" t="s">
        <v>295</v>
      </c>
      <c r="N1" s="24" t="s">
        <v>296</v>
      </c>
      <c r="O1" s="24" t="s">
        <v>297</v>
      </c>
      <c r="P1" s="24" t="s">
        <v>298</v>
      </c>
      <c r="Q1" s="136" t="s">
        <v>299</v>
      </c>
    </row>
    <row r="2" spans="1:17" ht="94.9" customHeight="1">
      <c r="A2" s="135"/>
      <c r="B2" s="23" t="s">
        <v>300</v>
      </c>
      <c r="C2" s="135"/>
      <c r="D2" s="135"/>
      <c r="E2" s="139"/>
      <c r="F2" s="140"/>
      <c r="G2" s="141"/>
      <c r="H2" s="141"/>
      <c r="I2" s="142"/>
      <c r="J2" s="20" t="s">
        <v>301</v>
      </c>
      <c r="K2" s="20" t="s">
        <v>302</v>
      </c>
      <c r="L2" s="21" t="s">
        <v>303</v>
      </c>
      <c r="M2" s="21" t="s">
        <v>304</v>
      </c>
      <c r="N2" s="20" t="s">
        <v>305</v>
      </c>
      <c r="O2" s="20" t="s">
        <v>306</v>
      </c>
      <c r="P2" s="20" t="s">
        <v>307</v>
      </c>
      <c r="Q2" s="137"/>
    </row>
    <row r="3" spans="1:17" ht="38.450000000000003" customHeight="1">
      <c r="A3" s="62">
        <f>Datos!A2</f>
        <v>1</v>
      </c>
      <c r="B3" s="62" t="str">
        <f>Datos!B2</f>
        <v>Congelado</v>
      </c>
      <c r="C3" s="62" t="str">
        <f>Datos!C2</f>
        <v xml:space="preserve">Operador sala de cajas </v>
      </c>
      <c r="D3" s="62" t="str">
        <f>Datos!D2</f>
        <v>Armado de cajas (tapa Vetado)</v>
      </c>
      <c r="E3" s="63" t="str">
        <f>Datos!F2</f>
        <v>Am 07:40 a 15:30       Pm 18:10 a 03:30</v>
      </c>
      <c r="F3" s="63">
        <f>Datos!G2</f>
        <v>1</v>
      </c>
      <c r="G3" s="63">
        <f>Datos!H2</f>
        <v>6</v>
      </c>
      <c r="H3" s="63">
        <f>Datos!I2</f>
        <v>11</v>
      </c>
      <c r="I3" s="63">
        <f>Datos!J2</f>
        <v>5</v>
      </c>
      <c r="J3" s="6" t="s">
        <v>63</v>
      </c>
      <c r="K3" s="6" t="s">
        <v>64</v>
      </c>
      <c r="L3" s="6" t="s">
        <v>64</v>
      </c>
      <c r="M3" s="6" t="s">
        <v>64</v>
      </c>
      <c r="N3" s="6" t="s">
        <v>64</v>
      </c>
      <c r="O3" s="6" t="s">
        <v>64</v>
      </c>
      <c r="P3" s="6" t="s">
        <v>64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5">
      <c r="A4" s="62">
        <f>Datos!A3</f>
        <v>2</v>
      </c>
      <c r="B4" s="62" t="str">
        <f>Datos!B3</f>
        <v>Congelado</v>
      </c>
      <c r="C4" s="62" t="str">
        <f>Datos!C3</f>
        <v xml:space="preserve">Operador sala de cajas </v>
      </c>
      <c r="D4" s="62" t="str">
        <f>Datos!D3</f>
        <v>Armado de cajas (fondo Vetado)</v>
      </c>
      <c r="E4" s="63" t="str">
        <f>Datos!F3</f>
        <v>Am 07:40 a 15:30       Pm 18:10 a 03:31</v>
      </c>
      <c r="F4" s="63">
        <f>Datos!G3</f>
        <v>1</v>
      </c>
      <c r="G4" s="63">
        <f>Datos!H3</f>
        <v>6</v>
      </c>
      <c r="H4" s="63">
        <f>Datos!I3</f>
        <v>11</v>
      </c>
      <c r="I4" s="63">
        <f>Datos!J3</f>
        <v>5</v>
      </c>
      <c r="J4" s="6" t="s">
        <v>63</v>
      </c>
      <c r="K4" s="6" t="s">
        <v>64</v>
      </c>
      <c r="L4" s="6" t="s">
        <v>64</v>
      </c>
      <c r="M4" s="6" t="s">
        <v>64</v>
      </c>
      <c r="N4" s="6" t="s">
        <v>64</v>
      </c>
      <c r="O4" s="6" t="s">
        <v>64</v>
      </c>
      <c r="P4" s="6" t="s">
        <v>64</v>
      </c>
      <c r="Q4" s="6" t="str">
        <f t="shared" ref="Q4:Q47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5">
      <c r="A5" s="62">
        <f>Datos!A4</f>
        <v>3</v>
      </c>
      <c r="B5" s="62" t="str">
        <f>Datos!B4</f>
        <v>Congelado</v>
      </c>
      <c r="C5" s="62" t="str">
        <f>Datos!C4</f>
        <v xml:space="preserve">Operador sala de cajas </v>
      </c>
      <c r="D5" s="62" t="str">
        <f>Datos!D4</f>
        <v>Armado de cajas (Tapa Mloin)</v>
      </c>
      <c r="E5" s="63" t="str">
        <f>Datos!F4</f>
        <v>Am 07:40 a 15:30       Pm 18:10 a 03:32</v>
      </c>
      <c r="F5" s="63">
        <f>Datos!G4</f>
        <v>1</v>
      </c>
      <c r="G5" s="63">
        <f>Datos!H4</f>
        <v>6</v>
      </c>
      <c r="H5" s="63">
        <f>Datos!I4</f>
        <v>11</v>
      </c>
      <c r="I5" s="63">
        <f>Datos!J4</f>
        <v>5</v>
      </c>
      <c r="J5" s="6" t="s">
        <v>63</v>
      </c>
      <c r="K5" s="6" t="s">
        <v>64</v>
      </c>
      <c r="L5" s="6" t="s">
        <v>64</v>
      </c>
      <c r="M5" s="6" t="s">
        <v>64</v>
      </c>
      <c r="N5" s="6" t="s">
        <v>64</v>
      </c>
      <c r="O5" s="6" t="s">
        <v>64</v>
      </c>
      <c r="P5" s="6" t="s">
        <v>64</v>
      </c>
      <c r="Q5" s="6" t="str">
        <f t="shared" si="0"/>
        <v>Aplicar identificación avanzada-condición aceptable para cada tipo de factor de riesgo identificado</v>
      </c>
    </row>
    <row r="6" spans="1:17" ht="45">
      <c r="A6" s="62">
        <f>Datos!A5</f>
        <v>4</v>
      </c>
      <c r="B6" s="62" t="str">
        <f>Datos!B5</f>
        <v>Congelado</v>
      </c>
      <c r="C6" s="62" t="str">
        <f>Datos!C5</f>
        <v xml:space="preserve">Operador sala de cajas </v>
      </c>
      <c r="D6" s="62" t="str">
        <f>Datos!D5</f>
        <v>Armado de cajas (Fondo Mloin)</v>
      </c>
      <c r="E6" s="63" t="str">
        <f>Datos!F5</f>
        <v>Am 07:40 a 15:30       Pm 18:10 a 03:33</v>
      </c>
      <c r="F6" s="63">
        <f>Datos!G5</f>
        <v>1</v>
      </c>
      <c r="G6" s="63">
        <f>Datos!H5</f>
        <v>6</v>
      </c>
      <c r="H6" s="63">
        <f>Datos!I5</f>
        <v>11</v>
      </c>
      <c r="I6" s="63">
        <f>Datos!J5</f>
        <v>5</v>
      </c>
      <c r="J6" s="6" t="s">
        <v>63</v>
      </c>
      <c r="K6" s="6" t="s">
        <v>64</v>
      </c>
      <c r="L6" s="6" t="s">
        <v>64</v>
      </c>
      <c r="M6" s="6" t="s">
        <v>64</v>
      </c>
      <c r="N6" s="6" t="s">
        <v>64</v>
      </c>
      <c r="O6" s="6" t="s">
        <v>64</v>
      </c>
      <c r="P6" s="6" t="s">
        <v>64</v>
      </c>
      <c r="Q6" s="6" t="str">
        <f t="shared" si="0"/>
        <v>Aplicar identificación avanzada-condición aceptable para cada tipo de factor de riesgo identificado</v>
      </c>
    </row>
    <row r="7" spans="1:17" ht="45">
      <c r="A7" s="62">
        <f>Datos!A6</f>
        <v>5</v>
      </c>
      <c r="B7" s="62" t="str">
        <f>Datos!B6</f>
        <v>Congelado</v>
      </c>
      <c r="C7" s="62" t="str">
        <f>Datos!C6</f>
        <v xml:space="preserve">Operador sala de cajas </v>
      </c>
      <c r="D7" s="62" t="str">
        <f>Datos!D6</f>
        <v xml:space="preserve">Armado de Cajas Tapa Panceta </v>
      </c>
      <c r="E7" s="63" t="str">
        <f>Datos!F6</f>
        <v>Am 07:40 a 15:30       Pm 18:10 a 03:34</v>
      </c>
      <c r="F7" s="63">
        <f>Datos!G6</f>
        <v>1</v>
      </c>
      <c r="G7" s="63">
        <f>Datos!H6</f>
        <v>6</v>
      </c>
      <c r="H7" s="63">
        <f>Datos!I6</f>
        <v>11</v>
      </c>
      <c r="I7" s="63">
        <f>Datos!J6</f>
        <v>5</v>
      </c>
      <c r="J7" s="6" t="s">
        <v>63</v>
      </c>
      <c r="K7" s="6" t="s">
        <v>64</v>
      </c>
      <c r="L7" s="6" t="s">
        <v>64</v>
      </c>
      <c r="M7" s="6" t="s">
        <v>64</v>
      </c>
      <c r="N7" s="6" t="s">
        <v>64</v>
      </c>
      <c r="O7" s="6" t="s">
        <v>64</v>
      </c>
      <c r="P7" s="6" t="s">
        <v>64</v>
      </c>
      <c r="Q7" s="6" t="str">
        <f t="shared" si="0"/>
        <v>Aplicar identificación avanzada-condición aceptable para cada tipo de factor de riesgo identificado</v>
      </c>
    </row>
    <row r="8" spans="1:17" ht="45">
      <c r="A8" s="62">
        <f>Datos!A7</f>
        <v>6</v>
      </c>
      <c r="B8" s="62" t="str">
        <f>Datos!B7</f>
        <v>Congelado</v>
      </c>
      <c r="C8" s="62" t="str">
        <f>Datos!C7</f>
        <v xml:space="preserve">Operador sala de cajas </v>
      </c>
      <c r="D8" s="62" t="str">
        <f>Datos!D7</f>
        <v>Armado Caja Fondo Panceta</v>
      </c>
      <c r="E8" s="63" t="str">
        <f>Datos!F7</f>
        <v>Am 07:40 a 15:30       Pm 18:10 a 03:35</v>
      </c>
      <c r="F8" s="63">
        <f>Datos!G7</f>
        <v>1</v>
      </c>
      <c r="G8" s="63">
        <f>Datos!H7</f>
        <v>6</v>
      </c>
      <c r="H8" s="63">
        <f>Datos!I7</f>
        <v>11</v>
      </c>
      <c r="I8" s="63">
        <f>Datos!J7</f>
        <v>5</v>
      </c>
      <c r="J8" s="6" t="s">
        <v>63</v>
      </c>
      <c r="K8" s="6" t="s">
        <v>64</v>
      </c>
      <c r="L8" s="6" t="s">
        <v>64</v>
      </c>
      <c r="M8" s="6" t="s">
        <v>64</v>
      </c>
      <c r="N8" s="6" t="s">
        <v>64</v>
      </c>
      <c r="O8" s="6" t="s">
        <v>64</v>
      </c>
      <c r="P8" s="6" t="s">
        <v>64</v>
      </c>
      <c r="Q8" s="6" t="str">
        <f t="shared" si="0"/>
        <v>Aplicar identificación avanzada-condición aceptable para cada tipo de factor de riesgo identificado</v>
      </c>
    </row>
    <row r="9" spans="1:17" ht="45">
      <c r="A9" s="62">
        <f>Datos!A8</f>
        <v>7</v>
      </c>
      <c r="B9" s="62" t="str">
        <f>Datos!B8</f>
        <v>Congelado</v>
      </c>
      <c r="C9" s="62" t="str">
        <f>Datos!C8</f>
        <v xml:space="preserve">Operador sala de cajas </v>
      </c>
      <c r="D9" s="62" t="str">
        <f>Datos!D8</f>
        <v>Armado de cajas (Tapa Filete)</v>
      </c>
      <c r="E9" s="63" t="str">
        <f>Datos!F8</f>
        <v>Am 07:40 a 15:30       Pm 18:10 a 03:36</v>
      </c>
      <c r="F9" s="63">
        <f>Datos!G8</f>
        <v>1</v>
      </c>
      <c r="G9" s="63">
        <f>Datos!H8</f>
        <v>6</v>
      </c>
      <c r="H9" s="63">
        <f>Datos!I8</f>
        <v>11</v>
      </c>
      <c r="I9" s="63">
        <f>Datos!J8</f>
        <v>5</v>
      </c>
      <c r="J9" s="6" t="s">
        <v>63</v>
      </c>
      <c r="K9" s="6" t="s">
        <v>64</v>
      </c>
      <c r="L9" s="6" t="s">
        <v>64</v>
      </c>
      <c r="M9" s="6" t="s">
        <v>64</v>
      </c>
      <c r="N9" s="6" t="s">
        <v>64</v>
      </c>
      <c r="O9" s="6" t="s">
        <v>64</v>
      </c>
      <c r="P9" s="6" t="s">
        <v>64</v>
      </c>
      <c r="Q9" s="6" t="str">
        <f t="shared" si="0"/>
        <v>Aplicar identificación avanzada-condición aceptable para cada tipo de factor de riesgo identificado</v>
      </c>
    </row>
    <row r="10" spans="1:17" ht="45">
      <c r="A10" s="62">
        <f>Datos!A9</f>
        <v>8</v>
      </c>
      <c r="B10" s="62" t="str">
        <f>Datos!B9</f>
        <v>Congelado</v>
      </c>
      <c r="C10" s="62" t="str">
        <f>Datos!C9</f>
        <v xml:space="preserve">Operador sala de cajas </v>
      </c>
      <c r="D10" s="62" t="str">
        <f>Datos!D9</f>
        <v>Armado de cajas (Fondo Filete)</v>
      </c>
      <c r="E10" s="63" t="str">
        <f>Datos!F9</f>
        <v>Am 07:40 a 15:30       Pm 18:10 a 03:37</v>
      </c>
      <c r="F10" s="63">
        <f>Datos!G9</f>
        <v>1</v>
      </c>
      <c r="G10" s="63">
        <f>Datos!H9</f>
        <v>6</v>
      </c>
      <c r="H10" s="63">
        <f>Datos!I9</f>
        <v>11</v>
      </c>
      <c r="I10" s="63">
        <f>Datos!J9</f>
        <v>5</v>
      </c>
      <c r="J10" s="6" t="s">
        <v>63</v>
      </c>
      <c r="K10" s="6" t="s">
        <v>64</v>
      </c>
      <c r="L10" s="6" t="s">
        <v>64</v>
      </c>
      <c r="M10" s="6" t="s">
        <v>64</v>
      </c>
      <c r="N10" s="6" t="s">
        <v>64</v>
      </c>
      <c r="O10" s="6" t="s">
        <v>64</v>
      </c>
      <c r="P10" s="6" t="s">
        <v>64</v>
      </c>
      <c r="Q10" s="6" t="str">
        <f t="shared" si="0"/>
        <v>Aplicar identificación avanzada-condición aceptable para cada tipo de factor de riesgo identificado</v>
      </c>
    </row>
    <row r="11" spans="1:17" ht="45">
      <c r="A11" s="62">
        <f>Datos!A10</f>
        <v>9</v>
      </c>
      <c r="B11" s="62" t="str">
        <f>Datos!B10</f>
        <v>Congelado</v>
      </c>
      <c r="C11" s="62" t="str">
        <f>Datos!C10</f>
        <v xml:space="preserve">Operador sala de cajas </v>
      </c>
      <c r="D11" s="62" t="str">
        <f>Datos!D10</f>
        <v>Armado de cajas (Fondo Filete)</v>
      </c>
      <c r="E11" s="63" t="str">
        <f>Datos!F10</f>
        <v>Am 07:40 a 15:30       Pm 18:10 a 03:38</v>
      </c>
      <c r="F11" s="63">
        <f>Datos!G10</f>
        <v>1</v>
      </c>
      <c r="G11" s="63">
        <f>Datos!H10</f>
        <v>6</v>
      </c>
      <c r="H11" s="63">
        <f>Datos!I10</f>
        <v>11</v>
      </c>
      <c r="I11" s="63">
        <f>Datos!J10</f>
        <v>5</v>
      </c>
      <c r="J11" s="6" t="s">
        <v>63</v>
      </c>
      <c r="K11" s="6" t="s">
        <v>64</v>
      </c>
      <c r="L11" s="6" t="s">
        <v>64</v>
      </c>
      <c r="M11" s="6" t="s">
        <v>64</v>
      </c>
      <c r="N11" s="6" t="s">
        <v>64</v>
      </c>
      <c r="O11" s="6" t="s">
        <v>64</v>
      </c>
      <c r="P11" s="6" t="s">
        <v>64</v>
      </c>
      <c r="Q11" s="6" t="str">
        <f t="shared" si="0"/>
        <v>Aplicar identificación avanzada-condición aceptable para cada tipo de factor de riesgo identificado</v>
      </c>
    </row>
    <row r="12" spans="1:17" ht="45">
      <c r="A12" s="62">
        <f>Datos!A11</f>
        <v>10</v>
      </c>
      <c r="B12" s="62" t="str">
        <f>Datos!B11</f>
        <v>Congelado</v>
      </c>
      <c r="C12" s="62" t="str">
        <f>Datos!C11</f>
        <v xml:space="preserve">Operador sala de cajas </v>
      </c>
      <c r="D12" s="62" t="str">
        <f>Datos!D11</f>
        <v xml:space="preserve">Recibir Fondos y tapas </v>
      </c>
      <c r="E12" s="63" t="str">
        <f>Datos!F11</f>
        <v>Am 07:40 a 15:30       Pm 18:10 a 03:39</v>
      </c>
      <c r="F12" s="63">
        <f>Datos!G11</f>
        <v>1</v>
      </c>
      <c r="G12" s="63">
        <f>Datos!H11</f>
        <v>6</v>
      </c>
      <c r="H12" s="63">
        <f>Datos!I11</f>
        <v>11</v>
      </c>
      <c r="I12" s="63">
        <f>Datos!J11</f>
        <v>5</v>
      </c>
      <c r="J12" s="6" t="s">
        <v>63</v>
      </c>
      <c r="K12" s="6" t="s">
        <v>64</v>
      </c>
      <c r="L12" s="6" t="s">
        <v>64</v>
      </c>
      <c r="M12" s="6" t="s">
        <v>64</v>
      </c>
      <c r="N12" s="6" t="s">
        <v>64</v>
      </c>
      <c r="O12" s="6" t="s">
        <v>64</v>
      </c>
      <c r="P12" s="6" t="s">
        <v>64</v>
      </c>
      <c r="Q12" s="6" t="str">
        <f t="shared" si="0"/>
        <v>Aplicar identificación avanzada-condición aceptable para cada tipo de factor de riesgo identificado</v>
      </c>
    </row>
    <row r="13" spans="1:17" ht="45">
      <c r="A13" s="62">
        <f>Datos!A12</f>
        <v>11</v>
      </c>
      <c r="B13" s="62" t="str">
        <f>Datos!B12</f>
        <v>Congelado</v>
      </c>
      <c r="C13" s="62" t="str">
        <f>Datos!C12</f>
        <v xml:space="preserve">Operador sala de cajas </v>
      </c>
      <c r="D13" s="62" t="str">
        <f>Datos!D12</f>
        <v xml:space="preserve">Colgar Fondos y Tapas </v>
      </c>
      <c r="E13" s="63" t="str">
        <f>Datos!F12</f>
        <v>Am 07:40 a 15:30       Pm 18:10 a 03:40</v>
      </c>
      <c r="F13" s="63">
        <f>Datos!G12</f>
        <v>1</v>
      </c>
      <c r="G13" s="63">
        <f>Datos!H12</f>
        <v>6</v>
      </c>
      <c r="H13" s="63">
        <f>Datos!I12</f>
        <v>11</v>
      </c>
      <c r="I13" s="63">
        <f>Datos!J12</f>
        <v>5</v>
      </c>
      <c r="J13" s="6" t="s">
        <v>63</v>
      </c>
      <c r="K13" s="6" t="s">
        <v>64</v>
      </c>
      <c r="L13" s="6" t="s">
        <v>64</v>
      </c>
      <c r="M13" s="6" t="s">
        <v>64</v>
      </c>
      <c r="N13" s="6" t="s">
        <v>64</v>
      </c>
      <c r="O13" s="6" t="s">
        <v>64</v>
      </c>
      <c r="P13" s="6" t="s">
        <v>64</v>
      </c>
      <c r="Q13" s="6" t="str">
        <f t="shared" si="0"/>
        <v>Aplicar identificación avanzada-condición aceptable para cada tipo de factor de riesgo identificado</v>
      </c>
    </row>
    <row r="14" spans="1:17" ht="45">
      <c r="A14" s="62">
        <f>Datos!A13</f>
        <v>12</v>
      </c>
      <c r="B14" s="62" t="str">
        <f>Datos!B13</f>
        <v>Congelado</v>
      </c>
      <c r="C14" s="62" t="str">
        <f>Datos!C13</f>
        <v>Operador sala Congelado</v>
      </c>
      <c r="D14" s="62" t="str">
        <f>Datos!D13</f>
        <v>Calibrar</v>
      </c>
      <c r="E14" s="63" t="str">
        <f>Datos!F13</f>
        <v xml:space="preserve">Am 07:40 a 15:30      Pm 18:10 a 03:30 </v>
      </c>
      <c r="F14" s="63">
        <f>Datos!G13</f>
        <v>1</v>
      </c>
      <c r="G14" s="63">
        <f>Datos!H13</f>
        <v>6</v>
      </c>
      <c r="H14" s="63">
        <f>Datos!I13</f>
        <v>24</v>
      </c>
      <c r="I14" s="63">
        <f>Datos!J13</f>
        <v>0</v>
      </c>
      <c r="J14" s="6" t="s">
        <v>63</v>
      </c>
      <c r="K14" s="6" t="s">
        <v>64</v>
      </c>
      <c r="L14" s="6" t="s">
        <v>64</v>
      </c>
      <c r="M14" s="6" t="s">
        <v>64</v>
      </c>
      <c r="N14" s="6" t="s">
        <v>64</v>
      </c>
      <c r="O14" s="6" t="s">
        <v>64</v>
      </c>
      <c r="P14" s="6" t="s">
        <v>64</v>
      </c>
      <c r="Q14" s="6" t="str">
        <f t="shared" si="0"/>
        <v>Aplicar identificación avanzada-condición aceptable para cada tipo de factor de riesgo identificado</v>
      </c>
    </row>
    <row r="15" spans="1:17" ht="75">
      <c r="A15" s="62">
        <f>Datos!A14</f>
        <v>13</v>
      </c>
      <c r="B15" s="62" t="str">
        <f>Datos!B14</f>
        <v>Congelado</v>
      </c>
      <c r="C15" s="62" t="str">
        <f>Datos!C14</f>
        <v>Operador sala Congelado</v>
      </c>
      <c r="D15" s="62" t="str">
        <f>Datos!D14</f>
        <v>Palletizar</v>
      </c>
      <c r="E15" s="63" t="str">
        <f>Datos!F14</f>
        <v>Am 07:40 a 15:30       Pm 18:10 a 03:30 Puente: 13:10 a 22:30</v>
      </c>
      <c r="F15" s="63">
        <f>Datos!G14</f>
        <v>1</v>
      </c>
      <c r="G15" s="63">
        <f>Datos!H14</f>
        <v>6</v>
      </c>
      <c r="H15" s="63">
        <f>Datos!I14</f>
        <v>24</v>
      </c>
      <c r="I15" s="63">
        <f>Datos!J14</f>
        <v>0</v>
      </c>
      <c r="J15" s="6" t="s">
        <v>63</v>
      </c>
      <c r="K15" s="6" t="s">
        <v>64</v>
      </c>
      <c r="L15" s="6" t="s">
        <v>63</v>
      </c>
      <c r="M15" s="6" t="s">
        <v>64</v>
      </c>
      <c r="N15" s="6" t="s">
        <v>64</v>
      </c>
      <c r="O15" s="6" t="s">
        <v>64</v>
      </c>
      <c r="P15" s="6" t="s">
        <v>64</v>
      </c>
      <c r="Q15" s="6" t="str">
        <f t="shared" si="0"/>
        <v>Aplicar identificación avanzada-condición aceptable para cada tipo de factor de riesgo identificado</v>
      </c>
    </row>
    <row r="16" spans="1:17" ht="45">
      <c r="A16" s="62">
        <f>Datos!A15</f>
        <v>14</v>
      </c>
      <c r="B16" s="62" t="str">
        <f>Datos!B15</f>
        <v>Congelado</v>
      </c>
      <c r="C16" s="62" t="str">
        <f>Datos!C15</f>
        <v>Operador sala Congelado</v>
      </c>
      <c r="D16" s="62" t="str">
        <f>Datos!D15</f>
        <v>Romanero</v>
      </c>
      <c r="E16" s="63" t="str">
        <f>Datos!F15</f>
        <v>Am 07:40 a 15:30       Pm 18:10 a 03:30</v>
      </c>
      <c r="F16" s="63">
        <f>Datos!G15</f>
        <v>1</v>
      </c>
      <c r="G16" s="63">
        <f>Datos!H15</f>
        <v>6</v>
      </c>
      <c r="H16" s="63">
        <f>Datos!I15</f>
        <v>10</v>
      </c>
      <c r="I16" s="63">
        <f>Datos!J15</f>
        <v>0</v>
      </c>
      <c r="J16" s="6" t="s">
        <v>63</v>
      </c>
      <c r="K16" s="6" t="s">
        <v>64</v>
      </c>
      <c r="L16" s="6" t="s">
        <v>64</v>
      </c>
      <c r="M16" s="6" t="s">
        <v>64</v>
      </c>
      <c r="N16" s="6" t="s">
        <v>64</v>
      </c>
      <c r="O16" s="6" t="s">
        <v>64</v>
      </c>
      <c r="P16" s="6" t="s">
        <v>64</v>
      </c>
      <c r="Q16" s="6" t="str">
        <f t="shared" si="0"/>
        <v>Aplicar identificación avanzada-condición aceptable para cada tipo de factor de riesgo identificado</v>
      </c>
    </row>
    <row r="17" spans="1:17" ht="45">
      <c r="A17" s="62">
        <f>Datos!A16</f>
        <v>15</v>
      </c>
      <c r="B17" s="62" t="str">
        <f>Datos!B16</f>
        <v>Congelado</v>
      </c>
      <c r="C17" s="62" t="str">
        <f>Datos!C16</f>
        <v>Operador sala Congelado</v>
      </c>
      <c r="D17" s="62" t="str">
        <f>Datos!D16</f>
        <v>Etiquetar</v>
      </c>
      <c r="E17" s="63" t="str">
        <f>Datos!F16</f>
        <v>Am 07:40 a 15:30       Pm 18:10 a 03:30</v>
      </c>
      <c r="F17" s="63">
        <f>Datos!G16</f>
        <v>1</v>
      </c>
      <c r="G17" s="63">
        <f>Datos!H16</f>
        <v>6</v>
      </c>
      <c r="H17" s="63">
        <f>Datos!I16</f>
        <v>8</v>
      </c>
      <c r="I17" s="63">
        <f>Datos!J16</f>
        <v>0</v>
      </c>
      <c r="J17" s="6" t="s">
        <v>63</v>
      </c>
      <c r="K17" s="6" t="s">
        <v>64</v>
      </c>
      <c r="L17" s="6" t="s">
        <v>64</v>
      </c>
      <c r="M17" s="6" t="s">
        <v>64</v>
      </c>
      <c r="N17" s="6" t="s">
        <v>64</v>
      </c>
      <c r="O17" s="6" t="s">
        <v>64</v>
      </c>
      <c r="P17" s="6" t="s">
        <v>64</v>
      </c>
      <c r="Q17" s="6" t="str">
        <f t="shared" si="0"/>
        <v>Aplicar identificación avanzada-condición aceptable para cada tipo de factor de riesgo identificado</v>
      </c>
    </row>
    <row r="18" spans="1:17" ht="45">
      <c r="A18" s="62">
        <f>Datos!A17</f>
        <v>16</v>
      </c>
      <c r="B18" s="62" t="str">
        <f>Datos!B17</f>
        <v>Congelado</v>
      </c>
      <c r="C18" s="62" t="str">
        <f>Datos!C17</f>
        <v>Operador sala Congelado</v>
      </c>
      <c r="D18" s="62" t="str">
        <f>Datos!D17</f>
        <v>Direccionar Producto (Mal Enviado)</v>
      </c>
      <c r="E18" s="63" t="str">
        <f>Datos!F17</f>
        <v>Am 07:40 a 15:30       Pm 18:10 a 03:30</v>
      </c>
      <c r="F18" s="63">
        <f>Datos!G17</f>
        <v>1</v>
      </c>
      <c r="G18" s="63">
        <f>Datos!H17</f>
        <v>6</v>
      </c>
      <c r="H18" s="63">
        <f>Datos!I17</f>
        <v>2</v>
      </c>
      <c r="I18" s="63">
        <f>Datos!J17</f>
        <v>0</v>
      </c>
      <c r="J18" s="6" t="s">
        <v>63</v>
      </c>
      <c r="K18" s="6" t="s">
        <v>64</v>
      </c>
      <c r="L18" s="6" t="s">
        <v>64</v>
      </c>
      <c r="M18" s="6" t="s">
        <v>63</v>
      </c>
      <c r="N18" s="6" t="s">
        <v>64</v>
      </c>
      <c r="O18" s="6" t="s">
        <v>64</v>
      </c>
      <c r="P18" s="6" t="s">
        <v>64</v>
      </c>
      <c r="Q18" s="6" t="str">
        <f t="shared" si="0"/>
        <v>Aplicar identificación avanzada-condición aceptable para cada tipo de factor de riesgo identificado</v>
      </c>
    </row>
    <row r="19" spans="1:17" ht="45">
      <c r="A19" s="62">
        <f>Datos!A18</f>
        <v>17</v>
      </c>
      <c r="B19" s="62" t="str">
        <f>Datos!B18</f>
        <v>Congelado</v>
      </c>
      <c r="C19" s="62" t="str">
        <f>Datos!C18</f>
        <v>Operador sala Congelado</v>
      </c>
      <c r="D19" s="62" t="str">
        <f>Datos!D18</f>
        <v>Voltear Producto (Volteador)</v>
      </c>
      <c r="E19" s="63" t="str">
        <f>Datos!F18</f>
        <v>Am 07:40 a 15:30       Pm 18:10 a 03:30</v>
      </c>
      <c r="F19" s="63">
        <f>Datos!G18</f>
        <v>1</v>
      </c>
      <c r="G19" s="63">
        <f>Datos!H18</f>
        <v>6</v>
      </c>
      <c r="H19" s="63">
        <f>Datos!I18</f>
        <v>2</v>
      </c>
      <c r="I19" s="63">
        <f>Datos!J18</f>
        <v>0</v>
      </c>
      <c r="J19" s="6" t="s">
        <v>63</v>
      </c>
      <c r="K19" s="6" t="s">
        <v>64</v>
      </c>
      <c r="L19" s="6" t="s">
        <v>64</v>
      </c>
      <c r="M19" s="6" t="s">
        <v>63</v>
      </c>
      <c r="N19" s="6" t="s">
        <v>64</v>
      </c>
      <c r="O19" s="6" t="s">
        <v>64</v>
      </c>
      <c r="P19" s="6" t="s">
        <v>64</v>
      </c>
      <c r="Q19" s="6" t="str">
        <f t="shared" si="0"/>
        <v>Aplicar identificación avanzada-condición aceptable para cada tipo de factor de riesgo identificado</v>
      </c>
    </row>
    <row r="20" spans="1:17" ht="45">
      <c r="A20" s="62">
        <f>Datos!A19</f>
        <v>18</v>
      </c>
      <c r="B20" s="62" t="str">
        <f>Datos!B19</f>
        <v>Congelado</v>
      </c>
      <c r="C20" s="62" t="str">
        <f>Datos!C19</f>
        <v>Operador sala Congelado</v>
      </c>
      <c r="D20" s="62" t="str">
        <f>Datos!D19</f>
        <v>Embalar Vetado</v>
      </c>
      <c r="E20" s="63" t="str">
        <f>Datos!F19</f>
        <v>Am 07:40 a 15:30       Pm 18:10 a 03:30</v>
      </c>
      <c r="F20" s="63">
        <f>Datos!G19</f>
        <v>1</v>
      </c>
      <c r="G20" s="63">
        <f>Datos!H19</f>
        <v>6</v>
      </c>
      <c r="H20" s="63">
        <f>Datos!I19</f>
        <v>0</v>
      </c>
      <c r="I20" s="63">
        <f>Datos!J19</f>
        <v>12</v>
      </c>
      <c r="J20" s="6" t="s">
        <v>63</v>
      </c>
      <c r="K20" s="6" t="s">
        <v>64</v>
      </c>
      <c r="L20" s="6" t="s">
        <v>64</v>
      </c>
      <c r="M20" s="6" t="s">
        <v>64</v>
      </c>
      <c r="N20" s="6" t="s">
        <v>64</v>
      </c>
      <c r="O20" s="6" t="s">
        <v>64</v>
      </c>
      <c r="P20" s="6" t="s">
        <v>64</v>
      </c>
      <c r="Q20" s="6" t="str">
        <f t="shared" si="0"/>
        <v>Aplicar identificación avanzada-condición aceptable para cada tipo de factor de riesgo identificado</v>
      </c>
    </row>
    <row r="21" spans="1:17" ht="45">
      <c r="A21" s="62">
        <f>Datos!A20</f>
        <v>19</v>
      </c>
      <c r="B21" s="62" t="str">
        <f>Datos!B20</f>
        <v>Congelado</v>
      </c>
      <c r="C21" s="62" t="str">
        <f>Datos!C20</f>
        <v>Operador sala Congelado</v>
      </c>
      <c r="D21" s="62" t="str">
        <f>Datos!D20</f>
        <v>Embalar Panceta</v>
      </c>
      <c r="E21" s="63" t="str">
        <f>Datos!F20</f>
        <v>Am 07:40 a 15:30       Pm 18:10 a 03:30</v>
      </c>
      <c r="F21" s="63">
        <f>Datos!G20</f>
        <v>1</v>
      </c>
      <c r="G21" s="63">
        <f>Datos!H20</f>
        <v>6</v>
      </c>
      <c r="H21" s="63">
        <f>Datos!I20</f>
        <v>0</v>
      </c>
      <c r="I21" s="63">
        <f>Datos!J20</f>
        <v>12</v>
      </c>
      <c r="J21" s="6" t="s">
        <v>63</v>
      </c>
      <c r="K21" s="6" t="s">
        <v>64</v>
      </c>
      <c r="L21" s="6" t="s">
        <v>64</v>
      </c>
      <c r="M21" s="6" t="s">
        <v>64</v>
      </c>
      <c r="N21" s="6" t="s">
        <v>64</v>
      </c>
      <c r="O21" s="6" t="s">
        <v>64</v>
      </c>
      <c r="P21" s="6" t="s">
        <v>64</v>
      </c>
      <c r="Q21" s="6" t="str">
        <f t="shared" si="0"/>
        <v>Aplicar identificación avanzada-condición aceptable para cada tipo de factor de riesgo identificado</v>
      </c>
    </row>
    <row r="22" spans="1:17" ht="45">
      <c r="A22" s="62">
        <f>Datos!A21</f>
        <v>20</v>
      </c>
      <c r="B22" s="62" t="str">
        <f>Datos!B21</f>
        <v>Congelado</v>
      </c>
      <c r="C22" s="62" t="str">
        <f>Datos!C21</f>
        <v>Operador sala Congelado</v>
      </c>
      <c r="D22" s="62" t="str">
        <f>Datos!D21</f>
        <v xml:space="preserve">Embalar Filete </v>
      </c>
      <c r="E22" s="63" t="str">
        <f>Datos!F21</f>
        <v>Am 07:40 a 15:30       Pm 18:10 a 03:30</v>
      </c>
      <c r="F22" s="63">
        <f>Datos!G21</f>
        <v>1</v>
      </c>
      <c r="G22" s="63">
        <f>Datos!H21</f>
        <v>6</v>
      </c>
      <c r="H22" s="63">
        <f>Datos!I21</f>
        <v>0</v>
      </c>
      <c r="I22" s="63">
        <f>Datos!J21</f>
        <v>12</v>
      </c>
      <c r="J22" s="6" t="s">
        <v>63</v>
      </c>
      <c r="K22" s="6" t="s">
        <v>64</v>
      </c>
      <c r="L22" s="6" t="s">
        <v>64</v>
      </c>
      <c r="M22" s="6" t="s">
        <v>64</v>
      </c>
      <c r="N22" s="6" t="s">
        <v>64</v>
      </c>
      <c r="O22" s="6" t="s">
        <v>64</v>
      </c>
      <c r="P22" s="6" t="s">
        <v>64</v>
      </c>
      <c r="Q22" s="6" t="str">
        <f t="shared" si="0"/>
        <v>Aplicar identificación avanzada-condición aceptable para cada tipo de factor de riesgo identificado</v>
      </c>
    </row>
    <row r="23" spans="1:17" ht="45">
      <c r="A23" s="62">
        <f>Datos!A22</f>
        <v>21</v>
      </c>
      <c r="B23" s="62" t="str">
        <f>Datos!B22</f>
        <v>Congelado</v>
      </c>
      <c r="C23" s="62" t="str">
        <f>Datos!C22</f>
        <v>Operador sala Congelado</v>
      </c>
      <c r="D23" s="62" t="str">
        <f>Datos!D22</f>
        <v>Embalar Mloin</v>
      </c>
      <c r="E23" s="63" t="str">
        <f>Datos!F22</f>
        <v>Am 07:40 a 15:30       Pm 18:10 a 03:30</v>
      </c>
      <c r="F23" s="63">
        <f>Datos!G22</f>
        <v>1</v>
      </c>
      <c r="G23" s="63">
        <f>Datos!H22</f>
        <v>6</v>
      </c>
      <c r="H23" s="63">
        <f>Datos!I22</f>
        <v>0</v>
      </c>
      <c r="I23" s="63">
        <f>Datos!J22</f>
        <v>12</v>
      </c>
      <c r="J23" s="6" t="s">
        <v>63</v>
      </c>
      <c r="K23" s="6" t="s">
        <v>64</v>
      </c>
      <c r="L23" s="6" t="s">
        <v>64</v>
      </c>
      <c r="M23" s="6" t="s">
        <v>64</v>
      </c>
      <c r="N23" s="6" t="s">
        <v>64</v>
      </c>
      <c r="O23" s="6" t="s">
        <v>64</v>
      </c>
      <c r="P23" s="6" t="s">
        <v>64</v>
      </c>
      <c r="Q23" s="6" t="str">
        <f t="shared" si="0"/>
        <v>Aplicar identificación avanzada-condición aceptable para cada tipo de factor de riesgo identificado</v>
      </c>
    </row>
    <row r="24" spans="1:17" ht="45">
      <c r="A24" s="62">
        <f>Datos!A23</f>
        <v>22</v>
      </c>
      <c r="B24" s="62" t="str">
        <f>Datos!B23</f>
        <v>Congelado</v>
      </c>
      <c r="C24" s="62" t="str">
        <f>Datos!C23</f>
        <v>Operador sala Congelado</v>
      </c>
      <c r="D24" s="62" t="str">
        <f>Datos!D23</f>
        <v>Tapar Caja</v>
      </c>
      <c r="E24" s="63" t="str">
        <f>Datos!F23</f>
        <v>Am 07:40 a 15:30       Pm 18:10 a 03:30</v>
      </c>
      <c r="F24" s="63">
        <f>Datos!G23</f>
        <v>1</v>
      </c>
      <c r="G24" s="63">
        <f>Datos!H23</f>
        <v>6</v>
      </c>
      <c r="H24" s="63">
        <f>Datos!I23</f>
        <v>0</v>
      </c>
      <c r="I24" s="63">
        <f>Datos!J23</f>
        <v>4</v>
      </c>
      <c r="J24" s="6" t="s">
        <v>63</v>
      </c>
      <c r="K24" s="6" t="s">
        <v>64</v>
      </c>
      <c r="L24" s="6" t="s">
        <v>64</v>
      </c>
      <c r="M24" s="6" t="s">
        <v>64</v>
      </c>
      <c r="N24" s="6" t="s">
        <v>64</v>
      </c>
      <c r="O24" s="6" t="s">
        <v>64</v>
      </c>
      <c r="P24" s="6" t="s">
        <v>64</v>
      </c>
      <c r="Q24" s="6" t="str">
        <f t="shared" si="0"/>
        <v>Aplicar identificación avanzada-condición aceptable para cada tipo de factor de riesgo identificado</v>
      </c>
    </row>
    <row r="25" spans="1:17" ht="45">
      <c r="A25" s="62">
        <f>Datos!A24</f>
        <v>23</v>
      </c>
      <c r="B25" s="62" t="str">
        <f>Datos!B24</f>
        <v>Congelado</v>
      </c>
      <c r="C25" s="62" t="str">
        <f>Datos!C24</f>
        <v>Operador sala Congelado</v>
      </c>
      <c r="D25" s="62" t="str">
        <f>Datos!D24</f>
        <v>Despalletizar</v>
      </c>
      <c r="E25" s="63">
        <f>Datos!F24</f>
        <v>0</v>
      </c>
      <c r="F25" s="63">
        <f>Datos!G24</f>
        <v>1</v>
      </c>
      <c r="G25" s="63">
        <f>Datos!H24</f>
        <v>6</v>
      </c>
      <c r="H25" s="63">
        <f>Datos!I24</f>
        <v>48</v>
      </c>
      <c r="I25" s="63">
        <f>Datos!J24</f>
        <v>0</v>
      </c>
      <c r="J25" s="6" t="s">
        <v>63</v>
      </c>
      <c r="K25" s="6" t="s">
        <v>64</v>
      </c>
      <c r="L25" s="6" t="s">
        <v>63</v>
      </c>
      <c r="M25" s="6" t="s">
        <v>64</v>
      </c>
      <c r="N25" s="6" t="s">
        <v>64</v>
      </c>
      <c r="O25" s="6" t="s">
        <v>64</v>
      </c>
      <c r="P25" s="6" t="s">
        <v>64</v>
      </c>
      <c r="Q25" s="6" t="str">
        <f t="shared" si="0"/>
        <v>Aplicar identificación avanzada-condición aceptable para cada tipo de factor de riesgo identificado</v>
      </c>
    </row>
    <row r="26" spans="1:17" ht="45">
      <c r="A26" s="62">
        <f>Datos!A25</f>
        <v>24</v>
      </c>
      <c r="B26" s="62" t="str">
        <f>Datos!B25</f>
        <v>Congelado</v>
      </c>
      <c r="C26" s="62" t="str">
        <f>Datos!C25</f>
        <v>Operador sala Congelado</v>
      </c>
      <c r="D26" s="62" t="str">
        <f>Datos!D25</f>
        <v>Traspaleta</v>
      </c>
      <c r="E26" s="63">
        <f>Datos!F25</f>
        <v>0</v>
      </c>
      <c r="F26" s="63">
        <f>Datos!G25</f>
        <v>1</v>
      </c>
      <c r="G26" s="63">
        <f>Datos!H25</f>
        <v>6</v>
      </c>
      <c r="H26" s="63">
        <f>Datos!I25</f>
        <v>48</v>
      </c>
      <c r="I26" s="63">
        <f>Datos!J25</f>
        <v>0</v>
      </c>
      <c r="J26" s="6" t="s">
        <v>63</v>
      </c>
      <c r="K26" s="6" t="s">
        <v>64</v>
      </c>
      <c r="L26" s="6" t="s">
        <v>64</v>
      </c>
      <c r="M26" s="6" t="s">
        <v>64</v>
      </c>
      <c r="N26" s="6" t="s">
        <v>64</v>
      </c>
      <c r="O26" s="6" t="s">
        <v>64</v>
      </c>
      <c r="P26" s="6" t="s">
        <v>64</v>
      </c>
      <c r="Q26" s="6" t="str">
        <f t="shared" si="0"/>
        <v>Aplicar identificación avanzada-condición aceptable para cada tipo de factor de riesgo identificado</v>
      </c>
    </row>
    <row r="27" spans="1:17" ht="45">
      <c r="A27" s="62">
        <f>Datos!A26</f>
        <v>25</v>
      </c>
      <c r="B27" s="62" t="str">
        <f>Datos!B26</f>
        <v>Desposte</v>
      </c>
      <c r="C27" s="62" t="str">
        <f>Datos!C26</f>
        <v>Operador de linea plancha</v>
      </c>
      <c r="D27" s="62" t="str">
        <f>Datos!D26</f>
        <v>Abastecer Maja</v>
      </c>
      <c r="E27" s="63" t="str">
        <f>Datos!F26</f>
        <v>06:30 14:50 / 17:30 a 02:50</v>
      </c>
      <c r="F27" s="63">
        <f>Datos!G26</f>
        <v>1</v>
      </c>
      <c r="G27" s="63">
        <f>Datos!H26</f>
        <v>6</v>
      </c>
      <c r="H27" s="63">
        <f>Datos!I26</f>
        <v>24</v>
      </c>
      <c r="I27" s="63">
        <f>Datos!J26</f>
        <v>3</v>
      </c>
      <c r="J27" s="6" t="s">
        <v>63</v>
      </c>
      <c r="K27" s="6" t="s">
        <v>64</v>
      </c>
      <c r="L27" s="6" t="s">
        <v>64</v>
      </c>
      <c r="M27" s="6" t="s">
        <v>64</v>
      </c>
      <c r="N27" s="6" t="s">
        <v>64</v>
      </c>
      <c r="O27" s="6" t="s">
        <v>64</v>
      </c>
      <c r="P27" s="6" t="s">
        <v>64</v>
      </c>
      <c r="Q27" s="6" t="str">
        <f t="shared" si="0"/>
        <v>Aplicar identificación avanzada-condición aceptable para cada tipo de factor de riesgo identificado</v>
      </c>
    </row>
    <row r="28" spans="1:17" ht="45">
      <c r="A28" s="62">
        <f>Datos!A27</f>
        <v>26</v>
      </c>
      <c r="B28" s="62" t="str">
        <f>Datos!B27</f>
        <v>Desposte</v>
      </c>
      <c r="C28" s="62" t="str">
        <f>Datos!C27</f>
        <v>Operador de linea plancha</v>
      </c>
      <c r="D28" s="62" t="str">
        <f>Datos!D27</f>
        <v>Embalar Cuero</v>
      </c>
      <c r="E28" s="63" t="str">
        <f>Datos!F27</f>
        <v>06:30 14:50 / 17:30 a 02:50</v>
      </c>
      <c r="F28" s="63">
        <f>Datos!G27</f>
        <v>1</v>
      </c>
      <c r="G28" s="63">
        <f>Datos!H27</f>
        <v>6</v>
      </c>
      <c r="H28" s="63">
        <f>Datos!I27</f>
        <v>24</v>
      </c>
      <c r="I28" s="63">
        <f>Datos!J27</f>
        <v>3</v>
      </c>
      <c r="J28" s="6" t="s">
        <v>63</v>
      </c>
      <c r="K28" s="6" t="s">
        <v>64</v>
      </c>
      <c r="L28" s="6" t="s">
        <v>63</v>
      </c>
      <c r="M28" s="6" t="s">
        <v>64</v>
      </c>
      <c r="N28" s="6" t="s">
        <v>64</v>
      </c>
      <c r="O28" s="6" t="s">
        <v>64</v>
      </c>
      <c r="P28" s="6" t="s">
        <v>64</v>
      </c>
      <c r="Q28" s="6" t="str">
        <f t="shared" si="0"/>
        <v>Aplicar identificación avanzada-condición aceptable para cada tipo de factor de riesgo identificado</v>
      </c>
    </row>
    <row r="29" spans="1:17" ht="45">
      <c r="A29" s="62">
        <f>Datos!A28</f>
        <v>27</v>
      </c>
      <c r="B29" s="62" t="str">
        <f>Datos!B28</f>
        <v>Desposte</v>
      </c>
      <c r="C29" s="62" t="str">
        <f>Datos!C28</f>
        <v>Operador de linea plancha</v>
      </c>
      <c r="D29" s="62" t="str">
        <f>Datos!D28</f>
        <v>Operador wizard</v>
      </c>
      <c r="E29" s="63" t="str">
        <f>Datos!F28</f>
        <v>06:30 14:50 / 17:30 a 02:50</v>
      </c>
      <c r="F29" s="63">
        <f>Datos!G28</f>
        <v>1</v>
      </c>
      <c r="G29" s="63">
        <f>Datos!H28</f>
        <v>6</v>
      </c>
      <c r="H29" s="63">
        <f>Datos!I28</f>
        <v>24</v>
      </c>
      <c r="I29" s="63">
        <f>Datos!J28</f>
        <v>3</v>
      </c>
      <c r="J29" s="6" t="s">
        <v>63</v>
      </c>
      <c r="K29" s="6" t="s">
        <v>64</v>
      </c>
      <c r="L29" s="6" t="s">
        <v>64</v>
      </c>
      <c r="M29" s="6" t="s">
        <v>64</v>
      </c>
      <c r="N29" s="6" t="s">
        <v>64</v>
      </c>
      <c r="O29" s="6" t="s">
        <v>64</v>
      </c>
      <c r="P29" s="6" t="s">
        <v>63</v>
      </c>
      <c r="Q29" s="6" t="str">
        <f t="shared" si="0"/>
        <v>Aplicar identificación avanzada-condición aceptable para cada tipo de factor de riesgo identificado</v>
      </c>
    </row>
    <row r="30" spans="1:17" ht="45">
      <c r="A30" s="62">
        <f>Datos!A29</f>
        <v>28</v>
      </c>
      <c r="B30" s="62" t="str">
        <f>Datos!B29</f>
        <v>Desposte</v>
      </c>
      <c r="C30" s="62" t="str">
        <f>Datos!C29</f>
        <v>Operador de linea plancha</v>
      </c>
      <c r="D30" s="62" t="str">
        <f>Datos!D29</f>
        <v xml:space="preserve">Sacar Cartilago </v>
      </c>
      <c r="E30" s="63" t="str">
        <f>Datos!F29</f>
        <v>06:30 14:50 / 17:30 a 02:50</v>
      </c>
      <c r="F30" s="63">
        <f>Datos!G29</f>
        <v>1</v>
      </c>
      <c r="G30" s="63">
        <f>Datos!H29</f>
        <v>6</v>
      </c>
      <c r="H30" s="63">
        <f>Datos!I29</f>
        <v>24</v>
      </c>
      <c r="I30" s="63">
        <f>Datos!J29</f>
        <v>3</v>
      </c>
      <c r="J30" s="6" t="s">
        <v>63</v>
      </c>
      <c r="K30" s="6" t="s">
        <v>64</v>
      </c>
      <c r="L30" s="6" t="s">
        <v>64</v>
      </c>
      <c r="M30" s="6" t="s">
        <v>64</v>
      </c>
      <c r="N30" s="6" t="s">
        <v>64</v>
      </c>
      <c r="O30" s="6" t="s">
        <v>64</v>
      </c>
      <c r="P30" s="6" t="s">
        <v>64</v>
      </c>
      <c r="Q30" s="6" t="str">
        <f t="shared" si="0"/>
        <v>Aplicar identificación avanzada-condición aceptable para cada tipo de factor de riesgo identificado</v>
      </c>
    </row>
    <row r="31" spans="1:17" ht="45">
      <c r="A31" s="62">
        <f>Datos!A30</f>
        <v>29</v>
      </c>
      <c r="B31" s="62" t="str">
        <f>Datos!B30</f>
        <v>Desposte</v>
      </c>
      <c r="C31" s="62" t="str">
        <f>Datos!C30</f>
        <v>Operador de linea plancha</v>
      </c>
      <c r="D31" s="62" t="str">
        <f>Datos!D30</f>
        <v>Prolijado Lomo tocino</v>
      </c>
      <c r="E31" s="63" t="str">
        <f>Datos!F30</f>
        <v>06:30 14:50 / 17:30 a 02:50</v>
      </c>
      <c r="F31" s="63">
        <f>Datos!G30</f>
        <v>1</v>
      </c>
      <c r="G31" s="63">
        <f>Datos!H30</f>
        <v>6</v>
      </c>
      <c r="H31" s="63">
        <f>Datos!I30</f>
        <v>24</v>
      </c>
      <c r="I31" s="63">
        <f>Datos!J30</f>
        <v>3</v>
      </c>
      <c r="J31" s="6" t="s">
        <v>63</v>
      </c>
      <c r="K31" s="6" t="s">
        <v>64</v>
      </c>
      <c r="L31" s="6" t="s">
        <v>63</v>
      </c>
      <c r="M31" s="6" t="s">
        <v>64</v>
      </c>
      <c r="N31" s="6" t="s">
        <v>64</v>
      </c>
      <c r="O31" s="6" t="s">
        <v>64</v>
      </c>
      <c r="P31" s="6" t="s">
        <v>64</v>
      </c>
      <c r="Q31" s="6" t="str">
        <f t="shared" si="0"/>
        <v>Aplicar identificación avanzada-condición aceptable para cada tipo de factor de riesgo identificado</v>
      </c>
    </row>
    <row r="32" spans="1:17" ht="45">
      <c r="A32" s="62">
        <f>Datos!A31</f>
        <v>30</v>
      </c>
      <c r="B32" s="62" t="str">
        <f>Datos!B31</f>
        <v>Desposte</v>
      </c>
      <c r="C32" s="62" t="str">
        <f>Datos!C31</f>
        <v>Operador de linea plancha</v>
      </c>
      <c r="D32" s="62" t="str">
        <f>Datos!D31</f>
        <v xml:space="preserve">Seleccionador Cuero </v>
      </c>
      <c r="E32" s="63" t="str">
        <f>Datos!F31</f>
        <v>06:30 14:50 / 17:30 a 02:50</v>
      </c>
      <c r="F32" s="63">
        <f>Datos!G31</f>
        <v>1</v>
      </c>
      <c r="G32" s="63">
        <f>Datos!H31</f>
        <v>6</v>
      </c>
      <c r="H32" s="63">
        <f>Datos!I31</f>
        <v>24</v>
      </c>
      <c r="I32" s="63">
        <f>Datos!J31</f>
        <v>3</v>
      </c>
      <c r="J32" s="6" t="s">
        <v>63</v>
      </c>
      <c r="K32" s="6" t="s">
        <v>64</v>
      </c>
      <c r="L32" s="6" t="s">
        <v>64</v>
      </c>
      <c r="M32" s="6" t="s">
        <v>64</v>
      </c>
      <c r="N32" s="6" t="s">
        <v>64</v>
      </c>
      <c r="O32" s="6" t="s">
        <v>64</v>
      </c>
      <c r="P32" s="6" t="s">
        <v>64</v>
      </c>
      <c r="Q32" s="6" t="str">
        <f t="shared" si="0"/>
        <v>Aplicar identificación avanzada-condición aceptable para cada tipo de factor de riesgo identificado</v>
      </c>
    </row>
    <row r="33" spans="1:29" ht="45">
      <c r="A33" s="62">
        <f>Datos!A32</f>
        <v>31</v>
      </c>
      <c r="B33" s="62" t="str">
        <f>Datos!B32</f>
        <v>Desposte</v>
      </c>
      <c r="C33" s="62" t="str">
        <f>Datos!C32</f>
        <v>Operador de linea plancha</v>
      </c>
      <c r="D33" s="62" t="str">
        <f>Datos!D32</f>
        <v>Despunte Plancha</v>
      </c>
      <c r="E33" s="63" t="str">
        <f>Datos!F32</f>
        <v>06:30 14:50 / 17:30 a 02:50</v>
      </c>
      <c r="F33" s="63">
        <f>Datos!G32</f>
        <v>1</v>
      </c>
      <c r="G33" s="63">
        <f>Datos!H32</f>
        <v>6</v>
      </c>
      <c r="H33" s="63">
        <f>Datos!I32</f>
        <v>24</v>
      </c>
      <c r="I33" s="63">
        <f>Datos!J32</f>
        <v>3</v>
      </c>
      <c r="J33" s="6" t="s">
        <v>63</v>
      </c>
      <c r="K33" s="6" t="s">
        <v>64</v>
      </c>
      <c r="L33" s="6" t="s">
        <v>64</v>
      </c>
      <c r="M33" s="6" t="s">
        <v>64</v>
      </c>
      <c r="N33" s="6" t="s">
        <v>64</v>
      </c>
      <c r="O33" s="6" t="s">
        <v>64</v>
      </c>
      <c r="P33" s="6" t="s">
        <v>64</v>
      </c>
      <c r="Q33" s="6" t="str">
        <f t="shared" si="0"/>
        <v>Aplicar identificación avanzada-condición aceptable para cada tipo de factor de riesgo identificado</v>
      </c>
    </row>
    <row r="34" spans="1:29" ht="45">
      <c r="A34" s="62">
        <f>Datos!A33</f>
        <v>32</v>
      </c>
      <c r="B34" s="62" t="str">
        <f>Datos!B33</f>
        <v>Desposte</v>
      </c>
      <c r="C34" s="62" t="str">
        <f>Datos!C33</f>
        <v>Operador de linea plancha</v>
      </c>
      <c r="D34" s="62" t="str">
        <f>Datos!D33</f>
        <v>Prolijado de Malaya</v>
      </c>
      <c r="E34" s="63" t="str">
        <f>Datos!F33</f>
        <v>06:30 14:50 / 17:30 a 02:50</v>
      </c>
      <c r="F34" s="63">
        <f>Datos!G33</f>
        <v>1</v>
      </c>
      <c r="G34" s="63">
        <f>Datos!H33</f>
        <v>6</v>
      </c>
      <c r="H34" s="63">
        <f>Datos!I33</f>
        <v>24</v>
      </c>
      <c r="I34" s="63">
        <f>Datos!J33</f>
        <v>3</v>
      </c>
      <c r="J34" s="6" t="s">
        <v>63</v>
      </c>
      <c r="K34" s="6" t="s">
        <v>64</v>
      </c>
      <c r="L34" s="6" t="s">
        <v>64</v>
      </c>
      <c r="M34" s="6" t="s">
        <v>64</v>
      </c>
      <c r="N34" s="6" t="s">
        <v>64</v>
      </c>
      <c r="O34" s="6" t="s">
        <v>64</v>
      </c>
      <c r="P34" s="6" t="s">
        <v>63</v>
      </c>
      <c r="Q34" s="6" t="str">
        <f t="shared" si="0"/>
        <v>Aplicar identificación avanzada-condición aceptable para cada tipo de factor de riesgo identificado</v>
      </c>
    </row>
    <row r="35" spans="1:29" ht="45">
      <c r="A35" s="62">
        <f>Datos!A34</f>
        <v>33</v>
      </c>
      <c r="B35" s="62" t="str">
        <f>Datos!B34</f>
        <v>Desposte</v>
      </c>
      <c r="C35" s="62" t="str">
        <f>Datos!C34</f>
        <v>Operador de linea plancha</v>
      </c>
      <c r="D35" s="62" t="str">
        <f>Datos!D34</f>
        <v>Calibrado Plancha</v>
      </c>
      <c r="E35" s="63" t="str">
        <f>Datos!F34</f>
        <v>06:30 14:50 / 17:30 a 02:50</v>
      </c>
      <c r="F35" s="63">
        <f>Datos!G34</f>
        <v>1</v>
      </c>
      <c r="G35" s="63">
        <f>Datos!H34</f>
        <v>6</v>
      </c>
      <c r="H35" s="63">
        <f>Datos!I34</f>
        <v>24</v>
      </c>
      <c r="I35" s="63">
        <f>Datos!J34</f>
        <v>3</v>
      </c>
      <c r="J35" s="6" t="s">
        <v>63</v>
      </c>
      <c r="K35" s="6" t="s">
        <v>64</v>
      </c>
      <c r="L35" s="6" t="s">
        <v>64</v>
      </c>
      <c r="M35" s="6" t="s">
        <v>64</v>
      </c>
      <c r="N35" s="6" t="s">
        <v>64</v>
      </c>
      <c r="O35" s="6" t="s">
        <v>64</v>
      </c>
      <c r="P35" s="6" t="s">
        <v>64</v>
      </c>
      <c r="Q35" s="6" t="str">
        <f t="shared" si="0"/>
        <v>Aplicar identificación avanzada-condición aceptable para cada tipo de factor de riesgo identificado</v>
      </c>
    </row>
    <row r="36" spans="1:29" ht="45">
      <c r="A36" s="62">
        <f>Datos!A35</f>
        <v>34</v>
      </c>
      <c r="B36" s="62" t="str">
        <f>Datos!B35</f>
        <v>Desposte</v>
      </c>
      <c r="C36" s="62" t="str">
        <f>Datos!C35</f>
        <v>Operador Línea Embolsado</v>
      </c>
      <c r="D36" s="62" t="str">
        <f>Datos!D35</f>
        <v>Embolsado Panceta</v>
      </c>
      <c r="E36" s="63" t="str">
        <f>Datos!F35</f>
        <v>06:30 14:50 / 17:30 a 02:50</v>
      </c>
      <c r="F36" s="63">
        <f>Datos!G35</f>
        <v>1</v>
      </c>
      <c r="G36" s="63">
        <f>Datos!H35</f>
        <v>6</v>
      </c>
      <c r="H36" s="63">
        <f>Datos!I35</f>
        <v>0</v>
      </c>
      <c r="I36" s="63">
        <f>Datos!J35</f>
        <v>50</v>
      </c>
      <c r="J36" s="6" t="s">
        <v>63</v>
      </c>
      <c r="K36" s="6" t="s">
        <v>64</v>
      </c>
      <c r="L36" s="6" t="s">
        <v>64</v>
      </c>
      <c r="M36" s="6" t="s">
        <v>64</v>
      </c>
      <c r="N36" s="6" t="s">
        <v>64</v>
      </c>
      <c r="O36" s="6" t="s">
        <v>64</v>
      </c>
      <c r="P36" s="6" t="s">
        <v>64</v>
      </c>
      <c r="Q36" s="6" t="str">
        <f t="shared" si="0"/>
        <v>Aplicar identificación avanzada-condición aceptable para cada tipo de factor de riesgo identificado</v>
      </c>
    </row>
    <row r="37" spans="1:29" ht="45">
      <c r="A37" s="62">
        <f>Datos!A36</f>
        <v>35</v>
      </c>
      <c r="B37" s="62" t="str">
        <f>Datos!B36</f>
        <v>Desposte</v>
      </c>
      <c r="C37" s="62" t="str">
        <f>Datos!C36</f>
        <v>Operador Línea Embolsado</v>
      </c>
      <c r="D37" s="62" t="str">
        <f>Datos!D36</f>
        <v>Embolsado Lomo</v>
      </c>
      <c r="E37" s="63" t="str">
        <f>Datos!F36</f>
        <v>06:30 14:50 / 17:30 a 02:50</v>
      </c>
      <c r="F37" s="63">
        <f>Datos!G36</f>
        <v>1</v>
      </c>
      <c r="G37" s="63">
        <f>Datos!H36</f>
        <v>6</v>
      </c>
      <c r="H37" s="63">
        <f>Datos!I36</f>
        <v>0</v>
      </c>
      <c r="I37" s="63">
        <f>Datos!J36</f>
        <v>50</v>
      </c>
      <c r="J37" s="6" t="s">
        <v>63</v>
      </c>
      <c r="K37" s="6" t="s">
        <v>64</v>
      </c>
      <c r="L37" s="6" t="s">
        <v>64</v>
      </c>
      <c r="M37" s="6" t="s">
        <v>64</v>
      </c>
      <c r="N37" s="6" t="s">
        <v>64</v>
      </c>
      <c r="O37" s="6" t="s">
        <v>64</v>
      </c>
      <c r="P37" s="6" t="s">
        <v>64</v>
      </c>
      <c r="Q37" s="6" t="str">
        <f t="shared" si="0"/>
        <v>Aplicar identificación avanzada-condición aceptable para cada tipo de factor de riesgo identificado</v>
      </c>
    </row>
    <row r="38" spans="1:29" ht="45">
      <c r="A38" s="62">
        <f>Datos!A37</f>
        <v>36</v>
      </c>
      <c r="B38" s="62" t="str">
        <f>Datos!B37</f>
        <v>Desposte</v>
      </c>
      <c r="C38" s="62" t="str">
        <f>Datos!C37</f>
        <v>Operador Línea Embolsado</v>
      </c>
      <c r="D38" s="62" t="str">
        <f>Datos!D37</f>
        <v>Embolsado Vetados</v>
      </c>
      <c r="E38" s="63" t="str">
        <f>Datos!F37</f>
        <v>06:30 14:50 / 17:30 a 02:50</v>
      </c>
      <c r="F38" s="63">
        <f>Datos!G37</f>
        <v>1</v>
      </c>
      <c r="G38" s="63">
        <f>Datos!H37</f>
        <v>6</v>
      </c>
      <c r="H38" s="63">
        <f>Datos!I37</f>
        <v>0</v>
      </c>
      <c r="I38" s="63">
        <f>Datos!J37</f>
        <v>50</v>
      </c>
      <c r="J38" s="6" t="s">
        <v>63</v>
      </c>
      <c r="K38" s="6" t="s">
        <v>64</v>
      </c>
      <c r="L38" s="6" t="s">
        <v>64</v>
      </c>
      <c r="M38" s="6" t="s">
        <v>64</v>
      </c>
      <c r="N38" s="6" t="s">
        <v>64</v>
      </c>
      <c r="O38" s="6" t="s">
        <v>64</v>
      </c>
      <c r="P38" s="6" t="s">
        <v>64</v>
      </c>
      <c r="Q38" s="6" t="str">
        <f t="shared" si="0"/>
        <v>Aplicar identificación avanzada-condición aceptable para cada tipo de factor de riesgo identificado</v>
      </c>
    </row>
    <row r="39" spans="1:29" ht="45">
      <c r="A39" s="62">
        <f>Datos!A38</f>
        <v>37</v>
      </c>
      <c r="B39" s="62" t="str">
        <f>Datos!B38</f>
        <v>Desposte</v>
      </c>
      <c r="C39" s="62" t="str">
        <f>Datos!C38</f>
        <v>Operador Línea Embolsado</v>
      </c>
      <c r="D39" s="62" t="str">
        <f>Datos!D38</f>
        <v>Embalar</v>
      </c>
      <c r="E39" s="63" t="str">
        <f>Datos!F38</f>
        <v>06:30 14:50 / 17:30 a 02:50</v>
      </c>
      <c r="F39" s="63">
        <f>Datos!G38</f>
        <v>1</v>
      </c>
      <c r="G39" s="63">
        <f>Datos!H38</f>
        <v>6</v>
      </c>
      <c r="H39" s="63">
        <f>Datos!I38</f>
        <v>0</v>
      </c>
      <c r="I39" s="63">
        <f>Datos!J38</f>
        <v>50</v>
      </c>
      <c r="J39" s="6" t="s">
        <v>63</v>
      </c>
      <c r="K39" s="6" t="s">
        <v>64</v>
      </c>
      <c r="L39" s="6" t="s">
        <v>64</v>
      </c>
      <c r="M39" s="6" t="s">
        <v>63</v>
      </c>
      <c r="N39" s="6" t="s">
        <v>64</v>
      </c>
      <c r="O39" s="6" t="s">
        <v>64</v>
      </c>
      <c r="P39" s="6" t="s">
        <v>64</v>
      </c>
      <c r="Q39" s="6" t="str">
        <f t="shared" si="0"/>
        <v>Aplicar identificación avanzada-condición aceptable para cada tipo de factor de riesgo identificado</v>
      </c>
    </row>
    <row r="40" spans="1:29" ht="45">
      <c r="A40" s="62">
        <f>Datos!A39</f>
        <v>38</v>
      </c>
      <c r="B40" s="62" t="str">
        <f>Datos!B39</f>
        <v>Desposte</v>
      </c>
      <c r="C40" s="62" t="str">
        <f>Datos!C39</f>
        <v>Operador Línea Embolsado</v>
      </c>
      <c r="D40" s="62" t="str">
        <f>Datos!D39</f>
        <v>Revisar Producto</v>
      </c>
      <c r="E40" s="63" t="str">
        <f>Datos!F39</f>
        <v>06:30 14:50 / 17:30 a 02:50</v>
      </c>
      <c r="F40" s="63">
        <f>Datos!G39</f>
        <v>1</v>
      </c>
      <c r="G40" s="63">
        <f>Datos!H39</f>
        <v>6</v>
      </c>
      <c r="H40" s="63">
        <f>Datos!I39</f>
        <v>0</v>
      </c>
      <c r="I40" s="63">
        <f>Datos!J39</f>
        <v>50</v>
      </c>
      <c r="J40" s="6" t="s">
        <v>63</v>
      </c>
      <c r="K40" s="6" t="s">
        <v>64</v>
      </c>
      <c r="L40" s="6" t="s">
        <v>64</v>
      </c>
      <c r="M40" s="6" t="s">
        <v>64</v>
      </c>
      <c r="N40" s="6" t="s">
        <v>64</v>
      </c>
      <c r="O40" s="6" t="s">
        <v>64</v>
      </c>
      <c r="P40" s="6" t="s">
        <v>64</v>
      </c>
      <c r="Q40" s="6" t="str">
        <f t="shared" si="0"/>
        <v>Aplicar identificación avanzada-condición aceptable para cada tipo de factor de riesgo identificado</v>
      </c>
    </row>
    <row r="41" spans="1:29" ht="45">
      <c r="A41" s="62">
        <f>Datos!A40</f>
        <v>39</v>
      </c>
      <c r="B41" s="62" t="str">
        <f>Datos!B40</f>
        <v>Desposte</v>
      </c>
      <c r="C41" s="62" t="str">
        <f>Datos!C40</f>
        <v>Operador Línea Embolsado</v>
      </c>
      <c r="D41" s="62" t="str">
        <f>Datos!D40</f>
        <v xml:space="preserve">Contadora de Panceta </v>
      </c>
      <c r="E41" s="63" t="str">
        <f>Datos!F40</f>
        <v>06:30 14:50 / 17:30 a 02:50</v>
      </c>
      <c r="F41" s="63">
        <f>Datos!G40</f>
        <v>1</v>
      </c>
      <c r="G41" s="63">
        <f>Datos!H40</f>
        <v>6</v>
      </c>
      <c r="H41" s="63">
        <f>Datos!I40</f>
        <v>0</v>
      </c>
      <c r="I41" s="63">
        <f>Datos!J40</f>
        <v>50</v>
      </c>
      <c r="J41" s="6" t="s">
        <v>63</v>
      </c>
      <c r="K41" s="6" t="s">
        <v>64</v>
      </c>
      <c r="L41" s="6" t="s">
        <v>64</v>
      </c>
      <c r="M41" s="6" t="s">
        <v>64</v>
      </c>
      <c r="N41" s="6" t="s">
        <v>64</v>
      </c>
      <c r="O41" s="6" t="s">
        <v>64</v>
      </c>
      <c r="P41" s="6" t="s">
        <v>64</v>
      </c>
      <c r="Q41" s="6" t="str">
        <f t="shared" si="0"/>
        <v>Aplicar identificación avanzada-condición aceptable para cada tipo de factor de riesgo identificado</v>
      </c>
    </row>
    <row r="42" spans="1:29" ht="45">
      <c r="A42" s="62">
        <f>Datos!A41</f>
        <v>40</v>
      </c>
      <c r="B42" s="62" t="str">
        <f>Datos!B41</f>
        <v>Desposte</v>
      </c>
      <c r="C42" s="62" t="str">
        <f>Datos!C41</f>
        <v>Operador Línea Embolsado</v>
      </c>
      <c r="D42" s="62" t="str">
        <f>Datos!D41</f>
        <v xml:space="preserve">Abastece Ulma </v>
      </c>
      <c r="E42" s="63" t="str">
        <f>Datos!F41</f>
        <v>06:30 14:50 / 17:30 a 02:50</v>
      </c>
      <c r="F42" s="63">
        <f>Datos!G41</f>
        <v>1</v>
      </c>
      <c r="G42" s="63">
        <f>Datos!H41</f>
        <v>6</v>
      </c>
      <c r="H42" s="63">
        <f>Datos!I41</f>
        <v>0</v>
      </c>
      <c r="I42" s="63">
        <f>Datos!J41</f>
        <v>50</v>
      </c>
      <c r="J42" s="6" t="s">
        <v>63</v>
      </c>
      <c r="K42" s="6" t="s">
        <v>64</v>
      </c>
      <c r="L42" s="6" t="s">
        <v>64</v>
      </c>
      <c r="M42" s="6" t="s">
        <v>64</v>
      </c>
      <c r="N42" s="6" t="s">
        <v>64</v>
      </c>
      <c r="O42" s="6" t="s">
        <v>64</v>
      </c>
      <c r="P42" s="6" t="s">
        <v>64</v>
      </c>
      <c r="Q42" s="6" t="str">
        <f t="shared" si="0"/>
        <v>Aplicar identificación avanzada-condición aceptable para cada tipo de factor de riesgo identificado</v>
      </c>
    </row>
    <row r="43" spans="1:29" ht="45">
      <c r="A43" s="62">
        <f>Datos!A42</f>
        <v>41</v>
      </c>
      <c r="B43" s="62" t="str">
        <f>Datos!B42</f>
        <v>Desposte</v>
      </c>
      <c r="C43" s="62" t="str">
        <f>Datos!C42</f>
        <v>Operador Línea Embolsado</v>
      </c>
      <c r="D43" s="62" t="str">
        <f>Datos!D42</f>
        <v>Reciibe ULMA</v>
      </c>
      <c r="E43" s="63" t="str">
        <f>Datos!F42</f>
        <v>06:30 14:50 / 17:30 a 02:50</v>
      </c>
      <c r="F43" s="63">
        <f>Datos!G42</f>
        <v>1</v>
      </c>
      <c r="G43" s="63">
        <f>Datos!H42</f>
        <v>6</v>
      </c>
      <c r="H43" s="63">
        <f>Datos!I42</f>
        <v>0</v>
      </c>
      <c r="I43" s="63">
        <f>Datos!J42</f>
        <v>50</v>
      </c>
      <c r="J43" s="6" t="s">
        <v>63</v>
      </c>
      <c r="K43" s="6" t="s">
        <v>64</v>
      </c>
      <c r="L43" s="6" t="s">
        <v>63</v>
      </c>
      <c r="M43" s="6" t="s">
        <v>64</v>
      </c>
      <c r="N43" s="6" t="s">
        <v>64</v>
      </c>
      <c r="O43" s="6" t="s">
        <v>64</v>
      </c>
      <c r="P43" s="6" t="s">
        <v>64</v>
      </c>
      <c r="Q43" s="6" t="str">
        <f t="shared" si="0"/>
        <v>Aplicar identificación avanzada-condición aceptable para cada tipo de factor de riesgo identificado</v>
      </c>
    </row>
    <row r="44" spans="1:29" ht="45">
      <c r="A44" s="62">
        <f>Datos!A43</f>
        <v>42</v>
      </c>
      <c r="B44" s="62" t="str">
        <f>Datos!B43</f>
        <v>Desposte</v>
      </c>
      <c r="C44" s="62" t="str">
        <f>Datos!C43</f>
        <v>Operador Línea Embolsado</v>
      </c>
      <c r="D44" s="62" t="str">
        <f>Datos!D43</f>
        <v>Sacar Membrana Costillitas Baby Back Rebs</v>
      </c>
      <c r="E44" s="63" t="str">
        <f>Datos!F43</f>
        <v>06:30 14:50 / 17:30 a 02:50</v>
      </c>
      <c r="F44" s="63">
        <f>Datos!G43</f>
        <v>1</v>
      </c>
      <c r="G44" s="63">
        <f>Datos!H43</f>
        <v>6</v>
      </c>
      <c r="H44" s="63">
        <f>Datos!I43</f>
        <v>0</v>
      </c>
      <c r="I44" s="63">
        <f>Datos!J43</f>
        <v>50</v>
      </c>
      <c r="J44" s="6" t="s">
        <v>63</v>
      </c>
      <c r="K44" s="6" t="s">
        <v>64</v>
      </c>
      <c r="L44" s="6" t="s">
        <v>64</v>
      </c>
      <c r="M44" s="6" t="s">
        <v>64</v>
      </c>
      <c r="N44" s="6" t="s">
        <v>64</v>
      </c>
      <c r="O44" s="6" t="s">
        <v>64</v>
      </c>
      <c r="P44" s="6" t="s">
        <v>64</v>
      </c>
      <c r="Q44" s="6" t="str">
        <f t="shared" si="0"/>
        <v>Aplicar identificación avanzada-condición aceptable para cada tipo de factor de riesgo identificado</v>
      </c>
    </row>
    <row r="45" spans="1:29" ht="45">
      <c r="A45" s="62">
        <f>Datos!A44</f>
        <v>43</v>
      </c>
      <c r="B45" s="62" t="str">
        <f>Datos!B44</f>
        <v>Desposte</v>
      </c>
      <c r="C45" s="62" t="str">
        <f>Datos!C44</f>
        <v>Operador Línea Embolsado</v>
      </c>
      <c r="D45" s="62" t="str">
        <f>Datos!D44</f>
        <v>Palletizar Costillitas Baby Back Rebs</v>
      </c>
      <c r="E45" s="63" t="str">
        <f>Datos!F44</f>
        <v>06:30 14:50 / 17:30 a 02:50</v>
      </c>
      <c r="F45" s="63">
        <f>Datos!G44</f>
        <v>1</v>
      </c>
      <c r="G45" s="63">
        <f>Datos!H44</f>
        <v>6</v>
      </c>
      <c r="H45" s="63">
        <f>Datos!I44</f>
        <v>0</v>
      </c>
      <c r="I45" s="63">
        <f>Datos!J44</f>
        <v>50</v>
      </c>
      <c r="J45" s="6" t="s">
        <v>63</v>
      </c>
      <c r="K45" s="6" t="s">
        <v>64</v>
      </c>
      <c r="L45" s="6" t="s">
        <v>63</v>
      </c>
      <c r="M45" s="6" t="s">
        <v>64</v>
      </c>
      <c r="N45" s="6" t="s">
        <v>64</v>
      </c>
      <c r="O45" s="6" t="s">
        <v>64</v>
      </c>
      <c r="P45" s="6" t="s">
        <v>64</v>
      </c>
      <c r="Q45" s="6" t="str">
        <f t="shared" si="0"/>
        <v>Aplicar identificación avanzada-condición aceptable para cada tipo de factor de riesgo identificado</v>
      </c>
    </row>
    <row r="46" spans="1:29" ht="45">
      <c r="A46" s="62">
        <f>Datos!A45</f>
        <v>44</v>
      </c>
      <c r="B46" s="62" t="str">
        <f>Datos!B45</f>
        <v>Desposte</v>
      </c>
      <c r="C46" s="62" t="str">
        <f>Datos!C45</f>
        <v>Operador Línea Embolsado</v>
      </c>
      <c r="D46" s="62" t="str">
        <f>Datos!D45</f>
        <v xml:space="preserve">Calibrado de Costillitas </v>
      </c>
      <c r="E46" s="63" t="str">
        <f>Datos!F45</f>
        <v>06:30 14:50 / 17:30 a 02:50</v>
      </c>
      <c r="F46" s="63">
        <f>Datos!G45</f>
        <v>1</v>
      </c>
      <c r="G46" s="63">
        <f>Datos!H45</f>
        <v>6</v>
      </c>
      <c r="H46" s="63">
        <f>Datos!I45</f>
        <v>0</v>
      </c>
      <c r="I46" s="63">
        <f>Datos!J45</f>
        <v>50</v>
      </c>
      <c r="J46" s="6" t="s">
        <v>63</v>
      </c>
      <c r="K46" s="6" t="s">
        <v>64</v>
      </c>
      <c r="L46" s="6" t="s">
        <v>64</v>
      </c>
      <c r="M46" s="6" t="s">
        <v>64</v>
      </c>
      <c r="N46" s="6" t="s">
        <v>64</v>
      </c>
      <c r="O46" s="6" t="s">
        <v>64</v>
      </c>
      <c r="P46" s="6" t="s">
        <v>64</v>
      </c>
      <c r="Q46" s="6" t="str">
        <f t="shared" si="0"/>
        <v>Aplicar identificación avanzada-condición aceptable para cada tipo de factor de riesgo identificado</v>
      </c>
    </row>
    <row r="47" spans="1:29" ht="45">
      <c r="A47" s="62">
        <f>Datos!A46</f>
        <v>45</v>
      </c>
      <c r="B47" s="62" t="str">
        <f>Datos!B46</f>
        <v>Desposte</v>
      </c>
      <c r="C47" s="62" t="str">
        <f>Datos!C46</f>
        <v>Operador Línea Chuletas</v>
      </c>
      <c r="D47" s="62" t="str">
        <f>Datos!D46</f>
        <v>Deshuesado</v>
      </c>
      <c r="E47" s="63" t="str">
        <f>Datos!F46</f>
        <v>06:30 14:50 / 17:30 a 02:50</v>
      </c>
      <c r="F47" s="63">
        <f>Datos!G46</f>
        <v>1</v>
      </c>
      <c r="G47" s="63">
        <f>Datos!H46</f>
        <v>6</v>
      </c>
      <c r="H47" s="63">
        <f>Datos!I46</f>
        <v>46</v>
      </c>
      <c r="I47" s="63">
        <f>Datos!J46</f>
        <v>0</v>
      </c>
      <c r="J47" s="6" t="s">
        <v>63</v>
      </c>
      <c r="K47" s="6" t="s">
        <v>64</v>
      </c>
      <c r="L47" s="6" t="s">
        <v>64</v>
      </c>
      <c r="M47" s="6" t="s">
        <v>64</v>
      </c>
      <c r="N47" s="6" t="s">
        <v>64</v>
      </c>
      <c r="O47" s="6" t="s">
        <v>64</v>
      </c>
      <c r="P47" s="6" t="s">
        <v>64</v>
      </c>
      <c r="Q47" s="6" t="str">
        <f t="shared" si="0"/>
        <v>Aplicar identificación avanzada-condición aceptable para cada tipo de factor de riesgo identificado</v>
      </c>
    </row>
    <row r="48" spans="1:29" ht="45">
      <c r="A48" s="62">
        <f>Datos!A47</f>
        <v>46</v>
      </c>
      <c r="B48" s="62" t="str">
        <f>Datos!B47</f>
        <v>Desposte</v>
      </c>
      <c r="C48" s="62" t="str">
        <f>Datos!C47</f>
        <v>Operador Línea Chuletas</v>
      </c>
      <c r="D48" s="62" t="str">
        <f>Datos!D47</f>
        <v>Abastecer línea</v>
      </c>
      <c r="E48" s="63" t="str">
        <f>Datos!F47</f>
        <v>06:30 14:50 / 17:30 a 02:50</v>
      </c>
      <c r="F48" s="63">
        <f>Datos!G47</f>
        <v>1</v>
      </c>
      <c r="G48" s="63">
        <f>Datos!H47</f>
        <v>6</v>
      </c>
      <c r="H48" s="63">
        <f>Datos!I47</f>
        <v>46</v>
      </c>
      <c r="I48" s="63">
        <f>Datos!J47</f>
        <v>0</v>
      </c>
      <c r="J48" s="6" t="s">
        <v>63</v>
      </c>
      <c r="K48" s="6" t="s">
        <v>64</v>
      </c>
      <c r="L48" s="6" t="s">
        <v>64</v>
      </c>
      <c r="M48" s="6" t="s">
        <v>64</v>
      </c>
      <c r="N48" s="6" t="s">
        <v>64</v>
      </c>
      <c r="O48" s="6" t="s">
        <v>64</v>
      </c>
      <c r="P48" s="6" t="s">
        <v>64</v>
      </c>
      <c r="Q48" s="6" t="str">
        <f t="shared" ref="Q48:Q92" si="1">IF(AND(J48="NO",K48="NO",L48="NO",M48="NO",N48="NO",O48="NO",P48="NO"),"Ausencia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  <c r="R48" s="62"/>
      <c r="S48" s="62"/>
      <c r="T48" s="62"/>
      <c r="U48" s="62"/>
      <c r="V48" s="63"/>
      <c r="W48" s="63"/>
      <c r="X48" s="63"/>
      <c r="Y48" s="63"/>
      <c r="Z48" s="63"/>
      <c r="AA48" s="6"/>
      <c r="AB48" s="6"/>
      <c r="AC48" s="6"/>
    </row>
    <row r="49" spans="1:29" ht="45">
      <c r="A49" s="62">
        <f>Datos!A48</f>
        <v>47</v>
      </c>
      <c r="B49" s="62" t="str">
        <f>Datos!B48</f>
        <v>Desposte</v>
      </c>
      <c r="C49" s="62" t="str">
        <f>Datos!C48</f>
        <v>Operador Línea Chuletas</v>
      </c>
      <c r="D49" s="62" t="str">
        <f>Datos!D48</f>
        <v>Rayar MM Loin</v>
      </c>
      <c r="E49" s="63" t="str">
        <f>Datos!F48</f>
        <v>06:30 14:50 / 17:30 a 02:50</v>
      </c>
      <c r="F49" s="63">
        <f>Datos!G48</f>
        <v>1</v>
      </c>
      <c r="G49" s="63">
        <f>Datos!H48</f>
        <v>6</v>
      </c>
      <c r="H49" s="63">
        <f>Datos!I48</f>
        <v>46</v>
      </c>
      <c r="I49" s="63">
        <f>Datos!J48</f>
        <v>0</v>
      </c>
      <c r="J49" s="6" t="s">
        <v>63</v>
      </c>
      <c r="K49" s="6" t="s">
        <v>64</v>
      </c>
      <c r="L49" s="6" t="s">
        <v>64</v>
      </c>
      <c r="M49" s="6" t="s">
        <v>64</v>
      </c>
      <c r="N49" s="6" t="s">
        <v>64</v>
      </c>
      <c r="O49" s="6" t="s">
        <v>64</v>
      </c>
      <c r="P49" s="6" t="s">
        <v>64</v>
      </c>
      <c r="Q49" s="6" t="str">
        <f t="shared" si="1"/>
        <v>Aplicar identificación avanzada-condición aceptable para cada tipo de factor de riesgo identificado</v>
      </c>
      <c r="R49" s="62"/>
      <c r="S49" s="62"/>
      <c r="T49" s="62"/>
      <c r="U49" s="62"/>
      <c r="V49" s="63"/>
      <c r="W49" s="63"/>
      <c r="X49" s="63"/>
      <c r="Y49" s="63"/>
      <c r="Z49" s="63"/>
      <c r="AA49" s="6"/>
      <c r="AB49" s="6"/>
      <c r="AC49" s="6"/>
    </row>
    <row r="50" spans="1:29" ht="45">
      <c r="A50" s="62">
        <f>Datos!A49</f>
        <v>48</v>
      </c>
      <c r="B50" s="62" t="str">
        <f>Datos!B49</f>
        <v>Desposte</v>
      </c>
      <c r="C50" s="62" t="str">
        <f>Datos!C49</f>
        <v>Operador Línea Chuletas</v>
      </c>
      <c r="D50" s="62" t="str">
        <f>Datos!D49</f>
        <v>Abrir Lomo</v>
      </c>
      <c r="E50" s="63" t="str">
        <f>Datos!F49</f>
        <v>06:30 14:50 / 17:30 a 02:50</v>
      </c>
      <c r="F50" s="63">
        <f>Datos!G49</f>
        <v>1</v>
      </c>
      <c r="G50" s="63">
        <f>Datos!H49</f>
        <v>6</v>
      </c>
      <c r="H50" s="63">
        <f>Datos!I49</f>
        <v>46</v>
      </c>
      <c r="I50" s="63">
        <f>Datos!J49</f>
        <v>0</v>
      </c>
      <c r="J50" s="6" t="s">
        <v>63</v>
      </c>
      <c r="K50" s="6" t="s">
        <v>64</v>
      </c>
      <c r="L50" s="6" t="s">
        <v>64</v>
      </c>
      <c r="M50" s="6" t="s">
        <v>64</v>
      </c>
      <c r="N50" s="6" t="s">
        <v>64</v>
      </c>
      <c r="O50" s="6" t="s">
        <v>64</v>
      </c>
      <c r="P50" s="6" t="s">
        <v>64</v>
      </c>
      <c r="Q50" s="6" t="str">
        <f t="shared" si="1"/>
        <v>Aplicar identificación avanzada-condición aceptable para cada tipo de factor de riesgo identificado</v>
      </c>
      <c r="R50" s="62"/>
      <c r="S50" s="62"/>
      <c r="T50" s="62"/>
      <c r="U50" s="62"/>
      <c r="V50" s="63"/>
      <c r="W50" s="63"/>
      <c r="X50" s="63"/>
      <c r="Y50" s="63"/>
      <c r="Z50" s="63"/>
      <c r="AA50" s="6"/>
      <c r="AB50" s="6"/>
      <c r="AC50" s="6"/>
    </row>
    <row r="51" spans="1:29" ht="45">
      <c r="A51" s="62">
        <f>Datos!A50</f>
        <v>49</v>
      </c>
      <c r="B51" s="62" t="str">
        <f>Datos!B50</f>
        <v>Desposte</v>
      </c>
      <c r="C51" s="62" t="str">
        <f>Datos!C50</f>
        <v>Operador Línea Chuletas</v>
      </c>
      <c r="D51" s="62" t="str">
        <f>Datos!D50</f>
        <v>Extraer Cordon (Whizard)</v>
      </c>
      <c r="E51" s="63" t="str">
        <f>Datos!F50</f>
        <v>06:30 14:50 / 17:30 a 02:50</v>
      </c>
      <c r="F51" s="63">
        <f>Datos!G50</f>
        <v>1</v>
      </c>
      <c r="G51" s="63">
        <f>Datos!H50</f>
        <v>6</v>
      </c>
      <c r="H51" s="63">
        <f>Datos!I50</f>
        <v>46</v>
      </c>
      <c r="I51" s="63">
        <f>Datos!J50</f>
        <v>0</v>
      </c>
      <c r="J51" s="6" t="s">
        <v>63</v>
      </c>
      <c r="K51" s="6" t="s">
        <v>64</v>
      </c>
      <c r="L51" s="6" t="s">
        <v>64</v>
      </c>
      <c r="M51" s="6" t="s">
        <v>64</v>
      </c>
      <c r="N51" s="6" t="s">
        <v>64</v>
      </c>
      <c r="O51" s="6" t="s">
        <v>64</v>
      </c>
      <c r="P51" s="6" t="s">
        <v>64</v>
      </c>
      <c r="Q51" s="6" t="str">
        <f t="shared" si="1"/>
        <v>Aplicar identificación avanzada-condición aceptable para cada tipo de factor de riesgo identificado</v>
      </c>
      <c r="R51" s="62"/>
      <c r="S51" s="62"/>
      <c r="T51" s="62"/>
      <c r="U51" s="62"/>
      <c r="V51" s="63"/>
      <c r="W51" s="63"/>
      <c r="X51" s="63"/>
      <c r="Y51" s="63"/>
      <c r="Z51" s="63"/>
      <c r="AA51" s="6"/>
      <c r="AB51" s="6"/>
      <c r="AC51" s="6"/>
    </row>
    <row r="52" spans="1:29" ht="45">
      <c r="A52" s="62">
        <f>Datos!A51</f>
        <v>50</v>
      </c>
      <c r="B52" s="62" t="str">
        <f>Datos!B51</f>
        <v>Desposte</v>
      </c>
      <c r="C52" s="62" t="str">
        <f>Datos!C51</f>
        <v>Operador Línea Chuletas</v>
      </c>
      <c r="D52" s="62" t="str">
        <f>Datos!D51</f>
        <v>Prolijado Whizard (grasa)</v>
      </c>
      <c r="E52" s="63" t="str">
        <f>Datos!F51</f>
        <v>06:30 14:50 / 17:30 a 02:50</v>
      </c>
      <c r="F52" s="63">
        <f>Datos!G51</f>
        <v>1</v>
      </c>
      <c r="G52" s="63">
        <f>Datos!H51</f>
        <v>6</v>
      </c>
      <c r="H52" s="63">
        <f>Datos!I51</f>
        <v>46</v>
      </c>
      <c r="I52" s="63">
        <f>Datos!J51</f>
        <v>0</v>
      </c>
      <c r="J52" s="6" t="s">
        <v>63</v>
      </c>
      <c r="K52" s="6" t="s">
        <v>64</v>
      </c>
      <c r="L52" s="6" t="s">
        <v>64</v>
      </c>
      <c r="M52" s="6" t="s">
        <v>64</v>
      </c>
      <c r="N52" s="6" t="s">
        <v>64</v>
      </c>
      <c r="O52" s="6" t="s">
        <v>64</v>
      </c>
      <c r="P52" s="6" t="s">
        <v>64</v>
      </c>
      <c r="Q52" s="6" t="str">
        <f t="shared" si="1"/>
        <v>Aplicar identificación avanzada-condición aceptable para cada tipo de factor de riesgo identificado</v>
      </c>
      <c r="R52" s="62"/>
      <c r="S52" s="62"/>
      <c r="T52" s="62"/>
      <c r="U52" s="62"/>
      <c r="V52" s="63"/>
      <c r="W52" s="63"/>
      <c r="X52" s="63"/>
      <c r="Y52" s="63"/>
      <c r="Z52" s="63"/>
      <c r="AA52" s="6"/>
      <c r="AB52" s="6"/>
      <c r="AC52" s="6"/>
    </row>
    <row r="53" spans="1:29" ht="45">
      <c r="A53" s="62">
        <f>Datos!A52</f>
        <v>51</v>
      </c>
      <c r="B53" s="62" t="str">
        <f>Datos!B52</f>
        <v>Desposte</v>
      </c>
      <c r="C53" s="62" t="str">
        <f>Datos!C52</f>
        <v>Operador Línea Chuletas</v>
      </c>
      <c r="D53" s="62" t="str">
        <f>Datos!D52</f>
        <v>Prolijado mm loin con cuchillo</v>
      </c>
      <c r="E53" s="63" t="str">
        <f>Datos!F52</f>
        <v>06:30 14:50 / 17:30 a 02:50</v>
      </c>
      <c r="F53" s="63">
        <f>Datos!G52</f>
        <v>1</v>
      </c>
      <c r="G53" s="63">
        <f>Datos!H52</f>
        <v>6</v>
      </c>
      <c r="H53" s="63">
        <f>Datos!I52</f>
        <v>46</v>
      </c>
      <c r="I53" s="63">
        <f>Datos!J52</f>
        <v>0</v>
      </c>
      <c r="J53" s="6" t="s">
        <v>63</v>
      </c>
      <c r="K53" s="6" t="s">
        <v>64</v>
      </c>
      <c r="L53" s="6" t="s">
        <v>64</v>
      </c>
      <c r="M53" s="6" t="s">
        <v>64</v>
      </c>
      <c r="N53" s="6" t="s">
        <v>64</v>
      </c>
      <c r="O53" s="6" t="s">
        <v>64</v>
      </c>
      <c r="P53" s="6" t="s">
        <v>64</v>
      </c>
      <c r="Q53" s="6" t="str">
        <f t="shared" si="1"/>
        <v>Aplicar identificación avanzada-condición aceptable para cada tipo de factor de riesgo identificado</v>
      </c>
      <c r="R53" s="62"/>
      <c r="S53" s="62"/>
      <c r="T53" s="62"/>
      <c r="U53" s="62"/>
      <c r="V53" s="63"/>
      <c r="W53" s="63"/>
      <c r="X53" s="63"/>
      <c r="Y53" s="63"/>
      <c r="Z53" s="63"/>
      <c r="AA53" s="6"/>
      <c r="AB53" s="6"/>
      <c r="AC53" s="6"/>
    </row>
    <row r="54" spans="1:29" ht="45">
      <c r="A54" s="62">
        <f>Datos!A53</f>
        <v>52</v>
      </c>
      <c r="B54" s="62" t="str">
        <f>Datos!B53</f>
        <v>Desposte</v>
      </c>
      <c r="C54" s="62" t="str">
        <f>Datos!C53</f>
        <v>Operador Línea Chuletas</v>
      </c>
      <c r="D54" s="62" t="str">
        <f>Datos!D53</f>
        <v xml:space="preserve">Prolijado lomo 27 </v>
      </c>
      <c r="E54" s="63" t="str">
        <f>Datos!F53</f>
        <v>06:30 14:50 / 17:30 a 02:50</v>
      </c>
      <c r="F54" s="63">
        <f>Datos!G53</f>
        <v>1</v>
      </c>
      <c r="G54" s="63">
        <f>Datos!H53</f>
        <v>6</v>
      </c>
      <c r="H54" s="63">
        <f>Datos!I53</f>
        <v>46</v>
      </c>
      <c r="I54" s="63">
        <f>Datos!J53</f>
        <v>0</v>
      </c>
      <c r="J54" s="6" t="s">
        <v>63</v>
      </c>
      <c r="K54" s="6" t="s">
        <v>64</v>
      </c>
      <c r="L54" s="6" t="s">
        <v>64</v>
      </c>
      <c r="M54" s="6" t="s">
        <v>64</v>
      </c>
      <c r="N54" s="6" t="s">
        <v>64</v>
      </c>
      <c r="O54" s="6" t="s">
        <v>64</v>
      </c>
      <c r="P54" s="6" t="s">
        <v>64</v>
      </c>
      <c r="Q54" s="6" t="str">
        <f t="shared" si="1"/>
        <v>Aplicar identificación avanzada-condición aceptable para cada tipo de factor de riesgo identificado</v>
      </c>
      <c r="R54" s="62"/>
      <c r="S54" s="62"/>
      <c r="T54" s="62"/>
      <c r="U54" s="62"/>
      <c r="V54" s="63"/>
      <c r="W54" s="63"/>
      <c r="X54" s="63"/>
      <c r="Y54" s="63"/>
      <c r="Z54" s="63"/>
      <c r="AA54" s="6"/>
      <c r="AB54" s="6"/>
      <c r="AC54" s="6"/>
    </row>
    <row r="55" spans="1:29" ht="45">
      <c r="A55" s="62">
        <f>Datos!A54</f>
        <v>53</v>
      </c>
      <c r="B55" s="62" t="str">
        <f>Datos!B54</f>
        <v>Desposte</v>
      </c>
      <c r="C55" s="62" t="str">
        <f>Datos!C54</f>
        <v>Operador Línea Chuletas</v>
      </c>
      <c r="D55" s="62" t="str">
        <f>Datos!D54</f>
        <v>Prolijado lomo tecla</v>
      </c>
      <c r="E55" s="63" t="str">
        <f>Datos!F54</f>
        <v>06:30 14:50 / 17:30 a 02:50</v>
      </c>
      <c r="F55" s="63">
        <f>Datos!G54</f>
        <v>1</v>
      </c>
      <c r="G55" s="63">
        <f>Datos!H54</f>
        <v>6</v>
      </c>
      <c r="H55" s="63">
        <f>Datos!I54</f>
        <v>46</v>
      </c>
      <c r="I55" s="63">
        <f>Datos!J54</f>
        <v>0</v>
      </c>
      <c r="J55" s="6" t="s">
        <v>63</v>
      </c>
      <c r="K55" s="6" t="s">
        <v>64</v>
      </c>
      <c r="L55" s="6" t="s">
        <v>64</v>
      </c>
      <c r="M55" s="6" t="s">
        <v>64</v>
      </c>
      <c r="N55" s="6" t="s">
        <v>64</v>
      </c>
      <c r="O55" s="6" t="s">
        <v>64</v>
      </c>
      <c r="P55" s="6" t="s">
        <v>64</v>
      </c>
      <c r="Q55" s="6" t="str">
        <f t="shared" si="1"/>
        <v>Aplicar identificación avanzada-condición aceptable para cada tipo de factor de riesgo identificado</v>
      </c>
      <c r="R55" s="62"/>
      <c r="S55" s="62"/>
      <c r="T55" s="62"/>
      <c r="U55" s="62"/>
      <c r="V55" s="63"/>
      <c r="W55" s="63"/>
      <c r="X55" s="63"/>
      <c r="Y55" s="63"/>
      <c r="Z55" s="63"/>
      <c r="AA55" s="6"/>
      <c r="AB55" s="6"/>
      <c r="AC55" s="6"/>
    </row>
    <row r="56" spans="1:29" ht="45">
      <c r="A56" s="62">
        <f>Datos!A55</f>
        <v>54</v>
      </c>
      <c r="B56" s="62" t="str">
        <f>Datos!B55</f>
        <v>Desposte</v>
      </c>
      <c r="C56" s="62" t="str">
        <f>Datos!C55</f>
        <v>Operador Línea Chuletas</v>
      </c>
      <c r="D56" s="62" t="str">
        <f>Datos!D55</f>
        <v>Alimentador Freund</v>
      </c>
      <c r="E56" s="63" t="str">
        <f>Datos!F55</f>
        <v>06:30 14:50 / 17:30 a 02:50</v>
      </c>
      <c r="F56" s="63">
        <f>Datos!G55</f>
        <v>1</v>
      </c>
      <c r="G56" s="63">
        <f>Datos!H55</f>
        <v>6</v>
      </c>
      <c r="H56" s="63">
        <f>Datos!I55</f>
        <v>46</v>
      </c>
      <c r="I56" s="63">
        <f>Datos!J55</f>
        <v>0</v>
      </c>
      <c r="J56" s="6" t="s">
        <v>63</v>
      </c>
      <c r="K56" s="6" t="s">
        <v>64</v>
      </c>
      <c r="L56" s="6" t="s">
        <v>64</v>
      </c>
      <c r="M56" s="6" t="s">
        <v>64</v>
      </c>
      <c r="N56" s="6" t="s">
        <v>64</v>
      </c>
      <c r="O56" s="6" t="s">
        <v>64</v>
      </c>
      <c r="P56" s="6" t="s">
        <v>64</v>
      </c>
      <c r="Q56" s="6" t="str">
        <f t="shared" si="1"/>
        <v>Aplicar identificación avanzada-condición aceptable para cada tipo de factor de riesgo identificado</v>
      </c>
      <c r="R56" s="62"/>
      <c r="S56" s="62"/>
      <c r="T56" s="62"/>
      <c r="U56" s="62"/>
      <c r="V56" s="63"/>
      <c r="W56" s="63"/>
      <c r="X56" s="63"/>
      <c r="Y56" s="63"/>
      <c r="Z56" s="63"/>
      <c r="AA56" s="6"/>
      <c r="AB56" s="6"/>
      <c r="AC56" s="6"/>
    </row>
    <row r="57" spans="1:29" ht="45">
      <c r="A57" s="62">
        <f>Datos!A56</f>
        <v>55</v>
      </c>
      <c r="B57" s="62" t="str">
        <f>Datos!B56</f>
        <v>Desposte</v>
      </c>
      <c r="C57" s="62" t="str">
        <f>Datos!C56</f>
        <v>Operador Línea Chuletas</v>
      </c>
      <c r="D57" s="62" t="str">
        <f>Datos!D56</f>
        <v>Recibir Hueso</v>
      </c>
      <c r="E57" s="63" t="str">
        <f>Datos!F56</f>
        <v>06:30 14:50 / 17:30 a 02:50</v>
      </c>
      <c r="F57" s="63">
        <f>Datos!G56</f>
        <v>1</v>
      </c>
      <c r="G57" s="63">
        <f>Datos!H56</f>
        <v>6</v>
      </c>
      <c r="H57" s="63">
        <f>Datos!I56</f>
        <v>46</v>
      </c>
      <c r="I57" s="63">
        <f>Datos!J56</f>
        <v>0</v>
      </c>
      <c r="J57" s="6" t="s">
        <v>63</v>
      </c>
      <c r="K57" s="6" t="s">
        <v>64</v>
      </c>
      <c r="L57" s="6" t="s">
        <v>64</v>
      </c>
      <c r="M57" s="6" t="s">
        <v>64</v>
      </c>
      <c r="N57" s="6" t="s">
        <v>64</v>
      </c>
      <c r="O57" s="6" t="s">
        <v>64</v>
      </c>
      <c r="P57" s="6" t="s">
        <v>64</v>
      </c>
      <c r="Q57" s="6" t="str">
        <f t="shared" si="1"/>
        <v>Aplicar identificación avanzada-condición aceptable para cada tipo de factor de riesgo identificado</v>
      </c>
      <c r="R57" s="62"/>
      <c r="S57" s="62"/>
      <c r="T57" s="62"/>
      <c r="U57" s="62"/>
      <c r="V57" s="63"/>
      <c r="W57" s="63"/>
      <c r="X57" s="63"/>
      <c r="Y57" s="63"/>
      <c r="Z57" s="63"/>
      <c r="AA57" s="6"/>
      <c r="AB57" s="6"/>
      <c r="AC57" s="6"/>
    </row>
    <row r="58" spans="1:29" ht="45">
      <c r="A58" s="62">
        <f>Datos!A57</f>
        <v>56</v>
      </c>
      <c r="B58" s="62" t="str">
        <f>Datos!B57</f>
        <v>Desposte</v>
      </c>
      <c r="C58" s="62" t="str">
        <f>Datos!C57</f>
        <v>Operador Línea Chuletas</v>
      </c>
      <c r="D58" s="62" t="str">
        <f>Datos!D57</f>
        <v>Embalar hueso</v>
      </c>
      <c r="E58" s="63" t="str">
        <f>Datos!F57</f>
        <v>06:30 14:50 / 17:30 a 02:50</v>
      </c>
      <c r="F58" s="63">
        <f>Datos!G57</f>
        <v>1</v>
      </c>
      <c r="G58" s="63">
        <f>Datos!H57</f>
        <v>6</v>
      </c>
      <c r="H58" s="63">
        <f>Datos!I57</f>
        <v>46</v>
      </c>
      <c r="I58" s="63">
        <f>Datos!J57</f>
        <v>0</v>
      </c>
      <c r="J58" s="6" t="s">
        <v>63</v>
      </c>
      <c r="K58" s="6" t="s">
        <v>64</v>
      </c>
      <c r="L58" s="6" t="s">
        <v>64</v>
      </c>
      <c r="M58" s="6" t="s">
        <v>64</v>
      </c>
      <c r="N58" s="6" t="s">
        <v>64</v>
      </c>
      <c r="O58" s="6" t="s">
        <v>64</v>
      </c>
      <c r="P58" s="6" t="s">
        <v>64</v>
      </c>
      <c r="Q58" s="6" t="str">
        <f t="shared" si="1"/>
        <v>Aplicar identificación avanzada-condición aceptable para cada tipo de factor de riesgo identificado</v>
      </c>
      <c r="R58" s="62"/>
      <c r="S58" s="62"/>
      <c r="T58" s="62"/>
      <c r="U58" s="62"/>
      <c r="V58" s="63"/>
      <c r="W58" s="63"/>
      <c r="X58" s="63"/>
      <c r="Y58" s="63"/>
      <c r="Z58" s="63"/>
      <c r="AA58" s="6"/>
      <c r="AB58" s="6"/>
      <c r="AC58" s="6"/>
    </row>
    <row r="59" spans="1:29" ht="45">
      <c r="A59" s="62">
        <f>Datos!A58</f>
        <v>57</v>
      </c>
      <c r="B59" s="62" t="str">
        <f>Datos!B58</f>
        <v>Desposte</v>
      </c>
      <c r="C59" s="62" t="str">
        <f>Datos!C58</f>
        <v>Operador Línea Costillar</v>
      </c>
      <c r="D59" s="62" t="str">
        <f>Datos!D58</f>
        <v>Abastecer Línea Costillar</v>
      </c>
      <c r="E59" s="63" t="str">
        <f>Datos!F58</f>
        <v>06:30 14:50 / 17:30 a 02:50</v>
      </c>
      <c r="F59" s="63">
        <f>Datos!G58</f>
        <v>1</v>
      </c>
      <c r="G59" s="63">
        <f>Datos!H58</f>
        <v>6</v>
      </c>
      <c r="H59" s="63">
        <f>Datos!I58</f>
        <v>38</v>
      </c>
      <c r="I59" s="63">
        <f>Datos!J58</f>
        <v>0</v>
      </c>
      <c r="J59" s="6" t="s">
        <v>63</v>
      </c>
      <c r="K59" s="6" t="s">
        <v>64</v>
      </c>
      <c r="L59" s="6" t="s">
        <v>64</v>
      </c>
      <c r="M59" s="6" t="s">
        <v>64</v>
      </c>
      <c r="N59" s="6" t="s">
        <v>64</v>
      </c>
      <c r="O59" s="6" t="s">
        <v>64</v>
      </c>
      <c r="P59" s="6" t="s">
        <v>64</v>
      </c>
      <c r="Q59" s="6" t="str">
        <f t="shared" si="1"/>
        <v>Aplicar identificación avanzada-condición aceptable para cada tipo de factor de riesgo identificado</v>
      </c>
      <c r="R59" s="62"/>
      <c r="S59" s="62"/>
      <c r="T59" s="62"/>
      <c r="U59" s="62"/>
      <c r="V59" s="63"/>
      <c r="W59" s="63"/>
      <c r="X59" s="63"/>
      <c r="Y59" s="63"/>
      <c r="Z59" s="63"/>
      <c r="AA59" s="6"/>
      <c r="AB59" s="6"/>
      <c r="AC59" s="6"/>
    </row>
    <row r="60" spans="1:29" ht="45">
      <c r="A60" s="62">
        <f>Datos!A59</f>
        <v>58</v>
      </c>
      <c r="B60" s="62" t="str">
        <f>Datos!B59</f>
        <v>Desposte</v>
      </c>
      <c r="C60" s="62" t="str">
        <f>Datos!C59</f>
        <v>Operador Línea Costillar</v>
      </c>
      <c r="D60" s="62" t="str">
        <f>Datos!D59</f>
        <v xml:space="preserve">Cuadrar panceta </v>
      </c>
      <c r="E60" s="63" t="str">
        <f>Datos!F59</f>
        <v>06:30 14:50 / 17:30 a 02:50</v>
      </c>
      <c r="F60" s="63">
        <f>Datos!G59</f>
        <v>1</v>
      </c>
      <c r="G60" s="63">
        <f>Datos!H59</f>
        <v>6</v>
      </c>
      <c r="H60" s="63">
        <f>Datos!I59</f>
        <v>38</v>
      </c>
      <c r="I60" s="63">
        <f>Datos!J59</f>
        <v>0</v>
      </c>
      <c r="J60" s="6" t="s">
        <v>63</v>
      </c>
      <c r="K60" s="6" t="s">
        <v>64</v>
      </c>
      <c r="L60" s="6" t="s">
        <v>64</v>
      </c>
      <c r="M60" s="6" t="s">
        <v>64</v>
      </c>
      <c r="N60" s="6" t="s">
        <v>64</v>
      </c>
      <c r="O60" s="6" t="s">
        <v>64</v>
      </c>
      <c r="P60" s="6" t="s">
        <v>64</v>
      </c>
      <c r="Q60" s="6" t="str">
        <f t="shared" si="1"/>
        <v>Aplicar identificación avanzada-condición aceptable para cada tipo de factor de riesgo identificado</v>
      </c>
      <c r="R60" s="62"/>
      <c r="S60" s="62"/>
      <c r="T60" s="62"/>
      <c r="U60" s="62"/>
      <c r="V60" s="63"/>
      <c r="W60" s="63"/>
      <c r="X60" s="63"/>
      <c r="Y60" s="63"/>
      <c r="Z60" s="63"/>
      <c r="AA60" s="6"/>
      <c r="AB60" s="6"/>
      <c r="AC60" s="6"/>
    </row>
    <row r="61" spans="1:29" ht="45">
      <c r="A61" s="62">
        <f>Datos!A60</f>
        <v>59</v>
      </c>
      <c r="B61" s="62" t="str">
        <f>Datos!B60</f>
        <v>Desposte</v>
      </c>
      <c r="C61" s="62" t="str">
        <f>Datos!C60</f>
        <v>Operador Línea Costillar</v>
      </c>
      <c r="D61" s="62" t="str">
        <f>Datos!D60</f>
        <v>Despunte Producto</v>
      </c>
      <c r="E61" s="63" t="str">
        <f>Datos!F60</f>
        <v>06:30 14:50 / 17:30 a 02:50</v>
      </c>
      <c r="F61" s="63">
        <f>Datos!G60</f>
        <v>1</v>
      </c>
      <c r="G61" s="63">
        <f>Datos!H60</f>
        <v>6</v>
      </c>
      <c r="H61" s="63">
        <f>Datos!I60</f>
        <v>38</v>
      </c>
      <c r="I61" s="63">
        <f>Datos!J60</f>
        <v>0</v>
      </c>
      <c r="J61" s="6" t="s">
        <v>63</v>
      </c>
      <c r="K61" s="6" t="s">
        <v>64</v>
      </c>
      <c r="L61" s="6" t="s">
        <v>64</v>
      </c>
      <c r="M61" s="6" t="s">
        <v>64</v>
      </c>
      <c r="N61" s="6" t="s">
        <v>64</v>
      </c>
      <c r="O61" s="6" t="s">
        <v>64</v>
      </c>
      <c r="P61" s="6" t="s">
        <v>64</v>
      </c>
      <c r="Q61" s="6" t="str">
        <f t="shared" si="1"/>
        <v>Aplicar identificación avanzada-condición aceptable para cada tipo de factor de riesgo identificado</v>
      </c>
      <c r="R61" s="62"/>
      <c r="S61" s="62"/>
      <c r="T61" s="62"/>
      <c r="U61" s="62"/>
      <c r="V61" s="63"/>
      <c r="W61" s="63"/>
      <c r="X61" s="63"/>
      <c r="Y61" s="63"/>
      <c r="Z61" s="63"/>
      <c r="AA61" s="6"/>
      <c r="AB61" s="6"/>
      <c r="AC61" s="6"/>
    </row>
    <row r="62" spans="1:29" ht="45">
      <c r="A62" s="62">
        <f>Datos!A61</f>
        <v>60</v>
      </c>
      <c r="B62" s="62" t="str">
        <f>Datos!B61</f>
        <v>Desposte</v>
      </c>
      <c r="C62" s="62" t="str">
        <f>Datos!C61</f>
        <v>Operador Línea Costillar</v>
      </c>
      <c r="D62" s="62" t="str">
        <f>Datos!D61</f>
        <v>Prolijado Whizard (grasa)</v>
      </c>
      <c r="E62" s="63" t="str">
        <f>Datos!F61</f>
        <v>06:30 14:50 / 17:30 a 02:50</v>
      </c>
      <c r="F62" s="63">
        <f>Datos!G61</f>
        <v>1</v>
      </c>
      <c r="G62" s="63">
        <f>Datos!H61</f>
        <v>6</v>
      </c>
      <c r="H62" s="63">
        <f>Datos!I61</f>
        <v>38</v>
      </c>
      <c r="I62" s="63">
        <f>Datos!J61</f>
        <v>0</v>
      </c>
      <c r="J62" s="6" t="s">
        <v>63</v>
      </c>
      <c r="K62" s="6" t="s">
        <v>64</v>
      </c>
      <c r="L62" s="6" t="s">
        <v>64</v>
      </c>
      <c r="M62" s="6" t="s">
        <v>64</v>
      </c>
      <c r="N62" s="6" t="s">
        <v>64</v>
      </c>
      <c r="O62" s="6" t="s">
        <v>64</v>
      </c>
      <c r="P62" s="6" t="s">
        <v>64</v>
      </c>
      <c r="Q62" s="6" t="str">
        <f t="shared" si="1"/>
        <v>Aplicar identificación avanzada-condición aceptable para cada tipo de factor de riesgo identificado</v>
      </c>
      <c r="R62" s="62"/>
      <c r="S62" s="62"/>
      <c r="T62" s="62"/>
      <c r="U62" s="62"/>
      <c r="V62" s="63"/>
      <c r="W62" s="63"/>
      <c r="X62" s="63"/>
      <c r="Y62" s="63"/>
      <c r="Z62" s="63"/>
      <c r="AA62" s="6"/>
      <c r="AB62" s="6"/>
      <c r="AC62" s="6"/>
    </row>
    <row r="63" spans="1:29" ht="45">
      <c r="A63" s="62">
        <f>Datos!A62</f>
        <v>61</v>
      </c>
      <c r="B63" s="62" t="str">
        <f>Datos!B62</f>
        <v>Desposte</v>
      </c>
      <c r="C63" s="62" t="str">
        <f>Datos!C62</f>
        <v>Operador Línea Costillar</v>
      </c>
      <c r="D63" s="62" t="str">
        <f>Datos!D62</f>
        <v>Calibrado</v>
      </c>
      <c r="E63" s="63" t="str">
        <f>Datos!F62</f>
        <v>06:30 14:50 / 17:30 a 02:50</v>
      </c>
      <c r="F63" s="63">
        <f>Datos!G62</f>
        <v>1</v>
      </c>
      <c r="G63" s="63">
        <f>Datos!H62</f>
        <v>6</v>
      </c>
      <c r="H63" s="63">
        <f>Datos!I62</f>
        <v>38</v>
      </c>
      <c r="I63" s="63">
        <f>Datos!J62</f>
        <v>0</v>
      </c>
      <c r="J63" s="6" t="s">
        <v>63</v>
      </c>
      <c r="K63" s="6" t="s">
        <v>64</v>
      </c>
      <c r="L63" s="6" t="s">
        <v>64</v>
      </c>
      <c r="M63" s="6" t="s">
        <v>64</v>
      </c>
      <c r="N63" s="6" t="s">
        <v>64</v>
      </c>
      <c r="O63" s="6" t="s">
        <v>64</v>
      </c>
      <c r="P63" s="6" t="s">
        <v>64</v>
      </c>
      <c r="Q63" s="6" t="str">
        <f t="shared" si="1"/>
        <v>Aplicar identificación avanzada-condición aceptable para cada tipo de factor de riesgo identificado</v>
      </c>
      <c r="R63" s="62"/>
      <c r="S63" s="62"/>
      <c r="T63" s="62"/>
      <c r="U63" s="62"/>
      <c r="V63" s="63"/>
      <c r="W63" s="63"/>
      <c r="X63" s="63"/>
      <c r="Y63" s="63"/>
      <c r="Z63" s="63"/>
      <c r="AA63" s="6"/>
      <c r="AB63" s="6"/>
      <c r="AC63" s="6"/>
    </row>
    <row r="64" spans="1:29" ht="45">
      <c r="A64" s="62">
        <f>Datos!A63</f>
        <v>62</v>
      </c>
      <c r="B64" s="62" t="str">
        <f>Datos!B63</f>
        <v>Desposte</v>
      </c>
      <c r="C64" s="62" t="str">
        <f>Datos!C63</f>
        <v>Operador Línea Costillar</v>
      </c>
      <c r="D64" s="62" t="str">
        <f>Datos!D63</f>
        <v>Cortado de Costillar</v>
      </c>
      <c r="E64" s="63" t="str">
        <f>Datos!F63</f>
        <v>06:30 14:50 / 17:30 a 02:50</v>
      </c>
      <c r="F64" s="63">
        <f>Datos!G63</f>
        <v>1</v>
      </c>
      <c r="G64" s="63">
        <f>Datos!H63</f>
        <v>6</v>
      </c>
      <c r="H64" s="63">
        <f>Datos!I63</f>
        <v>38</v>
      </c>
      <c r="I64" s="63">
        <f>Datos!J63</f>
        <v>0</v>
      </c>
      <c r="J64" s="6" t="s">
        <v>63</v>
      </c>
      <c r="K64" s="6" t="s">
        <v>64</v>
      </c>
      <c r="L64" s="6" t="s">
        <v>64</v>
      </c>
      <c r="M64" s="6" t="s">
        <v>64</v>
      </c>
      <c r="N64" s="6" t="s">
        <v>64</v>
      </c>
      <c r="O64" s="6" t="s">
        <v>64</v>
      </c>
      <c r="P64" s="6" t="s">
        <v>64</v>
      </c>
      <c r="Q64" s="6" t="str">
        <f t="shared" si="1"/>
        <v>Aplicar identificación avanzada-condición aceptable para cada tipo de factor de riesgo identificado</v>
      </c>
      <c r="R64" s="62"/>
      <c r="S64" s="62"/>
      <c r="T64" s="62"/>
      <c r="U64" s="62"/>
      <c r="V64" s="63"/>
      <c r="W64" s="63"/>
      <c r="X64" s="63"/>
      <c r="Y64" s="63"/>
      <c r="Z64" s="63"/>
      <c r="AA64" s="6"/>
      <c r="AB64" s="6"/>
      <c r="AC64" s="6"/>
    </row>
    <row r="65" spans="1:29" ht="45">
      <c r="A65" s="62">
        <f>Datos!A64</f>
        <v>63</v>
      </c>
      <c r="B65" s="62" t="str">
        <f>Datos!B64</f>
        <v>Desposte</v>
      </c>
      <c r="C65" s="62" t="str">
        <f>Datos!C64</f>
        <v>Operador Línea Costillar</v>
      </c>
      <c r="D65" s="62" t="str">
        <f>Datos!D64</f>
        <v xml:space="preserve">Abastecer Línea </v>
      </c>
      <c r="E65" s="63" t="str">
        <f>Datos!F64</f>
        <v>06:30 14:50 / 17:30 a 02:50</v>
      </c>
      <c r="F65" s="63">
        <f>Datos!G64</f>
        <v>1</v>
      </c>
      <c r="G65" s="63">
        <f>Datos!H64</f>
        <v>6</v>
      </c>
      <c r="H65" s="63">
        <f>Datos!I64</f>
        <v>38</v>
      </c>
      <c r="I65" s="63">
        <f>Datos!J64</f>
        <v>0</v>
      </c>
      <c r="J65" s="6" t="s">
        <v>63</v>
      </c>
      <c r="K65" s="6" t="s">
        <v>64</v>
      </c>
      <c r="L65" s="6" t="s">
        <v>64</v>
      </c>
      <c r="M65" s="6" t="s">
        <v>64</v>
      </c>
      <c r="N65" s="6" t="s">
        <v>64</v>
      </c>
      <c r="O65" s="6" t="s">
        <v>64</v>
      </c>
      <c r="P65" s="6" t="s">
        <v>64</v>
      </c>
      <c r="Q65" s="6" t="str">
        <f t="shared" si="1"/>
        <v>Aplicar identificación avanzada-condición aceptable para cada tipo de factor de riesgo identificado</v>
      </c>
      <c r="R65" s="62"/>
      <c r="S65" s="62"/>
      <c r="T65" s="62"/>
      <c r="U65" s="62"/>
      <c r="V65" s="63"/>
      <c r="W65" s="63"/>
      <c r="X65" s="63"/>
      <c r="Y65" s="63"/>
      <c r="Z65" s="63"/>
      <c r="AA65" s="6"/>
      <c r="AB65" s="6"/>
      <c r="AC65" s="6"/>
    </row>
    <row r="66" spans="1:29" ht="45">
      <c r="A66" s="62">
        <f>Datos!A65</f>
        <v>64</v>
      </c>
      <c r="B66" s="62" t="str">
        <f>Datos!B65</f>
        <v>Desposte</v>
      </c>
      <c r="C66" s="62" t="str">
        <f>Datos!C65</f>
        <v>Operador Línea paleta</v>
      </c>
      <c r="D66" s="62" t="str">
        <f>Datos!D65</f>
        <v>Separación de Vetado</v>
      </c>
      <c r="E66" s="63" t="str">
        <f>Datos!F65</f>
        <v>06:30 14:50 / 17:30 a 02:50</v>
      </c>
      <c r="F66" s="63">
        <f>Datos!G65</f>
        <v>1</v>
      </c>
      <c r="G66" s="63">
        <f>Datos!H65</f>
        <v>6</v>
      </c>
      <c r="H66" s="63">
        <f>Datos!I65</f>
        <v>32</v>
      </c>
      <c r="I66" s="63">
        <f>Datos!J65</f>
        <v>0</v>
      </c>
      <c r="J66" s="6" t="s">
        <v>63</v>
      </c>
      <c r="K66" s="6" t="s">
        <v>64</v>
      </c>
      <c r="L66" s="6" t="s">
        <v>64</v>
      </c>
      <c r="M66" s="6" t="s">
        <v>64</v>
      </c>
      <c r="N66" s="6" t="s">
        <v>64</v>
      </c>
      <c r="O66" s="6" t="s">
        <v>64</v>
      </c>
      <c r="P66" s="6" t="s">
        <v>64</v>
      </c>
      <c r="Q66" s="6" t="str">
        <f t="shared" si="1"/>
        <v>Aplicar identificación avanzada-condición aceptable para cada tipo de factor de riesgo identificado</v>
      </c>
      <c r="R66" s="62"/>
      <c r="S66" s="62"/>
      <c r="T66" s="62"/>
      <c r="U66" s="62"/>
      <c r="V66" s="63"/>
      <c r="W66" s="63"/>
      <c r="X66" s="63"/>
      <c r="Y66" s="63"/>
      <c r="Z66" s="63"/>
      <c r="AA66" s="6"/>
      <c r="AB66" s="6"/>
      <c r="AC66" s="6"/>
    </row>
    <row r="67" spans="1:29" ht="45">
      <c r="A67" s="62">
        <f>Datos!A66</f>
        <v>65</v>
      </c>
      <c r="B67" s="62" t="str">
        <f>Datos!B66</f>
        <v>Desposte</v>
      </c>
      <c r="C67" s="62" t="str">
        <f>Datos!C66</f>
        <v>Operador Línea paleta</v>
      </c>
      <c r="D67" s="62" t="str">
        <f>Datos!D66</f>
        <v>Segrega Producto</v>
      </c>
      <c r="E67" s="63" t="str">
        <f>Datos!F66</f>
        <v>06:30 14:50 / 17:30 a 02:50</v>
      </c>
      <c r="F67" s="63">
        <f>Datos!G66</f>
        <v>1</v>
      </c>
      <c r="G67" s="63">
        <f>Datos!H66</f>
        <v>6</v>
      </c>
      <c r="H67" s="63">
        <f>Datos!I66</f>
        <v>32</v>
      </c>
      <c r="I67" s="63">
        <f>Datos!J66</f>
        <v>0</v>
      </c>
      <c r="J67" s="6" t="s">
        <v>63</v>
      </c>
      <c r="K67" s="6" t="s">
        <v>64</v>
      </c>
      <c r="L67" s="6" t="s">
        <v>64</v>
      </c>
      <c r="M67" s="6" t="s">
        <v>64</v>
      </c>
      <c r="N67" s="6" t="s">
        <v>64</v>
      </c>
      <c r="O67" s="6" t="s">
        <v>64</v>
      </c>
      <c r="P67" s="6" t="s">
        <v>64</v>
      </c>
      <c r="Q67" s="6" t="str">
        <f t="shared" si="1"/>
        <v>Aplicar identificación avanzada-condición aceptable para cada tipo de factor de riesgo identificado</v>
      </c>
      <c r="R67" s="62"/>
      <c r="S67" s="62"/>
      <c r="T67" s="62"/>
      <c r="U67" s="62"/>
      <c r="V67" s="63"/>
      <c r="W67" s="63"/>
      <c r="X67" s="63"/>
      <c r="Y67" s="63"/>
      <c r="Z67" s="63"/>
      <c r="AA67" s="6"/>
      <c r="AB67" s="6"/>
      <c r="AC67" s="6"/>
    </row>
    <row r="68" spans="1:29" ht="45">
      <c r="A68" s="62">
        <f>Datos!A67</f>
        <v>66</v>
      </c>
      <c r="B68" s="62" t="str">
        <f>Datos!B67</f>
        <v>Desposte</v>
      </c>
      <c r="C68" s="62" t="str">
        <f>Datos!C67</f>
        <v>Operador Línea paleta</v>
      </c>
      <c r="D68" s="62" t="str">
        <f>Datos!D67</f>
        <v>Papada</v>
      </c>
      <c r="E68" s="63" t="str">
        <f>Datos!F67</f>
        <v>06:30 14:50 / 17:30 a 02:50</v>
      </c>
      <c r="F68" s="63">
        <f>Datos!G67</f>
        <v>1</v>
      </c>
      <c r="G68" s="63">
        <f>Datos!H67</f>
        <v>6</v>
      </c>
      <c r="H68" s="63">
        <f>Datos!I67</f>
        <v>32</v>
      </c>
      <c r="I68" s="63">
        <f>Datos!J67</f>
        <v>0</v>
      </c>
      <c r="J68" s="6" t="s">
        <v>63</v>
      </c>
      <c r="K68" s="6" t="s">
        <v>64</v>
      </c>
      <c r="L68" s="6" t="s">
        <v>64</v>
      </c>
      <c r="M68" s="6" t="s">
        <v>64</v>
      </c>
      <c r="N68" s="6" t="s">
        <v>64</v>
      </c>
      <c r="O68" s="6" t="s">
        <v>64</v>
      </c>
      <c r="P68" s="6" t="s">
        <v>64</v>
      </c>
      <c r="Q68" s="6" t="str">
        <f t="shared" si="1"/>
        <v>Aplicar identificación avanzada-condición aceptable para cada tipo de factor de riesgo identificado</v>
      </c>
      <c r="R68" s="62"/>
      <c r="S68" s="62"/>
      <c r="T68" s="62"/>
      <c r="U68" s="62"/>
      <c r="V68" s="63"/>
      <c r="W68" s="63"/>
      <c r="X68" s="63"/>
      <c r="Y68" s="63"/>
      <c r="Z68" s="63"/>
      <c r="AA68" s="6"/>
      <c r="AB68" s="6"/>
      <c r="AC68" s="6"/>
    </row>
    <row r="69" spans="1:29" ht="45">
      <c r="A69" s="62">
        <f>Datos!A68</f>
        <v>67</v>
      </c>
      <c r="B69" s="62" t="str">
        <f>Datos!B68</f>
        <v>Desposte</v>
      </c>
      <c r="C69" s="62" t="str">
        <f>Datos!C68</f>
        <v>Operador Línea paleta</v>
      </c>
      <c r="D69" s="62" t="str">
        <f>Datos!D68</f>
        <v>Forrero</v>
      </c>
      <c r="E69" s="63" t="str">
        <f>Datos!F68</f>
        <v>06:30 14:50 / 17:30 a 02:50</v>
      </c>
      <c r="F69" s="63">
        <f>Datos!G68</f>
        <v>1</v>
      </c>
      <c r="G69" s="63">
        <f>Datos!H68</f>
        <v>6</v>
      </c>
      <c r="H69" s="63">
        <f>Datos!I68</f>
        <v>32</v>
      </c>
      <c r="I69" s="63">
        <f>Datos!J68</f>
        <v>0</v>
      </c>
      <c r="J69" s="6" t="s">
        <v>63</v>
      </c>
      <c r="K69" s="6" t="s">
        <v>64</v>
      </c>
      <c r="L69" s="6" t="s">
        <v>64</v>
      </c>
      <c r="M69" s="6" t="s">
        <v>64</v>
      </c>
      <c r="N69" s="6" t="s">
        <v>64</v>
      </c>
      <c r="O69" s="6" t="s">
        <v>64</v>
      </c>
      <c r="P69" s="6" t="s">
        <v>64</v>
      </c>
      <c r="Q69" s="6" t="str">
        <f t="shared" si="1"/>
        <v>Aplicar identificación avanzada-condición aceptable para cada tipo de factor de riesgo identificado</v>
      </c>
      <c r="R69" s="62"/>
      <c r="S69" s="62"/>
      <c r="T69" s="62"/>
      <c r="U69" s="62"/>
      <c r="V69" s="63"/>
      <c r="W69" s="63"/>
      <c r="X69" s="63"/>
      <c r="Y69" s="63"/>
      <c r="Z69" s="63"/>
      <c r="AA69" s="6"/>
      <c r="AB69" s="6"/>
      <c r="AC69" s="6"/>
    </row>
    <row r="70" spans="1:29" ht="45">
      <c r="A70" s="62">
        <f>Datos!A69</f>
        <v>68</v>
      </c>
      <c r="B70" s="62" t="str">
        <f>Datos!B69</f>
        <v>Desposte</v>
      </c>
      <c r="C70" s="62" t="str">
        <f>Datos!C69</f>
        <v>Operador Línea paleta</v>
      </c>
      <c r="D70" s="62" t="str">
        <f>Datos!D69</f>
        <v>Rayado</v>
      </c>
      <c r="E70" s="63" t="str">
        <f>Datos!F69</f>
        <v>06:30 14:50 / 17:30 a 02:50</v>
      </c>
      <c r="F70" s="63">
        <f>Datos!G69</f>
        <v>1</v>
      </c>
      <c r="G70" s="63">
        <f>Datos!H69</f>
        <v>6</v>
      </c>
      <c r="H70" s="63">
        <f>Datos!I69</f>
        <v>32</v>
      </c>
      <c r="I70" s="63">
        <f>Datos!J69</f>
        <v>0</v>
      </c>
      <c r="J70" s="6" t="s">
        <v>63</v>
      </c>
      <c r="K70" s="6" t="s">
        <v>64</v>
      </c>
      <c r="L70" s="6" t="s">
        <v>64</v>
      </c>
      <c r="M70" s="6" t="s">
        <v>64</v>
      </c>
      <c r="N70" s="6" t="s">
        <v>64</v>
      </c>
      <c r="O70" s="6" t="s">
        <v>64</v>
      </c>
      <c r="P70" s="6" t="s">
        <v>64</v>
      </c>
      <c r="Q70" s="6" t="str">
        <f t="shared" si="1"/>
        <v>Aplicar identificación avanzada-condición aceptable para cada tipo de factor de riesgo identificado</v>
      </c>
      <c r="R70" s="62"/>
      <c r="S70" s="62"/>
      <c r="T70" s="62"/>
      <c r="U70" s="62"/>
      <c r="V70" s="63"/>
      <c r="W70" s="63"/>
      <c r="X70" s="63"/>
      <c r="Y70" s="63"/>
      <c r="Z70" s="63"/>
      <c r="AA70" s="6"/>
      <c r="AB70" s="6"/>
      <c r="AC70" s="6"/>
    </row>
    <row r="71" spans="1:29" ht="45">
      <c r="A71" s="62">
        <f>Datos!A70</f>
        <v>69</v>
      </c>
      <c r="B71" s="62" t="str">
        <f>Datos!B70</f>
        <v>Desposte</v>
      </c>
      <c r="C71" s="62" t="str">
        <f>Datos!C70</f>
        <v>Operador Línea paleta</v>
      </c>
      <c r="D71" s="62" t="str">
        <f>Datos!D70</f>
        <v>Cortar Plateada</v>
      </c>
      <c r="E71" s="63" t="str">
        <f>Datos!F70</f>
        <v>06:30 14:50 / 17:30 a 02:50</v>
      </c>
      <c r="F71" s="63">
        <f>Datos!G70</f>
        <v>1</v>
      </c>
      <c r="G71" s="63">
        <f>Datos!H70</f>
        <v>6</v>
      </c>
      <c r="H71" s="63">
        <f>Datos!I70</f>
        <v>32</v>
      </c>
      <c r="I71" s="63">
        <f>Datos!J70</f>
        <v>0</v>
      </c>
      <c r="J71" s="6" t="s">
        <v>63</v>
      </c>
      <c r="K71" s="6" t="s">
        <v>64</v>
      </c>
      <c r="L71" s="6" t="s">
        <v>64</v>
      </c>
      <c r="M71" s="6" t="s">
        <v>64</v>
      </c>
      <c r="N71" s="6" t="s">
        <v>64</v>
      </c>
      <c r="O71" s="6" t="s">
        <v>64</v>
      </c>
      <c r="P71" s="6" t="s">
        <v>64</v>
      </c>
      <c r="Q71" s="6" t="str">
        <f t="shared" si="1"/>
        <v>Aplicar identificación avanzada-condición aceptable para cada tipo de factor de riesgo identificado</v>
      </c>
      <c r="R71" s="62"/>
      <c r="S71" s="62"/>
      <c r="T71" s="62"/>
      <c r="U71" s="62"/>
      <c r="V71" s="63"/>
      <c r="W71" s="63"/>
      <c r="X71" s="63"/>
      <c r="Y71" s="63"/>
      <c r="Z71" s="63"/>
      <c r="AA71" s="6"/>
      <c r="AB71" s="6"/>
      <c r="AC71" s="6"/>
    </row>
    <row r="72" spans="1:29" ht="45">
      <c r="A72" s="62">
        <f>Datos!A71</f>
        <v>70</v>
      </c>
      <c r="B72" s="62" t="str">
        <f>Datos!B71</f>
        <v>Desposte</v>
      </c>
      <c r="C72" s="62" t="str">
        <f>Datos!C71</f>
        <v>Operador Línea paleta</v>
      </c>
      <c r="D72" s="62" t="str">
        <f>Datos!D71</f>
        <v>Pistola Escapula</v>
      </c>
      <c r="E72" s="63" t="str">
        <f>Datos!F71</f>
        <v>06:30 14:50 / 17:30 a 02:50</v>
      </c>
      <c r="F72" s="63">
        <f>Datos!G71</f>
        <v>1</v>
      </c>
      <c r="G72" s="63">
        <f>Datos!H71</f>
        <v>6</v>
      </c>
      <c r="H72" s="63">
        <f>Datos!I71</f>
        <v>32</v>
      </c>
      <c r="I72" s="63">
        <f>Datos!J71</f>
        <v>0</v>
      </c>
      <c r="J72" s="6" t="s">
        <v>63</v>
      </c>
      <c r="K72" s="6" t="s">
        <v>64</v>
      </c>
      <c r="L72" s="6" t="s">
        <v>64</v>
      </c>
      <c r="M72" s="6" t="s">
        <v>64</v>
      </c>
      <c r="N72" s="6" t="s">
        <v>64</v>
      </c>
      <c r="O72" s="6" t="s">
        <v>64</v>
      </c>
      <c r="P72" s="6" t="s">
        <v>64</v>
      </c>
      <c r="Q72" s="6" t="str">
        <f t="shared" si="1"/>
        <v>Aplicar identificación avanzada-condición aceptable para cada tipo de factor de riesgo identificado</v>
      </c>
      <c r="R72" s="62"/>
      <c r="S72" s="62"/>
      <c r="T72" s="62"/>
      <c r="U72" s="62"/>
      <c r="V72" s="63"/>
      <c r="W72" s="63"/>
      <c r="X72" s="63"/>
      <c r="Y72" s="63"/>
      <c r="Z72" s="63"/>
      <c r="AA72" s="6"/>
      <c r="AB72" s="6"/>
      <c r="AC72" s="6"/>
    </row>
    <row r="73" spans="1:29" ht="45">
      <c r="A73" s="62">
        <f>Datos!A72</f>
        <v>71</v>
      </c>
      <c r="B73" s="62" t="str">
        <f>Datos!B72</f>
        <v>Desposte</v>
      </c>
      <c r="C73" s="62" t="str">
        <f>Datos!C72</f>
        <v>Operador Línea paleta</v>
      </c>
      <c r="D73" s="62" t="str">
        <f>Datos!D72</f>
        <v>Deshuesado Escapula</v>
      </c>
      <c r="E73" s="63" t="str">
        <f>Datos!F72</f>
        <v>06:30 14:50 / 17:30 a 02:50</v>
      </c>
      <c r="F73" s="63">
        <f>Datos!G72</f>
        <v>1</v>
      </c>
      <c r="G73" s="63">
        <f>Datos!H72</f>
        <v>6</v>
      </c>
      <c r="H73" s="63">
        <f>Datos!I72</f>
        <v>32</v>
      </c>
      <c r="I73" s="63">
        <f>Datos!J72</f>
        <v>0</v>
      </c>
      <c r="J73" s="6" t="s">
        <v>63</v>
      </c>
      <c r="K73" s="6" t="s">
        <v>63</v>
      </c>
      <c r="L73" s="6" t="s">
        <v>63</v>
      </c>
      <c r="M73" s="6" t="s">
        <v>63</v>
      </c>
      <c r="N73" s="6" t="s">
        <v>64</v>
      </c>
      <c r="O73" s="6" t="s">
        <v>64</v>
      </c>
      <c r="P73" s="6" t="s">
        <v>64</v>
      </c>
      <c r="Q73" s="6" t="str">
        <f t="shared" si="1"/>
        <v>Aplicar identificación avanzada-condición aceptable para cada tipo de factor de riesgo identificado</v>
      </c>
      <c r="R73" s="62"/>
      <c r="S73" s="62"/>
      <c r="T73" s="62"/>
      <c r="U73" s="62"/>
      <c r="V73" s="63"/>
      <c r="W73" s="63"/>
      <c r="X73" s="63"/>
      <c r="Y73" s="63"/>
      <c r="Z73" s="63"/>
      <c r="AA73" s="6"/>
      <c r="AB73" s="6"/>
      <c r="AC73" s="6"/>
    </row>
    <row r="74" spans="1:29" ht="45">
      <c r="A74" s="62">
        <f>Datos!A73</f>
        <v>72</v>
      </c>
      <c r="B74" s="62" t="str">
        <f>Datos!B73</f>
        <v>Desposte</v>
      </c>
      <c r="C74" s="62" t="str">
        <f>Datos!C73</f>
        <v>Operador Línea paleta</v>
      </c>
      <c r="D74" s="62" t="str">
        <f>Datos!D73</f>
        <v>Deshuesado Humero</v>
      </c>
      <c r="E74" s="63" t="str">
        <f>Datos!F73</f>
        <v>06:30 14:50 / 17:30 a 02:50</v>
      </c>
      <c r="F74" s="63">
        <f>Datos!G73</f>
        <v>1</v>
      </c>
      <c r="G74" s="63">
        <f>Datos!H73</f>
        <v>6</v>
      </c>
      <c r="H74" s="63">
        <f>Datos!I73</f>
        <v>32</v>
      </c>
      <c r="I74" s="63">
        <f>Datos!J73</f>
        <v>0</v>
      </c>
      <c r="J74" s="6" t="s">
        <v>63</v>
      </c>
      <c r="K74" s="6" t="s">
        <v>64</v>
      </c>
      <c r="L74" s="6" t="s">
        <v>64</v>
      </c>
      <c r="M74" s="6" t="s">
        <v>64</v>
      </c>
      <c r="N74" s="6" t="s">
        <v>64</v>
      </c>
      <c r="O74" s="6" t="s">
        <v>64</v>
      </c>
      <c r="P74" s="6" t="s">
        <v>64</v>
      </c>
      <c r="Q74" s="6" t="str">
        <f t="shared" si="1"/>
        <v>Aplicar identificación avanzada-condición aceptable para cada tipo de factor de riesgo identificado</v>
      </c>
      <c r="R74" s="62"/>
      <c r="S74" s="62"/>
      <c r="T74" s="62"/>
      <c r="U74" s="62"/>
      <c r="V74" s="63"/>
      <c r="W74" s="63"/>
      <c r="X74" s="63"/>
      <c r="Y74" s="63"/>
      <c r="Z74" s="63"/>
      <c r="AA74" s="6"/>
      <c r="AB74" s="6"/>
      <c r="AC74" s="6"/>
    </row>
    <row r="75" spans="1:29" ht="45">
      <c r="A75" s="62">
        <f>Datos!A74</f>
        <v>73</v>
      </c>
      <c r="B75" s="62" t="str">
        <f>Datos!B74</f>
        <v>Desposte</v>
      </c>
      <c r="C75" s="62" t="str">
        <f>Datos!C74</f>
        <v>Operador Línea paleta</v>
      </c>
      <c r="D75" s="62" t="str">
        <f>Datos!D74</f>
        <v>Embolsado</v>
      </c>
      <c r="E75" s="63" t="str">
        <f>Datos!F74</f>
        <v>06:30 14:50 / 17:30 a 02:50</v>
      </c>
      <c r="F75" s="63">
        <f>Datos!G74</f>
        <v>1</v>
      </c>
      <c r="G75" s="63">
        <f>Datos!H74</f>
        <v>6</v>
      </c>
      <c r="H75" s="63">
        <f>Datos!I74</f>
        <v>32</v>
      </c>
      <c r="I75" s="63">
        <f>Datos!J74</f>
        <v>0</v>
      </c>
      <c r="J75" s="6" t="s">
        <v>63</v>
      </c>
      <c r="K75" s="6" t="s">
        <v>64</v>
      </c>
      <c r="L75" s="6" t="s">
        <v>64</v>
      </c>
      <c r="M75" s="6" t="s">
        <v>64</v>
      </c>
      <c r="N75" s="6" t="s">
        <v>64</v>
      </c>
      <c r="O75" s="6" t="s">
        <v>64</v>
      </c>
      <c r="P75" s="6" t="s">
        <v>64</v>
      </c>
      <c r="Q75" s="6" t="str">
        <f t="shared" si="1"/>
        <v>Aplicar identificación avanzada-condición aceptable para cada tipo de factor de riesgo identificado</v>
      </c>
      <c r="R75" s="62"/>
      <c r="S75" s="62"/>
      <c r="T75" s="62"/>
      <c r="U75" s="62"/>
      <c r="V75" s="63"/>
      <c r="W75" s="63"/>
      <c r="X75" s="63"/>
      <c r="Y75" s="63"/>
      <c r="Z75" s="63"/>
      <c r="AA75" s="6"/>
      <c r="AB75" s="6"/>
      <c r="AC75" s="6"/>
    </row>
    <row r="76" spans="1:29" ht="45">
      <c r="A76" s="62">
        <f>Datos!A75</f>
        <v>74</v>
      </c>
      <c r="B76" s="62" t="str">
        <f>Datos!B75</f>
        <v>Desposte</v>
      </c>
      <c r="C76" s="62" t="str">
        <f>Datos!C75</f>
        <v>Operador Línea paleta</v>
      </c>
      <c r="D76" s="62" t="str">
        <f>Datos!D75</f>
        <v>Prolijado</v>
      </c>
      <c r="E76" s="63" t="str">
        <f>Datos!F75</f>
        <v>06:30 14:50 / 17:30 a 02:50</v>
      </c>
      <c r="F76" s="63">
        <f>Datos!G75</f>
        <v>1</v>
      </c>
      <c r="G76" s="63">
        <f>Datos!H75</f>
        <v>6</v>
      </c>
      <c r="H76" s="63">
        <f>Datos!I75</f>
        <v>32</v>
      </c>
      <c r="I76" s="63">
        <f>Datos!J75</f>
        <v>0</v>
      </c>
      <c r="J76" s="6" t="s">
        <v>63</v>
      </c>
      <c r="K76" s="6" t="s">
        <v>64</v>
      </c>
      <c r="L76" s="6" t="s">
        <v>64</v>
      </c>
      <c r="M76" s="6" t="s">
        <v>64</v>
      </c>
      <c r="N76" s="6" t="s">
        <v>64</v>
      </c>
      <c r="O76" s="6" t="s">
        <v>64</v>
      </c>
      <c r="P76" s="6" t="s">
        <v>64</v>
      </c>
      <c r="Q76" s="6" t="str">
        <f t="shared" si="1"/>
        <v>Aplicar identificación avanzada-condición aceptable para cada tipo de factor de riesgo identificado</v>
      </c>
      <c r="R76" s="62"/>
      <c r="S76" s="62"/>
      <c r="T76" s="62"/>
      <c r="U76" s="62"/>
      <c r="V76" s="63"/>
      <c r="W76" s="63"/>
      <c r="X76" s="63"/>
      <c r="Y76" s="63"/>
      <c r="Z76" s="63"/>
      <c r="AA76" s="6"/>
      <c r="AB76" s="6"/>
      <c r="AC76" s="6"/>
    </row>
    <row r="77" spans="1:29" ht="45">
      <c r="A77" s="62">
        <f>Datos!A76</f>
        <v>75</v>
      </c>
      <c r="B77" s="62" t="str">
        <f>Datos!B76</f>
        <v>Desposte</v>
      </c>
      <c r="C77" s="62" t="str">
        <f>Datos!C76</f>
        <v>Operador LíneaVetado</v>
      </c>
      <c r="D77" s="62" t="str">
        <f>Datos!D76</f>
        <v xml:space="preserve">Abastecer máquina </v>
      </c>
      <c r="E77" s="63" t="str">
        <f>Datos!F76</f>
        <v>06:30 14:50 / 17:30 a 02:50</v>
      </c>
      <c r="F77" s="63">
        <f>Datos!G76</f>
        <v>1</v>
      </c>
      <c r="G77" s="63">
        <f>Datos!H76</f>
        <v>6</v>
      </c>
      <c r="H77" s="63">
        <f>Datos!I76</f>
        <v>36</v>
      </c>
      <c r="I77" s="63">
        <f>Datos!J76</f>
        <v>0</v>
      </c>
      <c r="J77" s="6" t="s">
        <v>63</v>
      </c>
      <c r="K77" s="6" t="s">
        <v>64</v>
      </c>
      <c r="L77" s="6" t="s">
        <v>64</v>
      </c>
      <c r="M77" s="6" t="s">
        <v>64</v>
      </c>
      <c r="N77" s="6" t="s">
        <v>64</v>
      </c>
      <c r="O77" s="6" t="s">
        <v>64</v>
      </c>
      <c r="P77" s="6" t="s">
        <v>64</v>
      </c>
      <c r="Q77" s="6" t="str">
        <f t="shared" si="1"/>
        <v>Aplicar identificación avanzada-condición aceptable para cada tipo de factor de riesgo identificado</v>
      </c>
      <c r="R77" s="62"/>
      <c r="S77" s="62"/>
      <c r="T77" s="62"/>
      <c r="U77" s="62"/>
      <c r="V77" s="63"/>
      <c r="W77" s="63"/>
      <c r="X77" s="63"/>
      <c r="Y77" s="63"/>
      <c r="Z77" s="63"/>
      <c r="AA77" s="6"/>
      <c r="AB77" s="6"/>
      <c r="AC77" s="6"/>
    </row>
    <row r="78" spans="1:29" ht="45">
      <c r="A78" s="62">
        <f>Datos!A77</f>
        <v>76</v>
      </c>
      <c r="B78" s="62" t="str">
        <f>Datos!B77</f>
        <v>Desposte</v>
      </c>
      <c r="C78" s="62" t="str">
        <f>Datos!C77</f>
        <v>Operador LíneaVetado</v>
      </c>
      <c r="D78" s="62" t="str">
        <f>Datos!D77</f>
        <v>Punta Costilla</v>
      </c>
      <c r="E78" s="63" t="str">
        <f>Datos!F77</f>
        <v>06:30 14:50 / 17:30 a 02:50</v>
      </c>
      <c r="F78" s="63">
        <f>Datos!G77</f>
        <v>1</v>
      </c>
      <c r="G78" s="63">
        <f>Datos!H77</f>
        <v>6</v>
      </c>
      <c r="H78" s="63">
        <f>Datos!I77</f>
        <v>36</v>
      </c>
      <c r="I78" s="63">
        <f>Datos!J77</f>
        <v>0</v>
      </c>
      <c r="J78" s="6" t="s">
        <v>63</v>
      </c>
      <c r="K78" s="6" t="s">
        <v>64</v>
      </c>
      <c r="L78" s="6" t="s">
        <v>64</v>
      </c>
      <c r="M78" s="6" t="s">
        <v>64</v>
      </c>
      <c r="N78" s="6" t="s">
        <v>64</v>
      </c>
      <c r="O78" s="6" t="s">
        <v>64</v>
      </c>
      <c r="P78" s="6" t="s">
        <v>64</v>
      </c>
      <c r="Q78" s="6" t="str">
        <f t="shared" si="1"/>
        <v>Aplicar identificación avanzada-condición aceptable para cada tipo de factor de riesgo identificado</v>
      </c>
      <c r="R78" s="62"/>
      <c r="S78" s="62"/>
      <c r="T78" s="62"/>
      <c r="U78" s="62"/>
      <c r="V78" s="63"/>
      <c r="W78" s="63"/>
      <c r="X78" s="63"/>
      <c r="Y78" s="63"/>
      <c r="Z78" s="63"/>
      <c r="AA78" s="6"/>
      <c r="AB78" s="6"/>
      <c r="AC78" s="6"/>
    </row>
    <row r="79" spans="1:29" ht="45">
      <c r="A79" s="62">
        <f>Datos!A78</f>
        <v>77</v>
      </c>
      <c r="B79" s="62" t="str">
        <f>Datos!B78</f>
        <v>Desposte</v>
      </c>
      <c r="C79" s="62" t="str">
        <f>Datos!C78</f>
        <v>Operador LíneaVetado</v>
      </c>
      <c r="D79" s="62" t="str">
        <f>Datos!D78</f>
        <v xml:space="preserve">Hueso Externón </v>
      </c>
      <c r="E79" s="63" t="str">
        <f>Datos!F78</f>
        <v>06:30 14:50 / 17:30 a 02:50</v>
      </c>
      <c r="F79" s="63">
        <f>Datos!G78</f>
        <v>1</v>
      </c>
      <c r="G79" s="63">
        <f>Datos!H78</f>
        <v>6</v>
      </c>
      <c r="H79" s="63">
        <f>Datos!I78</f>
        <v>36</v>
      </c>
      <c r="I79" s="63">
        <f>Datos!J78</f>
        <v>0</v>
      </c>
      <c r="J79" s="6" t="s">
        <v>63</v>
      </c>
      <c r="K79" s="6" t="s">
        <v>64</v>
      </c>
      <c r="L79" s="6" t="s">
        <v>64</v>
      </c>
      <c r="M79" s="6" t="s">
        <v>64</v>
      </c>
      <c r="N79" s="6" t="s">
        <v>64</v>
      </c>
      <c r="O79" s="6" t="s">
        <v>64</v>
      </c>
      <c r="P79" s="6" t="s">
        <v>64</v>
      </c>
      <c r="Q79" s="6" t="str">
        <f t="shared" si="1"/>
        <v>Aplicar identificación avanzada-condición aceptable para cada tipo de factor de riesgo identificado</v>
      </c>
      <c r="R79" s="62"/>
      <c r="S79" s="62"/>
      <c r="T79" s="62"/>
      <c r="U79" s="62"/>
      <c r="V79" s="63"/>
      <c r="W79" s="63"/>
      <c r="X79" s="63"/>
      <c r="Y79" s="63"/>
      <c r="Z79" s="63"/>
      <c r="AA79" s="6"/>
      <c r="AB79" s="6"/>
      <c r="AC79" s="6"/>
    </row>
    <row r="80" spans="1:29" ht="45">
      <c r="A80" s="62">
        <f>Datos!A79</f>
        <v>78</v>
      </c>
      <c r="B80" s="62" t="str">
        <f>Datos!B79</f>
        <v>Desposte</v>
      </c>
      <c r="C80" s="62" t="str">
        <f>Datos!C79</f>
        <v>Operador LíneaVetado</v>
      </c>
      <c r="D80" s="62" t="str">
        <f>Datos!D79</f>
        <v>Costillita</v>
      </c>
      <c r="E80" s="63" t="str">
        <f>Datos!F79</f>
        <v>06:30 14:50 / 17:30 a 02:50</v>
      </c>
      <c r="F80" s="63">
        <f>Datos!G79</f>
        <v>1</v>
      </c>
      <c r="G80" s="63">
        <f>Datos!H79</f>
        <v>6</v>
      </c>
      <c r="H80" s="63">
        <f>Datos!I79</f>
        <v>36</v>
      </c>
      <c r="I80" s="63">
        <f>Datos!J79</f>
        <v>0</v>
      </c>
      <c r="J80" s="6" t="s">
        <v>63</v>
      </c>
      <c r="K80" s="6" t="s">
        <v>64</v>
      </c>
      <c r="L80" s="6" t="s">
        <v>64</v>
      </c>
      <c r="M80" s="6" t="s">
        <v>64</v>
      </c>
      <c r="N80" s="6" t="s">
        <v>64</v>
      </c>
      <c r="O80" s="6" t="s">
        <v>64</v>
      </c>
      <c r="P80" s="6" t="s">
        <v>64</v>
      </c>
      <c r="Q80" s="6" t="str">
        <f t="shared" si="1"/>
        <v>Aplicar identificación avanzada-condición aceptable para cada tipo de factor de riesgo identificado</v>
      </c>
      <c r="R80" s="62"/>
      <c r="S80" s="62"/>
      <c r="T80" s="62"/>
      <c r="U80" s="62"/>
      <c r="V80" s="63"/>
      <c r="W80" s="63"/>
      <c r="X80" s="63"/>
      <c r="Y80" s="63"/>
      <c r="Z80" s="63"/>
      <c r="AA80" s="6"/>
      <c r="AB80" s="6"/>
      <c r="AC80" s="6"/>
    </row>
    <row r="81" spans="1:29" ht="45">
      <c r="A81" s="62">
        <f>Datos!A80</f>
        <v>79</v>
      </c>
      <c r="B81" s="62" t="str">
        <f>Datos!B80</f>
        <v>Desposte</v>
      </c>
      <c r="C81" s="62" t="str">
        <f>Datos!C80</f>
        <v>Operador LíneaVetado</v>
      </c>
      <c r="D81" s="62" t="str">
        <f>Datos!D80</f>
        <v>Prolijado de Papada</v>
      </c>
      <c r="E81" s="63" t="str">
        <f>Datos!F80</f>
        <v>06:30 14:50 / 17:30 a 02:50</v>
      </c>
      <c r="F81" s="63">
        <f>Datos!G80</f>
        <v>1</v>
      </c>
      <c r="G81" s="63">
        <f>Datos!H80</f>
        <v>6</v>
      </c>
      <c r="H81" s="63">
        <f>Datos!I80</f>
        <v>36</v>
      </c>
      <c r="I81" s="63">
        <f>Datos!J80</f>
        <v>0</v>
      </c>
      <c r="J81" s="6" t="s">
        <v>63</v>
      </c>
      <c r="K81" s="6" t="s">
        <v>64</v>
      </c>
      <c r="L81" s="6" t="s">
        <v>64</v>
      </c>
      <c r="M81" s="6" t="s">
        <v>64</v>
      </c>
      <c r="N81" s="6" t="s">
        <v>64</v>
      </c>
      <c r="O81" s="6" t="s">
        <v>64</v>
      </c>
      <c r="P81" s="6" t="s">
        <v>64</v>
      </c>
      <c r="Q81" s="6" t="str">
        <f t="shared" si="1"/>
        <v>Aplicar identificación avanzada-condición aceptable para cada tipo de factor de riesgo identificado</v>
      </c>
      <c r="R81" s="62"/>
      <c r="S81" s="62"/>
      <c r="T81" s="62"/>
      <c r="U81" s="62"/>
      <c r="V81" s="63"/>
      <c r="W81" s="63"/>
      <c r="X81" s="63"/>
      <c r="Y81" s="63"/>
      <c r="Z81" s="63"/>
      <c r="AA81" s="6"/>
      <c r="AB81" s="6"/>
      <c r="AC81" s="6"/>
    </row>
    <row r="82" spans="1:29" ht="45">
      <c r="A82" s="62">
        <f>Datos!A81</f>
        <v>80</v>
      </c>
      <c r="B82" s="62" t="str">
        <f>Datos!B81</f>
        <v>Desposte</v>
      </c>
      <c r="C82" s="62" t="str">
        <f>Datos!C81</f>
        <v>Operador LíneaVetado</v>
      </c>
      <c r="D82" s="62" t="str">
        <f>Datos!D81</f>
        <v>Ganglios</v>
      </c>
      <c r="E82" s="63" t="str">
        <f>Datos!F81</f>
        <v>06:30 14:50 / 17:30 a 02:50</v>
      </c>
      <c r="F82" s="63">
        <f>Datos!G81</f>
        <v>1</v>
      </c>
      <c r="G82" s="63">
        <f>Datos!H81</f>
        <v>6</v>
      </c>
      <c r="H82" s="63">
        <f>Datos!I81</f>
        <v>36</v>
      </c>
      <c r="I82" s="63">
        <f>Datos!J81</f>
        <v>0</v>
      </c>
      <c r="J82" s="6" t="s">
        <v>63</v>
      </c>
      <c r="K82" s="6" t="s">
        <v>64</v>
      </c>
      <c r="L82" s="6" t="s">
        <v>64</v>
      </c>
      <c r="M82" s="6" t="s">
        <v>64</v>
      </c>
      <c r="N82" s="6" t="s">
        <v>64</v>
      </c>
      <c r="O82" s="6" t="s">
        <v>64</v>
      </c>
      <c r="P82" s="6" t="s">
        <v>64</v>
      </c>
      <c r="Q82" s="6" t="str">
        <f t="shared" si="1"/>
        <v>Aplicar identificación avanzada-condición aceptable para cada tipo de factor de riesgo identificado</v>
      </c>
      <c r="R82" s="62"/>
      <c r="S82" s="62"/>
      <c r="T82" s="62"/>
      <c r="U82" s="62"/>
      <c r="V82" s="63"/>
      <c r="W82" s="63"/>
      <c r="X82" s="63"/>
      <c r="Y82" s="63"/>
      <c r="Z82" s="63"/>
      <c r="AA82" s="6"/>
      <c r="AB82" s="6"/>
      <c r="AC82" s="6"/>
    </row>
    <row r="83" spans="1:29" ht="45">
      <c r="A83" s="62">
        <f>Datos!A82</f>
        <v>81</v>
      </c>
      <c r="B83" s="62" t="str">
        <f>Datos!B82</f>
        <v>Desposte</v>
      </c>
      <c r="C83" s="62" t="str">
        <f>Datos!C82</f>
        <v>Operador LíneaVetado</v>
      </c>
      <c r="D83" s="62" t="str">
        <f>Datos!D82</f>
        <v>Deshuesado de Chuleta</v>
      </c>
      <c r="E83" s="63" t="str">
        <f>Datos!F82</f>
        <v>06:30 14:50 / 17:30 a 02:50</v>
      </c>
      <c r="F83" s="63">
        <f>Datos!G82</f>
        <v>1</v>
      </c>
      <c r="G83" s="63">
        <f>Datos!H82</f>
        <v>6</v>
      </c>
      <c r="H83" s="63">
        <f>Datos!I82</f>
        <v>36</v>
      </c>
      <c r="I83" s="63">
        <f>Datos!J82</f>
        <v>0</v>
      </c>
      <c r="J83" s="6" t="s">
        <v>63</v>
      </c>
      <c r="K83" s="6" t="s">
        <v>64</v>
      </c>
      <c r="L83" s="6" t="s">
        <v>64</v>
      </c>
      <c r="M83" s="6" t="s">
        <v>64</v>
      </c>
      <c r="N83" s="6" t="s">
        <v>64</v>
      </c>
      <c r="O83" s="6" t="s">
        <v>64</v>
      </c>
      <c r="P83" s="6" t="s">
        <v>64</v>
      </c>
      <c r="Q83" s="6" t="str">
        <f t="shared" si="1"/>
        <v>Aplicar identificación avanzada-condición aceptable para cada tipo de factor de riesgo identificado</v>
      </c>
      <c r="R83" s="62"/>
      <c r="S83" s="62"/>
      <c r="T83" s="62"/>
      <c r="U83" s="62"/>
      <c r="V83" s="63"/>
      <c r="W83" s="63"/>
      <c r="X83" s="63"/>
      <c r="Y83" s="63"/>
      <c r="Z83" s="63"/>
      <c r="AA83" s="6"/>
      <c r="AB83" s="6"/>
      <c r="AC83" s="6"/>
    </row>
    <row r="84" spans="1:29" ht="45">
      <c r="A84" s="62">
        <f>Datos!A83</f>
        <v>82</v>
      </c>
      <c r="B84" s="62" t="str">
        <f>Datos!B83</f>
        <v>Desposte</v>
      </c>
      <c r="C84" s="62" t="str">
        <f>Datos!C83</f>
        <v>Operador LíneaVetado</v>
      </c>
      <c r="D84" s="62" t="str">
        <f>Datos!D83</f>
        <v>Embalado de hueso</v>
      </c>
      <c r="E84" s="63" t="str">
        <f>Datos!F83</f>
        <v>06:30 14:50 / 17:30 a 02:50</v>
      </c>
      <c r="F84" s="63">
        <f>Datos!G83</f>
        <v>1</v>
      </c>
      <c r="G84" s="63">
        <f>Datos!H83</f>
        <v>6</v>
      </c>
      <c r="H84" s="63">
        <f>Datos!I83</f>
        <v>36</v>
      </c>
      <c r="I84" s="63">
        <f>Datos!J83</f>
        <v>0</v>
      </c>
      <c r="J84" s="6" t="s">
        <v>63</v>
      </c>
      <c r="K84" s="6" t="s">
        <v>64</v>
      </c>
      <c r="L84" s="6" t="s">
        <v>64</v>
      </c>
      <c r="M84" s="6" t="s">
        <v>64</v>
      </c>
      <c r="N84" s="6" t="s">
        <v>64</v>
      </c>
      <c r="O84" s="6" t="s">
        <v>64</v>
      </c>
      <c r="P84" s="6" t="s">
        <v>64</v>
      </c>
      <c r="Q84" s="6" t="str">
        <f t="shared" si="1"/>
        <v>Aplicar identificación avanzada-condición aceptable para cada tipo de factor de riesgo identificado</v>
      </c>
      <c r="R84" s="62"/>
      <c r="S84" s="62"/>
      <c r="T84" s="62"/>
      <c r="U84" s="62"/>
      <c r="V84" s="63"/>
      <c r="W84" s="63"/>
      <c r="X84" s="63"/>
      <c r="Y84" s="63"/>
      <c r="Z84" s="63"/>
      <c r="AA84" s="6"/>
      <c r="AB84" s="6"/>
      <c r="AC84" s="6"/>
    </row>
    <row r="85" spans="1:29" ht="45">
      <c r="A85" s="62">
        <f>Datos!A84</f>
        <v>83</v>
      </c>
      <c r="B85" s="62" t="str">
        <f>Datos!B84</f>
        <v>Desposte</v>
      </c>
      <c r="C85" s="62" t="str">
        <f>Datos!C84</f>
        <v>Operador LíneaVetado</v>
      </c>
      <c r="D85" s="62" t="str">
        <f>Datos!D84</f>
        <v xml:space="preserve">extracción Cinta de Despunte </v>
      </c>
      <c r="E85" s="63" t="str">
        <f>Datos!F84</f>
        <v>06:30 14:50 / 17:30 a 02:50</v>
      </c>
      <c r="F85" s="63">
        <f>Datos!G84</f>
        <v>1</v>
      </c>
      <c r="G85" s="63">
        <f>Datos!H84</f>
        <v>6</v>
      </c>
      <c r="H85" s="63">
        <f>Datos!I84</f>
        <v>36</v>
      </c>
      <c r="I85" s="63">
        <f>Datos!J84</f>
        <v>0</v>
      </c>
      <c r="J85" s="6" t="s">
        <v>63</v>
      </c>
      <c r="K85" s="6" t="s">
        <v>64</v>
      </c>
      <c r="L85" s="6" t="s">
        <v>64</v>
      </c>
      <c r="M85" s="6" t="s">
        <v>64</v>
      </c>
      <c r="N85" s="6" t="s">
        <v>64</v>
      </c>
      <c r="O85" s="6" t="s">
        <v>64</v>
      </c>
      <c r="P85" s="6" t="s">
        <v>64</v>
      </c>
      <c r="Q85" s="6" t="str">
        <f t="shared" si="1"/>
        <v>Aplicar identificación avanzada-condición aceptable para cada tipo de factor de riesgo identificado</v>
      </c>
      <c r="R85" s="62"/>
      <c r="S85" s="62"/>
      <c r="T85" s="62"/>
      <c r="U85" s="62"/>
      <c r="V85" s="63"/>
      <c r="W85" s="63"/>
      <c r="X85" s="63"/>
      <c r="Y85" s="63"/>
      <c r="Z85" s="63"/>
      <c r="AA85" s="6"/>
      <c r="AB85" s="6"/>
      <c r="AC85" s="6"/>
    </row>
    <row r="86" spans="1:29" ht="45">
      <c r="A86" s="62">
        <f>Datos!A85</f>
        <v>84</v>
      </c>
      <c r="B86" s="62" t="str">
        <f>Datos!B85</f>
        <v>Desposte</v>
      </c>
      <c r="C86" s="62" t="str">
        <f>Datos!C85</f>
        <v>Operador LíneaVetado</v>
      </c>
      <c r="D86" s="62" t="str">
        <f>Datos!D85</f>
        <v>Prolijado Cartilago Hueso</v>
      </c>
      <c r="E86" s="63" t="str">
        <f>Datos!F85</f>
        <v>06:30 14:50 / 17:30 a 02:50</v>
      </c>
      <c r="F86" s="63">
        <f>Datos!G85</f>
        <v>1</v>
      </c>
      <c r="G86" s="63">
        <f>Datos!H85</f>
        <v>6</v>
      </c>
      <c r="H86" s="63">
        <f>Datos!I85</f>
        <v>36</v>
      </c>
      <c r="I86" s="63">
        <f>Datos!J85</f>
        <v>0</v>
      </c>
      <c r="J86" s="6" t="s">
        <v>63</v>
      </c>
      <c r="K86" s="6" t="s">
        <v>64</v>
      </c>
      <c r="L86" s="6" t="s">
        <v>64</v>
      </c>
      <c r="M86" s="6" t="s">
        <v>64</v>
      </c>
      <c r="N86" s="6" t="s">
        <v>64</v>
      </c>
      <c r="O86" s="6" t="s">
        <v>64</v>
      </c>
      <c r="P86" s="6" t="s">
        <v>64</v>
      </c>
      <c r="Q86" s="6" t="str">
        <f t="shared" si="1"/>
        <v>Aplicar identificación avanzada-condición aceptable para cada tipo de factor de riesgo identificado</v>
      </c>
      <c r="R86" s="62"/>
      <c r="S86" s="62"/>
      <c r="T86" s="62"/>
      <c r="U86" s="62"/>
      <c r="V86" s="63"/>
      <c r="W86" s="63"/>
      <c r="X86" s="63"/>
      <c r="Y86" s="63"/>
      <c r="Z86" s="63"/>
      <c r="AA86" s="6"/>
      <c r="AB86" s="6"/>
      <c r="AC86" s="6"/>
    </row>
    <row r="87" spans="1:29" ht="45">
      <c r="A87" s="62">
        <f>Datos!A86</f>
        <v>85</v>
      </c>
      <c r="B87" s="62" t="str">
        <f>Datos!B86</f>
        <v>Desposte</v>
      </c>
      <c r="C87" s="62" t="str">
        <f>Datos!C86</f>
        <v>Operador LíneaVetado</v>
      </c>
      <c r="D87" s="62" t="str">
        <f>Datos!D86</f>
        <v>Prolijado Carne Longaniza</v>
      </c>
      <c r="E87" s="63" t="str">
        <f>Datos!F86</f>
        <v>06:30 14:50 / 17:30 a 02:50</v>
      </c>
      <c r="F87" s="63">
        <f>Datos!G86</f>
        <v>1</v>
      </c>
      <c r="G87" s="63">
        <f>Datos!H86</f>
        <v>6</v>
      </c>
      <c r="H87" s="63">
        <f>Datos!I86</f>
        <v>36</v>
      </c>
      <c r="I87" s="63">
        <f>Datos!J86</f>
        <v>0</v>
      </c>
      <c r="J87" s="6" t="s">
        <v>63</v>
      </c>
      <c r="K87" s="6" t="s">
        <v>64</v>
      </c>
      <c r="L87" s="6" t="s">
        <v>64</v>
      </c>
      <c r="M87" s="6" t="s">
        <v>64</v>
      </c>
      <c r="N87" s="6" t="s">
        <v>64</v>
      </c>
      <c r="O87" s="6" t="s">
        <v>64</v>
      </c>
      <c r="P87" s="6" t="s">
        <v>64</v>
      </c>
      <c r="Q87" s="6" t="str">
        <f t="shared" si="1"/>
        <v>Aplicar identificación avanzada-condición aceptable para cada tipo de factor de riesgo identificado</v>
      </c>
      <c r="R87" s="62"/>
      <c r="S87" s="62"/>
      <c r="T87" s="62"/>
      <c r="U87" s="62"/>
      <c r="V87" s="63"/>
      <c r="W87" s="63"/>
      <c r="X87" s="63"/>
      <c r="Y87" s="63"/>
      <c r="Z87" s="63"/>
      <c r="AA87" s="6"/>
      <c r="AB87" s="6"/>
      <c r="AC87" s="6"/>
    </row>
    <row r="88" spans="1:29" ht="45">
      <c r="A88" s="62">
        <f>Datos!A87</f>
        <v>86</v>
      </c>
      <c r="B88" s="62" t="str">
        <f>Datos!B87</f>
        <v>Desposte</v>
      </c>
      <c r="C88" s="62" t="str">
        <f>Datos!C87</f>
        <v>Operador LíneaVetado</v>
      </c>
      <c r="D88" s="62" t="str">
        <f>Datos!D87</f>
        <v xml:space="preserve">Prolijado Lomo Vetado </v>
      </c>
      <c r="E88" s="63" t="str">
        <f>Datos!F87</f>
        <v>06:30 14:50 / 17:30 a 02:50</v>
      </c>
      <c r="F88" s="63">
        <f>Datos!G87</f>
        <v>1</v>
      </c>
      <c r="G88" s="63">
        <f>Datos!H87</f>
        <v>6</v>
      </c>
      <c r="H88" s="63">
        <f>Datos!I87</f>
        <v>36</v>
      </c>
      <c r="I88" s="63">
        <f>Datos!J87</f>
        <v>0</v>
      </c>
      <c r="J88" s="6" t="s">
        <v>63</v>
      </c>
      <c r="K88" s="6" t="s">
        <v>64</v>
      </c>
      <c r="L88" s="6" t="s">
        <v>64</v>
      </c>
      <c r="M88" s="6" t="s">
        <v>64</v>
      </c>
      <c r="N88" s="6" t="s">
        <v>64</v>
      </c>
      <c r="O88" s="6" t="s">
        <v>64</v>
      </c>
      <c r="P88" s="6" t="s">
        <v>64</v>
      </c>
      <c r="Q88" s="6" t="str">
        <f t="shared" si="1"/>
        <v>Aplicar identificación avanzada-condición aceptable para cada tipo de factor de riesgo identificado</v>
      </c>
      <c r="R88" s="62"/>
      <c r="S88" s="62"/>
      <c r="T88" s="62"/>
      <c r="U88" s="62"/>
      <c r="V88" s="63"/>
      <c r="W88" s="63"/>
      <c r="X88" s="63"/>
      <c r="Y88" s="63"/>
      <c r="Z88" s="63"/>
      <c r="AA88" s="6"/>
      <c r="AB88" s="6"/>
      <c r="AC88" s="6"/>
    </row>
    <row r="89" spans="1:29" ht="45">
      <c r="A89" s="62">
        <f>Datos!A88</f>
        <v>87</v>
      </c>
      <c r="B89" s="62" t="str">
        <f>Datos!B88</f>
        <v>Desposte</v>
      </c>
      <c r="C89" s="62" t="str">
        <f>Datos!C88</f>
        <v>Operador LíneaVetado</v>
      </c>
      <c r="D89" s="62" t="str">
        <f>Datos!D88</f>
        <v>Calibrado</v>
      </c>
      <c r="E89" s="63" t="str">
        <f>Datos!F88</f>
        <v>06:30 14:50 / 17:30 a 02:50</v>
      </c>
      <c r="F89" s="63">
        <f>Datos!G88</f>
        <v>1</v>
      </c>
      <c r="G89" s="63">
        <f>Datos!H88</f>
        <v>6</v>
      </c>
      <c r="H89" s="63">
        <f>Datos!I88</f>
        <v>36</v>
      </c>
      <c r="I89" s="63">
        <f>Datos!J88</f>
        <v>0</v>
      </c>
      <c r="J89" s="6" t="s">
        <v>63</v>
      </c>
      <c r="K89" s="6" t="s">
        <v>64</v>
      </c>
      <c r="L89" s="6" t="s">
        <v>64</v>
      </c>
      <c r="M89" s="6" t="s">
        <v>64</v>
      </c>
      <c r="N89" s="6" t="s">
        <v>64</v>
      </c>
      <c r="O89" s="6" t="s">
        <v>64</v>
      </c>
      <c r="P89" s="6" t="s">
        <v>64</v>
      </c>
      <c r="Q89" s="6" t="str">
        <f t="shared" si="1"/>
        <v>Aplicar identificación avanzada-condición aceptable para cada tipo de factor de riesgo identificado</v>
      </c>
      <c r="R89" s="62"/>
      <c r="S89" s="62"/>
      <c r="T89" s="62"/>
      <c r="U89" s="62"/>
      <c r="V89" s="63"/>
      <c r="W89" s="63"/>
      <c r="X89" s="63"/>
      <c r="Y89" s="63"/>
      <c r="Z89" s="63"/>
      <c r="AA89" s="6"/>
      <c r="AB89" s="6"/>
      <c r="AC89" s="6"/>
    </row>
    <row r="90" spans="1:29" ht="45">
      <c r="A90" s="62">
        <f>Datos!A89</f>
        <v>88</v>
      </c>
      <c r="B90" s="62" t="str">
        <f>Datos!B89</f>
        <v>Desposte</v>
      </c>
      <c r="C90" s="62" t="str">
        <f>Datos!C89</f>
        <v>Operador Linea Piernas</v>
      </c>
      <c r="D90" s="62" t="str">
        <f>Datos!D89</f>
        <v>Extraer Cola-Cazuela</v>
      </c>
      <c r="E90" s="63" t="str">
        <f>Datos!F89</f>
        <v>06:30 14:50 / 17:30 a 02:50</v>
      </c>
      <c r="F90" s="63">
        <f>Datos!G89</f>
        <v>1</v>
      </c>
      <c r="G90" s="63">
        <f>Datos!H89</f>
        <v>6</v>
      </c>
      <c r="H90" s="63">
        <f>Datos!I89</f>
        <v>80</v>
      </c>
      <c r="I90" s="63">
        <f>Datos!J89</f>
        <v>14</v>
      </c>
      <c r="J90" s="6" t="s">
        <v>63</v>
      </c>
      <c r="K90" s="6" t="s">
        <v>64</v>
      </c>
      <c r="L90" s="6" t="s">
        <v>64</v>
      </c>
      <c r="M90" s="6" t="s">
        <v>64</v>
      </c>
      <c r="N90" s="6" t="s">
        <v>64</v>
      </c>
      <c r="O90" s="6" t="s">
        <v>64</v>
      </c>
      <c r="P90" s="6" t="s">
        <v>64</v>
      </c>
      <c r="Q90" s="6" t="str">
        <f t="shared" si="1"/>
        <v>Aplicar identificación avanzada-condición aceptable para cada tipo de factor de riesgo identificado</v>
      </c>
      <c r="R90" s="62"/>
      <c r="S90" s="62"/>
      <c r="T90" s="62"/>
      <c r="U90" s="62"/>
      <c r="V90" s="63"/>
      <c r="W90" s="63"/>
      <c r="X90" s="63"/>
      <c r="Y90" s="63"/>
      <c r="Z90" s="63"/>
      <c r="AA90" s="6"/>
      <c r="AB90" s="6"/>
      <c r="AC90" s="6"/>
    </row>
    <row r="91" spans="1:29" ht="45">
      <c r="A91" s="62">
        <f>Datos!A90</f>
        <v>89</v>
      </c>
      <c r="B91" s="62" t="str">
        <f>Datos!B90</f>
        <v>Desposte</v>
      </c>
      <c r="C91" s="62" t="str">
        <f>Datos!C90</f>
        <v>Operador Linea Piernas</v>
      </c>
      <c r="D91" s="62" t="str">
        <f>Datos!D90</f>
        <v>Exraer Pernil</v>
      </c>
      <c r="E91" s="63" t="str">
        <f>Datos!F90</f>
        <v>06:30 14:50 / 17:30 a 02:50</v>
      </c>
      <c r="F91" s="63">
        <f>Datos!G90</f>
        <v>1</v>
      </c>
      <c r="G91" s="63">
        <f>Datos!H90</f>
        <v>6</v>
      </c>
      <c r="H91" s="63">
        <f>Datos!I90</f>
        <v>80</v>
      </c>
      <c r="I91" s="63">
        <f>Datos!J90</f>
        <v>14</v>
      </c>
      <c r="J91" s="6" t="s">
        <v>63</v>
      </c>
      <c r="K91" s="6" t="s">
        <v>64</v>
      </c>
      <c r="L91" s="6" t="s">
        <v>64</v>
      </c>
      <c r="M91" s="6" t="s">
        <v>64</v>
      </c>
      <c r="N91" s="6" t="s">
        <v>64</v>
      </c>
      <c r="O91" s="6" t="s">
        <v>64</v>
      </c>
      <c r="P91" s="6" t="s">
        <v>64</v>
      </c>
      <c r="Q91" s="6" t="str">
        <f t="shared" si="1"/>
        <v>Aplicar identificación avanzada-condición aceptable para cada tipo de factor de riesgo identificado</v>
      </c>
      <c r="R91" s="62"/>
      <c r="S91" s="62"/>
      <c r="T91" s="62"/>
      <c r="U91" s="62"/>
      <c r="V91" s="63"/>
      <c r="W91" s="63"/>
      <c r="X91" s="63"/>
      <c r="Y91" s="63"/>
      <c r="Z91" s="63"/>
      <c r="AA91" s="6"/>
      <c r="AB91" s="6"/>
      <c r="AC91" s="6"/>
    </row>
    <row r="92" spans="1:29" ht="45">
      <c r="A92" s="62">
        <f>Datos!A91</f>
        <v>90</v>
      </c>
      <c r="B92" s="62" t="str">
        <f>Datos!B91</f>
        <v>Desposte</v>
      </c>
      <c r="C92" s="62" t="str">
        <f>Datos!C91</f>
        <v>Operador Linea Piernas</v>
      </c>
      <c r="D92" s="62" t="str">
        <f>Datos!D91</f>
        <v xml:space="preserve">Evacuar Bandejas </v>
      </c>
      <c r="E92" s="63" t="str">
        <f>Datos!F91</f>
        <v>06:30 14:50 / 17:30 a 02:50</v>
      </c>
      <c r="F92" s="63">
        <f>Datos!G91</f>
        <v>1</v>
      </c>
      <c r="G92" s="63">
        <f>Datos!H91</f>
        <v>6</v>
      </c>
      <c r="H92" s="63">
        <f>Datos!I91</f>
        <v>80</v>
      </c>
      <c r="I92" s="63">
        <f>Datos!J91</f>
        <v>14</v>
      </c>
      <c r="J92" s="6" t="s">
        <v>63</v>
      </c>
      <c r="K92" s="6" t="s">
        <v>64</v>
      </c>
      <c r="L92" s="6" t="s">
        <v>64</v>
      </c>
      <c r="M92" s="6" t="s">
        <v>64</v>
      </c>
      <c r="N92" s="6" t="s">
        <v>64</v>
      </c>
      <c r="O92" s="6" t="s">
        <v>64</v>
      </c>
      <c r="P92" s="6" t="s">
        <v>64</v>
      </c>
      <c r="Q92" s="6" t="str">
        <f t="shared" si="1"/>
        <v>Aplicar identificación avanzada-condición aceptable para cada tipo de factor de riesgo identificado</v>
      </c>
      <c r="R92" s="62"/>
      <c r="S92" s="62"/>
      <c r="T92" s="62"/>
      <c r="U92" s="62"/>
      <c r="V92" s="63"/>
      <c r="W92" s="63"/>
      <c r="X92" s="63"/>
      <c r="Y92" s="63"/>
      <c r="Z92" s="63"/>
      <c r="AA92" s="6"/>
      <c r="AB92" s="6"/>
      <c r="AC92" s="6"/>
    </row>
    <row r="93" spans="1:29" ht="45">
      <c r="A93" s="62">
        <f>Datos!A92</f>
        <v>91</v>
      </c>
      <c r="B93" s="62" t="str">
        <f>Datos!B92</f>
        <v>Desposte</v>
      </c>
      <c r="C93" s="62" t="str">
        <f>Datos!C92</f>
        <v>Operador Linea Piernas</v>
      </c>
      <c r="D93" s="62" t="str">
        <f>Datos!D92</f>
        <v>Peladora Maja</v>
      </c>
      <c r="E93" s="63" t="str">
        <f>Datos!F92</f>
        <v>06:30 14:50 / 17:30 a 02:50</v>
      </c>
      <c r="F93" s="63">
        <f>Datos!G92</f>
        <v>1</v>
      </c>
      <c r="G93" s="63">
        <f>Datos!H92</f>
        <v>6</v>
      </c>
      <c r="H93" s="63">
        <f>Datos!I92</f>
        <v>80</v>
      </c>
      <c r="I93" s="63">
        <f>Datos!J92</f>
        <v>14</v>
      </c>
      <c r="J93" s="6" t="s">
        <v>63</v>
      </c>
      <c r="K93" s="6" t="s">
        <v>64</v>
      </c>
      <c r="L93" s="6" t="s">
        <v>64</v>
      </c>
      <c r="M93" s="6" t="s">
        <v>64</v>
      </c>
      <c r="N93" s="6" t="s">
        <v>64</v>
      </c>
      <c r="O93" s="6" t="s">
        <v>64</v>
      </c>
      <c r="P93" s="6" t="s">
        <v>64</v>
      </c>
      <c r="Q93" s="6" t="str">
        <f t="shared" ref="Q93:Q134" si="2">IF(AND(J93="NO",K93="NO",L93="NO",M93="NO",N93="NO",O93="NO",P93="NO"),"Ausencia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  <c r="R93" s="62"/>
      <c r="S93" s="62"/>
      <c r="T93" s="62"/>
      <c r="U93" s="62"/>
      <c r="V93" s="63"/>
      <c r="W93" s="63"/>
      <c r="X93" s="63"/>
      <c r="Y93" s="63"/>
      <c r="Z93" s="63"/>
      <c r="AA93" s="6"/>
      <c r="AB93" s="6"/>
      <c r="AC93" s="6"/>
    </row>
    <row r="94" spans="1:29" ht="45">
      <c r="A94" s="62">
        <f>Datos!A93</f>
        <v>92</v>
      </c>
      <c r="B94" s="62" t="str">
        <f>Datos!B93</f>
        <v>Desposte</v>
      </c>
      <c r="C94" s="62" t="str">
        <f>Datos!C93</f>
        <v>Operador Linea Piernas</v>
      </c>
      <c r="D94" s="62" t="str">
        <f>Datos!D93</f>
        <v>Whizard</v>
      </c>
      <c r="E94" s="63" t="str">
        <f>Datos!F93</f>
        <v>06:30 14:50 / 17:30 a 02:50</v>
      </c>
      <c r="F94" s="63">
        <f>Datos!G93</f>
        <v>1</v>
      </c>
      <c r="G94" s="63">
        <f>Datos!H93</f>
        <v>6</v>
      </c>
      <c r="H94" s="63">
        <f>Datos!I93</f>
        <v>80</v>
      </c>
      <c r="I94" s="63">
        <f>Datos!J93</f>
        <v>14</v>
      </c>
      <c r="J94" s="6" t="s">
        <v>63</v>
      </c>
      <c r="K94" s="6" t="s">
        <v>64</v>
      </c>
      <c r="L94" s="6" t="s">
        <v>64</v>
      </c>
      <c r="M94" s="6" t="s">
        <v>64</v>
      </c>
      <c r="N94" s="6" t="s">
        <v>64</v>
      </c>
      <c r="O94" s="6" t="s">
        <v>64</v>
      </c>
      <c r="P94" s="6" t="s">
        <v>64</v>
      </c>
      <c r="Q94" s="6" t="str">
        <f t="shared" si="2"/>
        <v>Aplicar identificación avanzada-condición aceptable para cada tipo de factor de riesgo identificado</v>
      </c>
      <c r="R94" s="62"/>
      <c r="S94" s="62"/>
      <c r="T94" s="62"/>
      <c r="U94" s="62"/>
      <c r="V94" s="63"/>
      <c r="W94" s="63"/>
      <c r="X94" s="63"/>
      <c r="Y94" s="63"/>
      <c r="Z94" s="63"/>
      <c r="AA94" s="6"/>
      <c r="AB94" s="6"/>
      <c r="AC94" s="6"/>
    </row>
    <row r="95" spans="1:29" ht="45">
      <c r="A95" s="62">
        <f>Datos!A94</f>
        <v>93</v>
      </c>
      <c r="B95" s="62" t="str">
        <f>Datos!B94</f>
        <v>Desposte</v>
      </c>
      <c r="C95" s="62" t="str">
        <f>Datos!C94</f>
        <v>Operador Linea Piernas</v>
      </c>
      <c r="D95" s="62" t="str">
        <f>Datos!D94</f>
        <v>Deshuesado Coxal</v>
      </c>
      <c r="E95" s="63" t="str">
        <f>Datos!F94</f>
        <v>06:30 14:50 / 17:30 a 02:50</v>
      </c>
      <c r="F95" s="63">
        <f>Datos!G94</f>
        <v>1</v>
      </c>
      <c r="G95" s="63">
        <f>Datos!H94</f>
        <v>6</v>
      </c>
      <c r="H95" s="63">
        <f>Datos!I94</f>
        <v>80</v>
      </c>
      <c r="I95" s="63">
        <f>Datos!J94</f>
        <v>14</v>
      </c>
      <c r="J95" s="6" t="s">
        <v>63</v>
      </c>
      <c r="K95" s="6" t="s">
        <v>64</v>
      </c>
      <c r="L95" s="6" t="s">
        <v>64</v>
      </c>
      <c r="M95" s="6" t="s">
        <v>64</v>
      </c>
      <c r="N95" s="6" t="s">
        <v>64</v>
      </c>
      <c r="O95" s="6" t="s">
        <v>64</v>
      </c>
      <c r="P95" s="6" t="s">
        <v>64</v>
      </c>
      <c r="Q95" s="6" t="str">
        <f t="shared" si="2"/>
        <v>Aplicar identificación avanzada-condición aceptable para cada tipo de factor de riesgo identificado</v>
      </c>
      <c r="R95" s="62"/>
      <c r="S95" s="62"/>
      <c r="T95" s="62"/>
      <c r="U95" s="62"/>
      <c r="V95" s="63"/>
      <c r="W95" s="63"/>
      <c r="X95" s="63"/>
      <c r="Y95" s="63"/>
      <c r="Z95" s="63"/>
      <c r="AA95" s="6"/>
      <c r="AB95" s="6"/>
      <c r="AC95" s="6"/>
    </row>
    <row r="96" spans="1:29" ht="45">
      <c r="A96" s="62">
        <f>Datos!A95</f>
        <v>94</v>
      </c>
      <c r="B96" s="62" t="str">
        <f>Datos!B95</f>
        <v>Desposte</v>
      </c>
      <c r="C96" s="62" t="str">
        <f>Datos!C95</f>
        <v>Operador Linea Piernas</v>
      </c>
      <c r="D96" s="62" t="str">
        <f>Datos!D95</f>
        <v xml:space="preserve">Deshuesadores Femur </v>
      </c>
      <c r="E96" s="63" t="str">
        <f>Datos!F95</f>
        <v>06:30 14:50 / 17:30 a 02:50</v>
      </c>
      <c r="F96" s="63">
        <f>Datos!G95</f>
        <v>1</v>
      </c>
      <c r="G96" s="63">
        <f>Datos!H95</f>
        <v>6</v>
      </c>
      <c r="H96" s="63">
        <f>Datos!I95</f>
        <v>80</v>
      </c>
      <c r="I96" s="63">
        <f>Datos!J95</f>
        <v>14</v>
      </c>
      <c r="J96" s="6" t="s">
        <v>63</v>
      </c>
      <c r="K96" s="6" t="s">
        <v>64</v>
      </c>
      <c r="L96" s="6" t="s">
        <v>64</v>
      </c>
      <c r="M96" s="6" t="s">
        <v>64</v>
      </c>
      <c r="N96" s="6" t="s">
        <v>64</v>
      </c>
      <c r="O96" s="6" t="s">
        <v>64</v>
      </c>
      <c r="P96" s="6" t="s">
        <v>64</v>
      </c>
      <c r="Q96" s="6" t="str">
        <f t="shared" si="2"/>
        <v>Aplicar identificación avanzada-condición aceptable para cada tipo de factor de riesgo identificado</v>
      </c>
      <c r="R96" s="62"/>
      <c r="S96" s="62"/>
      <c r="T96" s="62"/>
      <c r="U96" s="62"/>
      <c r="V96" s="63"/>
      <c r="W96" s="63"/>
      <c r="X96" s="63"/>
      <c r="Y96" s="63"/>
      <c r="Z96" s="63"/>
      <c r="AA96" s="6"/>
      <c r="AB96" s="6"/>
      <c r="AC96" s="6"/>
    </row>
    <row r="97" spans="1:29" ht="45">
      <c r="A97" s="62">
        <f>Datos!A96</f>
        <v>95</v>
      </c>
      <c r="B97" s="62" t="str">
        <f>Datos!B96</f>
        <v>Desposte</v>
      </c>
      <c r="C97" s="62" t="str">
        <f>Datos!C96</f>
        <v>Operador Linea Piernas</v>
      </c>
      <c r="D97" s="62" t="str">
        <f>Datos!D96</f>
        <v>Prolijadores</v>
      </c>
      <c r="E97" s="63" t="str">
        <f>Datos!F96</f>
        <v>06:30 14:50 / 17:30 a 02:50</v>
      </c>
      <c r="F97" s="63">
        <f>Datos!G96</f>
        <v>1</v>
      </c>
      <c r="G97" s="63">
        <f>Datos!H96</f>
        <v>6</v>
      </c>
      <c r="H97" s="63">
        <f>Datos!I96</f>
        <v>80</v>
      </c>
      <c r="I97" s="63">
        <f>Datos!J96</f>
        <v>14</v>
      </c>
      <c r="J97" s="6" t="s">
        <v>63</v>
      </c>
      <c r="K97" s="6" t="s">
        <v>64</v>
      </c>
      <c r="L97" s="6" t="s">
        <v>64</v>
      </c>
      <c r="M97" s="6" t="s">
        <v>64</v>
      </c>
      <c r="N97" s="6" t="s">
        <v>64</v>
      </c>
      <c r="O97" s="6" t="s">
        <v>64</v>
      </c>
      <c r="P97" s="6" t="s">
        <v>64</v>
      </c>
      <c r="Q97" s="6" t="str">
        <f t="shared" si="2"/>
        <v>Aplicar identificación avanzada-condición aceptable para cada tipo de factor de riesgo identificado</v>
      </c>
      <c r="R97" s="62"/>
      <c r="S97" s="62"/>
      <c r="T97" s="62"/>
      <c r="U97" s="62"/>
      <c r="V97" s="63"/>
      <c r="W97" s="63"/>
      <c r="X97" s="63"/>
      <c r="Y97" s="63"/>
      <c r="Z97" s="63"/>
      <c r="AA97" s="6"/>
      <c r="AB97" s="6"/>
      <c r="AC97" s="6"/>
    </row>
    <row r="98" spans="1:29" ht="45">
      <c r="A98" s="62">
        <f>Datos!A97</f>
        <v>96</v>
      </c>
      <c r="B98" s="62" t="str">
        <f>Datos!B97</f>
        <v>Desposte</v>
      </c>
      <c r="C98" s="62" t="str">
        <f>Datos!C97</f>
        <v>Operador Linea Piernas</v>
      </c>
      <c r="D98" s="62" t="str">
        <f>Datos!D97</f>
        <v xml:space="preserve">Calibrado </v>
      </c>
      <c r="E98" s="63" t="str">
        <f>Datos!F97</f>
        <v>06:30 14:50 / 17:30 a 02:50</v>
      </c>
      <c r="F98" s="63">
        <f>Datos!G97</f>
        <v>1</v>
      </c>
      <c r="G98" s="63">
        <f>Datos!H97</f>
        <v>6</v>
      </c>
      <c r="H98" s="63">
        <f>Datos!I97</f>
        <v>80</v>
      </c>
      <c r="I98" s="63">
        <f>Datos!J97</f>
        <v>14</v>
      </c>
      <c r="J98" s="6" t="s">
        <v>63</v>
      </c>
      <c r="K98" s="6" t="s">
        <v>64</v>
      </c>
      <c r="L98" s="6" t="s">
        <v>64</v>
      </c>
      <c r="M98" s="6" t="s">
        <v>64</v>
      </c>
      <c r="N98" s="6" t="s">
        <v>64</v>
      </c>
      <c r="O98" s="6" t="s">
        <v>64</v>
      </c>
      <c r="P98" s="6" t="s">
        <v>64</v>
      </c>
      <c r="Q98" s="6" t="str">
        <f t="shared" si="2"/>
        <v>Aplicar identificación avanzada-condición aceptable para cada tipo de factor de riesgo identificado</v>
      </c>
      <c r="R98" s="62"/>
      <c r="S98" s="62"/>
      <c r="T98" s="62"/>
      <c r="U98" s="62"/>
      <c r="V98" s="63"/>
      <c r="W98" s="63"/>
      <c r="X98" s="63"/>
      <c r="Y98" s="63"/>
      <c r="Z98" s="63"/>
      <c r="AA98" s="6"/>
      <c r="AB98" s="6"/>
      <c r="AC98" s="6"/>
    </row>
    <row r="99" spans="1:29" ht="45">
      <c r="A99" s="62">
        <f>Datos!A98</f>
        <v>97</v>
      </c>
      <c r="B99" s="62" t="str">
        <f>Datos!B98</f>
        <v>Desposte</v>
      </c>
      <c r="C99" s="62" t="str">
        <f>Datos!C98</f>
        <v>Operador Linea Piernas</v>
      </c>
      <c r="D99" s="62" t="str">
        <f>Datos!D98</f>
        <v>Peladora Maja</v>
      </c>
      <c r="E99" s="63" t="str">
        <f>Datos!F98</f>
        <v>06:30 14:50 / 17:30 a 02:50</v>
      </c>
      <c r="F99" s="63">
        <f>Datos!G98</f>
        <v>1</v>
      </c>
      <c r="G99" s="63">
        <f>Datos!H98</f>
        <v>6</v>
      </c>
      <c r="H99" s="63">
        <f>Datos!I98</f>
        <v>80</v>
      </c>
      <c r="I99" s="63">
        <f>Datos!J98</f>
        <v>14</v>
      </c>
      <c r="J99" s="6" t="s">
        <v>63</v>
      </c>
      <c r="K99" s="6" t="s">
        <v>64</v>
      </c>
      <c r="L99" s="6" t="s">
        <v>64</v>
      </c>
      <c r="M99" s="6" t="s">
        <v>64</v>
      </c>
      <c r="N99" s="6" t="s">
        <v>64</v>
      </c>
      <c r="O99" s="6" t="s">
        <v>64</v>
      </c>
      <c r="P99" s="6" t="s">
        <v>64</v>
      </c>
      <c r="Q99" s="6" t="str">
        <f t="shared" si="2"/>
        <v>Aplicar identificación avanzada-condición aceptable para cada tipo de factor de riesgo identificado</v>
      </c>
      <c r="R99" s="62"/>
      <c r="S99" s="62"/>
      <c r="T99" s="62"/>
      <c r="U99" s="62"/>
      <c r="V99" s="63"/>
      <c r="W99" s="63"/>
      <c r="X99" s="63"/>
      <c r="Y99" s="63"/>
      <c r="Z99" s="63"/>
      <c r="AA99" s="6"/>
      <c r="AB99" s="6"/>
      <c r="AC99" s="6"/>
    </row>
    <row r="100" spans="1:29" ht="45">
      <c r="A100" s="62">
        <f>Datos!A99</f>
        <v>98</v>
      </c>
      <c r="B100" s="62" t="str">
        <f>Datos!B99</f>
        <v>Desposte</v>
      </c>
      <c r="C100" s="62" t="str">
        <f>Datos!C99</f>
        <v>Operador Linea Piernas</v>
      </c>
      <c r="D100" s="62" t="str">
        <f>Datos!D99</f>
        <v>Abastecer Varivac</v>
      </c>
      <c r="E100" s="63" t="str">
        <f>Datos!F99</f>
        <v>06:30 14:50 / 17:30 a 02:50</v>
      </c>
      <c r="F100" s="63">
        <f>Datos!G99</f>
        <v>1</v>
      </c>
      <c r="G100" s="63">
        <f>Datos!H99</f>
        <v>6</v>
      </c>
      <c r="H100" s="63">
        <f>Datos!I99</f>
        <v>80</v>
      </c>
      <c r="I100" s="63">
        <f>Datos!J99</f>
        <v>14</v>
      </c>
      <c r="J100" s="6" t="s">
        <v>63</v>
      </c>
      <c r="K100" s="6" t="s">
        <v>64</v>
      </c>
      <c r="L100" s="6" t="s">
        <v>64</v>
      </c>
      <c r="M100" s="6" t="s">
        <v>64</v>
      </c>
      <c r="N100" s="6" t="s">
        <v>64</v>
      </c>
      <c r="O100" s="6" t="s">
        <v>64</v>
      </c>
      <c r="P100" s="6" t="s">
        <v>64</v>
      </c>
      <c r="Q100" s="6" t="str">
        <f t="shared" si="2"/>
        <v>Aplicar identificación avanzada-condición aceptable para cada tipo de factor de riesgo identificado</v>
      </c>
      <c r="R100" s="62"/>
      <c r="S100" s="62"/>
      <c r="T100" s="62"/>
      <c r="U100" s="62"/>
      <c r="V100" s="63"/>
      <c r="W100" s="63"/>
      <c r="X100" s="63"/>
      <c r="Y100" s="63"/>
      <c r="Z100" s="63"/>
      <c r="AA100" s="6"/>
      <c r="AB100" s="6"/>
      <c r="AC100" s="6"/>
    </row>
    <row r="101" spans="1:29" ht="45">
      <c r="A101" s="62">
        <f>Datos!A100</f>
        <v>99</v>
      </c>
      <c r="B101" s="62" t="str">
        <f>Datos!B100</f>
        <v>Desposte</v>
      </c>
      <c r="C101" s="62" t="str">
        <f>Datos!C100</f>
        <v>Operador Linea Piernas</v>
      </c>
      <c r="D101" s="62" t="str">
        <f>Datos!D100</f>
        <v>Recibir producto</v>
      </c>
      <c r="E101" s="63" t="str">
        <f>Datos!F100</f>
        <v>06:30 14:50 / 17:30 a 02:50</v>
      </c>
      <c r="F101" s="63">
        <f>Datos!G100</f>
        <v>1</v>
      </c>
      <c r="G101" s="63">
        <f>Datos!H100</f>
        <v>6</v>
      </c>
      <c r="H101" s="63">
        <f>Datos!I100</f>
        <v>80</v>
      </c>
      <c r="I101" s="63">
        <f>Datos!J100</f>
        <v>14</v>
      </c>
      <c r="J101" s="6" t="s">
        <v>63</v>
      </c>
      <c r="K101" s="6" t="s">
        <v>64</v>
      </c>
      <c r="L101" s="6" t="s">
        <v>64</v>
      </c>
      <c r="M101" s="6" t="s">
        <v>64</v>
      </c>
      <c r="N101" s="6" t="s">
        <v>64</v>
      </c>
      <c r="O101" s="6" t="s">
        <v>64</v>
      </c>
      <c r="P101" s="6" t="s">
        <v>64</v>
      </c>
      <c r="Q101" s="6" t="str">
        <f t="shared" si="2"/>
        <v>Aplicar identificación avanzada-condición aceptable para cada tipo de factor de riesgo identificado</v>
      </c>
      <c r="R101" s="62"/>
      <c r="S101" s="62"/>
      <c r="T101" s="62"/>
      <c r="U101" s="62"/>
      <c r="V101" s="63"/>
      <c r="W101" s="63"/>
      <c r="X101" s="63"/>
      <c r="Y101" s="63"/>
      <c r="Z101" s="63"/>
      <c r="AA101" s="6"/>
      <c r="AB101" s="6"/>
      <c r="AC101" s="6"/>
    </row>
    <row r="102" spans="1:29" ht="45">
      <c r="A102" s="62">
        <f>Datos!A101</f>
        <v>100</v>
      </c>
      <c r="B102" s="62" t="str">
        <f>Datos!B101</f>
        <v>Desposte</v>
      </c>
      <c r="C102" s="62" t="str">
        <f>Datos!C101</f>
        <v>Operador Linea Piernas</v>
      </c>
      <c r="D102" s="62" t="str">
        <f>Datos!D101</f>
        <v>Pegar etiqueta</v>
      </c>
      <c r="E102" s="63" t="str">
        <f>Datos!F101</f>
        <v>06:30 14:50 / 17:30 a 02:50</v>
      </c>
      <c r="F102" s="63">
        <f>Datos!G101</f>
        <v>1</v>
      </c>
      <c r="G102" s="63">
        <f>Datos!H101</f>
        <v>6</v>
      </c>
      <c r="H102" s="63">
        <f>Datos!I101</f>
        <v>80</v>
      </c>
      <c r="I102" s="63">
        <f>Datos!J101</f>
        <v>14</v>
      </c>
      <c r="J102" s="6" t="s">
        <v>63</v>
      </c>
      <c r="K102" s="6" t="s">
        <v>64</v>
      </c>
      <c r="L102" s="6" t="s">
        <v>64</v>
      </c>
      <c r="M102" s="6" t="s">
        <v>64</v>
      </c>
      <c r="N102" s="6" t="s">
        <v>64</v>
      </c>
      <c r="O102" s="6" t="s">
        <v>64</v>
      </c>
      <c r="P102" s="6" t="s">
        <v>64</v>
      </c>
      <c r="Q102" s="6" t="str">
        <f t="shared" si="2"/>
        <v>Aplicar identificación avanzada-condición aceptable para cada tipo de factor de riesgo identificado</v>
      </c>
      <c r="R102" s="62"/>
      <c r="S102" s="62"/>
      <c r="T102" s="62"/>
      <c r="U102" s="62"/>
      <c r="V102" s="63"/>
      <c r="W102" s="63"/>
      <c r="X102" s="63"/>
      <c r="Y102" s="63"/>
      <c r="Z102" s="63"/>
      <c r="AA102" s="6"/>
      <c r="AB102" s="6"/>
      <c r="AC102" s="6"/>
    </row>
    <row r="103" spans="1:29" ht="45">
      <c r="A103" s="62">
        <f>Datos!A102</f>
        <v>101</v>
      </c>
      <c r="B103" s="62" t="str">
        <f>Datos!B102</f>
        <v>Desposte</v>
      </c>
      <c r="C103" s="62" t="str">
        <f>Datos!C102</f>
        <v>Operador Linea Piernas</v>
      </c>
      <c r="D103" s="62" t="str">
        <f>Datos!D102</f>
        <v>evacuar bandeja</v>
      </c>
      <c r="E103" s="63" t="str">
        <f>Datos!F102</f>
        <v>06:30 14:50 / 17:30 a 02:50</v>
      </c>
      <c r="F103" s="63">
        <f>Datos!G102</f>
        <v>1</v>
      </c>
      <c r="G103" s="63">
        <f>Datos!H102</f>
        <v>6</v>
      </c>
      <c r="H103" s="63">
        <f>Datos!I102</f>
        <v>80</v>
      </c>
      <c r="I103" s="63">
        <f>Datos!J102</f>
        <v>14</v>
      </c>
      <c r="J103" s="6" t="s">
        <v>63</v>
      </c>
      <c r="K103" s="6" t="s">
        <v>64</v>
      </c>
      <c r="L103" s="6" t="s">
        <v>63</v>
      </c>
      <c r="M103" s="6" t="s">
        <v>64</v>
      </c>
      <c r="N103" s="6" t="s">
        <v>64</v>
      </c>
      <c r="O103" s="6" t="s">
        <v>64</v>
      </c>
      <c r="P103" s="6" t="s">
        <v>64</v>
      </c>
      <c r="Q103" s="6" t="str">
        <f t="shared" si="2"/>
        <v>Aplicar identificación avanzada-condición aceptable para cada tipo de factor de riesgo identificado</v>
      </c>
      <c r="R103" s="62"/>
      <c r="S103" s="62"/>
      <c r="T103" s="62"/>
      <c r="U103" s="62"/>
      <c r="V103" s="63"/>
      <c r="W103" s="63"/>
      <c r="X103" s="63"/>
      <c r="Y103" s="63"/>
      <c r="Z103" s="63"/>
      <c r="AA103" s="6"/>
      <c r="AB103" s="6"/>
      <c r="AC103" s="6"/>
    </row>
    <row r="104" spans="1:29" ht="45">
      <c r="A104" s="62">
        <f>Datos!A103</f>
        <v>102</v>
      </c>
      <c r="B104" s="62" t="str">
        <f>Datos!B103</f>
        <v>Desposte</v>
      </c>
      <c r="C104" s="62" t="str">
        <f>Datos!C103</f>
        <v xml:space="preserve">Operador Línea Empaque </v>
      </c>
      <c r="D104" s="62" t="str">
        <f>Datos!D103</f>
        <v>Palletizado</v>
      </c>
      <c r="E104" s="63" t="str">
        <f>Datos!F103</f>
        <v>06:30 14:50 / 17:30 a 02:50</v>
      </c>
      <c r="F104" s="63">
        <f>Datos!G103</f>
        <v>1</v>
      </c>
      <c r="G104" s="63">
        <f>Datos!H103</f>
        <v>6</v>
      </c>
      <c r="H104" s="63">
        <f>Datos!I103</f>
        <v>36</v>
      </c>
      <c r="I104" s="63">
        <f>Datos!J103</f>
        <v>8</v>
      </c>
      <c r="J104" s="6" t="s">
        <v>63</v>
      </c>
      <c r="K104" s="6" t="s">
        <v>64</v>
      </c>
      <c r="L104" s="6" t="s">
        <v>63</v>
      </c>
      <c r="M104" s="6" t="s">
        <v>64</v>
      </c>
      <c r="N104" s="6" t="s">
        <v>64</v>
      </c>
      <c r="O104" s="6" t="s">
        <v>64</v>
      </c>
      <c r="P104" s="6" t="s">
        <v>64</v>
      </c>
      <c r="Q104" s="6" t="str">
        <f t="shared" si="2"/>
        <v>Aplicar identificación avanzada-condición aceptable para cada tipo de factor de riesgo identificado</v>
      </c>
      <c r="R104" s="62"/>
      <c r="S104" s="62"/>
      <c r="T104" s="62"/>
      <c r="U104" s="62"/>
      <c r="V104" s="63"/>
      <c r="W104" s="63"/>
      <c r="X104" s="63"/>
      <c r="Y104" s="63"/>
      <c r="Z104" s="63"/>
      <c r="AA104" s="6"/>
      <c r="AB104" s="6"/>
      <c r="AC104" s="6"/>
    </row>
    <row r="105" spans="1:29" ht="45">
      <c r="A105" s="62">
        <f>Datos!A104</f>
        <v>103</v>
      </c>
      <c r="B105" s="62" t="str">
        <f>Datos!B104</f>
        <v>Desposte</v>
      </c>
      <c r="C105" s="62" t="str">
        <f>Datos!C104</f>
        <v xml:space="preserve">Operador Línea Empaque </v>
      </c>
      <c r="D105" s="62" t="str">
        <f>Datos!D104</f>
        <v xml:space="preserve">Calibrado </v>
      </c>
      <c r="E105" s="63" t="str">
        <f>Datos!F104</f>
        <v>06:30 14:50 / 17:30 a 02:50</v>
      </c>
      <c r="F105" s="63">
        <f>Datos!G104</f>
        <v>1</v>
      </c>
      <c r="G105" s="63">
        <f>Datos!H104</f>
        <v>6</v>
      </c>
      <c r="H105" s="63">
        <f>Datos!I104</f>
        <v>36</v>
      </c>
      <c r="I105" s="63">
        <f>Datos!J104</f>
        <v>8</v>
      </c>
      <c r="J105" s="6" t="s">
        <v>63</v>
      </c>
      <c r="K105" s="6" t="s">
        <v>64</v>
      </c>
      <c r="L105" s="6" t="s">
        <v>63</v>
      </c>
      <c r="M105" s="6" t="s">
        <v>64</v>
      </c>
      <c r="N105" s="6" t="s">
        <v>64</v>
      </c>
      <c r="O105" s="6" t="s">
        <v>64</v>
      </c>
      <c r="P105" s="6" t="s">
        <v>64</v>
      </c>
      <c r="Q105" s="6" t="str">
        <f t="shared" si="2"/>
        <v>Aplicar identificación avanzada-condición aceptable para cada tipo de factor de riesgo identificado</v>
      </c>
      <c r="R105" s="62"/>
      <c r="S105" s="62"/>
      <c r="T105" s="62"/>
      <c r="U105" s="62"/>
      <c r="V105" s="63"/>
      <c r="W105" s="63"/>
      <c r="X105" s="63"/>
      <c r="Y105" s="63"/>
      <c r="Z105" s="63"/>
      <c r="AA105" s="6"/>
      <c r="AB105" s="6"/>
      <c r="AC105" s="6"/>
    </row>
    <row r="106" spans="1:29" ht="45">
      <c r="A106" s="62">
        <f>Datos!A105</f>
        <v>104</v>
      </c>
      <c r="B106" s="62" t="str">
        <f>Datos!B105</f>
        <v>Desposte</v>
      </c>
      <c r="C106" s="62" t="str">
        <f>Datos!C105</f>
        <v xml:space="preserve">Operador Línea Empaque </v>
      </c>
      <c r="D106" s="62" t="str">
        <f>Datos!D105</f>
        <v xml:space="preserve"> Volteador 500</v>
      </c>
      <c r="E106" s="63" t="str">
        <f>Datos!F105</f>
        <v>06:30 14:50 / 17:30 a 02:50</v>
      </c>
      <c r="F106" s="63">
        <f>Datos!G105</f>
        <v>1</v>
      </c>
      <c r="G106" s="63">
        <f>Datos!H105</f>
        <v>6</v>
      </c>
      <c r="H106" s="63">
        <f>Datos!I105</f>
        <v>36</v>
      </c>
      <c r="I106" s="63">
        <f>Datos!J105</f>
        <v>8</v>
      </c>
      <c r="J106" s="6" t="s">
        <v>63</v>
      </c>
      <c r="K106" s="6" t="s">
        <v>64</v>
      </c>
      <c r="L106" s="6" t="s">
        <v>63</v>
      </c>
      <c r="M106" s="6" t="s">
        <v>64</v>
      </c>
      <c r="N106" s="6" t="s">
        <v>64</v>
      </c>
      <c r="O106" s="6" t="s">
        <v>64</v>
      </c>
      <c r="P106" s="6" t="s">
        <v>64</v>
      </c>
      <c r="Q106" s="6" t="str">
        <f t="shared" si="2"/>
        <v>Aplicar identificación avanzada-condición aceptable para cada tipo de factor de riesgo identificado</v>
      </c>
      <c r="R106" s="62"/>
      <c r="S106" s="62"/>
      <c r="T106" s="62"/>
      <c r="U106" s="62"/>
      <c r="V106" s="63"/>
      <c r="W106" s="63"/>
      <c r="X106" s="63"/>
      <c r="Y106" s="63"/>
      <c r="Z106" s="63"/>
      <c r="AA106" s="6"/>
      <c r="AB106" s="6"/>
      <c r="AC106" s="6"/>
    </row>
    <row r="107" spans="1:29" ht="45">
      <c r="A107" s="62">
        <f>Datos!A106</f>
        <v>105</v>
      </c>
      <c r="B107" s="62" t="str">
        <f>Datos!B106</f>
        <v>Desposte</v>
      </c>
      <c r="C107" s="62" t="str">
        <f>Datos!C106</f>
        <v xml:space="preserve">Operador Línea Empaque </v>
      </c>
      <c r="D107" s="62" t="str">
        <f>Datos!D106</f>
        <v>Direccionado</v>
      </c>
      <c r="E107" s="63" t="str">
        <f>Datos!F106</f>
        <v>06:30 14:50 / 17:30 a 02:50</v>
      </c>
      <c r="F107" s="63">
        <f>Datos!G106</f>
        <v>1</v>
      </c>
      <c r="G107" s="63">
        <f>Datos!H106</f>
        <v>6</v>
      </c>
      <c r="H107" s="63">
        <f>Datos!I106</f>
        <v>36</v>
      </c>
      <c r="I107" s="63">
        <f>Datos!J106</f>
        <v>8</v>
      </c>
      <c r="J107" s="6" t="s">
        <v>63</v>
      </c>
      <c r="K107" s="6" t="s">
        <v>64</v>
      </c>
      <c r="L107" s="6" t="s">
        <v>63</v>
      </c>
      <c r="M107" s="6" t="s">
        <v>64</v>
      </c>
      <c r="N107" s="6" t="s">
        <v>64</v>
      </c>
      <c r="O107" s="6" t="s">
        <v>64</v>
      </c>
      <c r="P107" s="6" t="s">
        <v>64</v>
      </c>
      <c r="Q107" s="6" t="str">
        <f t="shared" si="2"/>
        <v>Aplicar identificación avanzada-condición aceptable para cada tipo de factor de riesgo identificado</v>
      </c>
      <c r="R107" s="62"/>
      <c r="S107" s="62"/>
      <c r="T107" s="62"/>
      <c r="U107" s="62"/>
      <c r="V107" s="63"/>
      <c r="W107" s="63"/>
      <c r="X107" s="63"/>
      <c r="Y107" s="63"/>
      <c r="Z107" s="63"/>
      <c r="AA107" s="6"/>
      <c r="AB107" s="6"/>
      <c r="AC107" s="6"/>
    </row>
    <row r="108" spans="1:29" ht="45">
      <c r="A108" s="62">
        <f>Datos!A107</f>
        <v>106</v>
      </c>
      <c r="B108" s="62" t="str">
        <f>Datos!B107</f>
        <v>Desposte</v>
      </c>
      <c r="C108" s="62" t="str">
        <f>Datos!C107</f>
        <v xml:space="preserve">Operador Línea Empaque </v>
      </c>
      <c r="D108" s="62" t="str">
        <f>Datos!D107</f>
        <v>Embalado</v>
      </c>
      <c r="E108" s="63" t="str">
        <f>Datos!F107</f>
        <v>06:30 14:50 / 17:30 a 02:50</v>
      </c>
      <c r="F108" s="63">
        <f>Datos!G107</f>
        <v>1</v>
      </c>
      <c r="G108" s="63">
        <f>Datos!H107</f>
        <v>6</v>
      </c>
      <c r="H108" s="63">
        <f>Datos!I107</f>
        <v>36</v>
      </c>
      <c r="I108" s="63">
        <f>Datos!J107</f>
        <v>8</v>
      </c>
      <c r="J108" s="6" t="s">
        <v>63</v>
      </c>
      <c r="K108" s="6" t="s">
        <v>64</v>
      </c>
      <c r="L108" s="6" t="s">
        <v>63</v>
      </c>
      <c r="M108" s="6" t="s">
        <v>64</v>
      </c>
      <c r="N108" s="6" t="s">
        <v>64</v>
      </c>
      <c r="O108" s="6" t="s">
        <v>64</v>
      </c>
      <c r="P108" s="6" t="s">
        <v>64</v>
      </c>
      <c r="Q108" s="6" t="str">
        <f t="shared" si="2"/>
        <v>Aplicar identificación avanzada-condición aceptable para cada tipo de factor de riesgo identificado</v>
      </c>
      <c r="R108" s="62"/>
      <c r="S108" s="62"/>
      <c r="T108" s="62"/>
      <c r="U108" s="62"/>
      <c r="V108" s="63"/>
      <c r="W108" s="63"/>
      <c r="X108" s="63"/>
      <c r="Y108" s="63"/>
      <c r="Z108" s="63"/>
      <c r="AA108" s="6"/>
      <c r="AB108" s="6"/>
      <c r="AC108" s="6"/>
    </row>
    <row r="109" spans="1:29" ht="45">
      <c r="A109" s="62">
        <f>Datos!A108</f>
        <v>107</v>
      </c>
      <c r="B109" s="62" t="str">
        <f>Datos!B108</f>
        <v>Desposte</v>
      </c>
      <c r="C109" s="62" t="str">
        <f>Datos!C108</f>
        <v xml:space="preserve">Operador Línea Empaque </v>
      </c>
      <c r="D109" s="62" t="str">
        <f>Datos!D108</f>
        <v>PC</v>
      </c>
      <c r="E109" s="63" t="str">
        <f>Datos!F108</f>
        <v>06:30 14:50 / 17:30 a 02:50</v>
      </c>
      <c r="F109" s="63">
        <f>Datos!G108</f>
        <v>1</v>
      </c>
      <c r="G109" s="63">
        <f>Datos!H108</f>
        <v>6</v>
      </c>
      <c r="H109" s="63">
        <f>Datos!I108</f>
        <v>36</v>
      </c>
      <c r="I109" s="63">
        <f>Datos!J108</f>
        <v>8</v>
      </c>
      <c r="J109" s="6" t="s">
        <v>63</v>
      </c>
      <c r="K109" s="6" t="s">
        <v>64</v>
      </c>
      <c r="L109" s="6" t="s">
        <v>64</v>
      </c>
      <c r="M109" s="6" t="s">
        <v>64</v>
      </c>
      <c r="N109" s="6" t="s">
        <v>64</v>
      </c>
      <c r="O109" s="6" t="s">
        <v>64</v>
      </c>
      <c r="P109" s="6" t="s">
        <v>64</v>
      </c>
      <c r="Q109" s="6" t="str">
        <f t="shared" si="2"/>
        <v>Aplicar identificación avanzada-condición aceptable para cada tipo de factor de riesgo identificado</v>
      </c>
      <c r="R109" s="62"/>
      <c r="S109" s="62"/>
      <c r="T109" s="62"/>
      <c r="U109" s="62"/>
      <c r="V109" s="63"/>
      <c r="W109" s="63"/>
      <c r="X109" s="63"/>
      <c r="Y109" s="63"/>
      <c r="Z109" s="63"/>
      <c r="AA109" s="6"/>
      <c r="AB109" s="6"/>
      <c r="AC109" s="6"/>
    </row>
    <row r="110" spans="1:29" ht="45">
      <c r="A110" s="62">
        <f>Datos!A109</f>
        <v>108</v>
      </c>
      <c r="B110" s="62" t="str">
        <f>Datos!B109</f>
        <v>Desposte</v>
      </c>
      <c r="C110" s="62" t="str">
        <f>Datos!C109</f>
        <v xml:space="preserve">Operador Línea Empaque </v>
      </c>
      <c r="D110" s="62" t="str">
        <f>Datos!D109</f>
        <v>Volteado 100</v>
      </c>
      <c r="E110" s="63" t="str">
        <f>Datos!F109</f>
        <v>06:30 14:50 / 17:30 a 02:50</v>
      </c>
      <c r="F110" s="63">
        <f>Datos!G109</f>
        <v>1</v>
      </c>
      <c r="G110" s="63">
        <f>Datos!H109</f>
        <v>6</v>
      </c>
      <c r="H110" s="63">
        <f>Datos!I109</f>
        <v>36</v>
      </c>
      <c r="I110" s="63">
        <f>Datos!J109</f>
        <v>8</v>
      </c>
      <c r="J110" s="6" t="s">
        <v>63</v>
      </c>
      <c r="K110" s="6" t="s">
        <v>64</v>
      </c>
      <c r="L110" s="6" t="s">
        <v>63</v>
      </c>
      <c r="M110" s="6" t="s">
        <v>64</v>
      </c>
      <c r="N110" s="6" t="s">
        <v>64</v>
      </c>
      <c r="O110" s="6" t="s">
        <v>64</v>
      </c>
      <c r="P110" s="6" t="s">
        <v>64</v>
      </c>
      <c r="Q110" s="6" t="str">
        <f t="shared" si="2"/>
        <v>Aplicar identificación avanzada-condición aceptable para cada tipo de factor de riesgo identificado</v>
      </c>
      <c r="R110" s="62"/>
      <c r="S110" s="62"/>
      <c r="T110" s="62"/>
      <c r="U110" s="62"/>
      <c r="V110" s="63"/>
      <c r="W110" s="63"/>
      <c r="X110" s="63"/>
      <c r="Y110" s="63"/>
      <c r="Z110" s="63"/>
      <c r="AA110" s="6"/>
      <c r="AB110" s="6"/>
      <c r="AC110" s="6"/>
    </row>
    <row r="111" spans="1:29" ht="45">
      <c r="A111" s="62">
        <f>Datos!A110</f>
        <v>109</v>
      </c>
      <c r="B111" s="62" t="str">
        <f>Datos!B110</f>
        <v>Desposte</v>
      </c>
      <c r="C111" s="62" t="str">
        <f>Datos!C110</f>
        <v>Operador Línea Filete y Cabeza</v>
      </c>
      <c r="D111" s="62" t="str">
        <f>Datos!D110</f>
        <v>Cortar Cabeza</v>
      </c>
      <c r="E111" s="63" t="str">
        <f>Datos!F110</f>
        <v>06:30 14:50 / 17:30 a 02:50</v>
      </c>
      <c r="F111" s="63">
        <f>Datos!G110</f>
        <v>1</v>
      </c>
      <c r="G111" s="63">
        <f>Datos!H110</f>
        <v>6</v>
      </c>
      <c r="H111" s="63">
        <f>Datos!I110</f>
        <v>20</v>
      </c>
      <c r="I111" s="63">
        <f>Datos!J110</f>
        <v>6</v>
      </c>
      <c r="J111" s="6" t="s">
        <v>63</v>
      </c>
      <c r="K111" s="6" t="s">
        <v>64</v>
      </c>
      <c r="L111" s="6" t="s">
        <v>64</v>
      </c>
      <c r="M111" s="6" t="s">
        <v>64</v>
      </c>
      <c r="N111" s="6" t="s">
        <v>64</v>
      </c>
      <c r="O111" s="6" t="s">
        <v>64</v>
      </c>
      <c r="P111" s="6" t="s">
        <v>64</v>
      </c>
      <c r="Q111" s="6" t="str">
        <f t="shared" si="2"/>
        <v>Aplicar identificación avanzada-condición aceptable para cada tipo de factor de riesgo identificado</v>
      </c>
      <c r="R111" s="62"/>
      <c r="S111" s="62"/>
      <c r="T111" s="62"/>
      <c r="U111" s="62"/>
      <c r="V111" s="63"/>
      <c r="W111" s="63"/>
      <c r="X111" s="63"/>
      <c r="Y111" s="63"/>
      <c r="Z111" s="63"/>
      <c r="AA111" s="6"/>
      <c r="AB111" s="6"/>
      <c r="AC111" s="6"/>
    </row>
    <row r="112" spans="1:29" ht="45">
      <c r="A112" s="62">
        <f>Datos!A111</f>
        <v>110</v>
      </c>
      <c r="B112" s="62" t="str">
        <f>Datos!B111</f>
        <v>Desposte</v>
      </c>
      <c r="C112" s="62" t="str">
        <f>Datos!C111</f>
        <v>Operador Línea Filete y Cabeza</v>
      </c>
      <c r="D112" s="62" t="str">
        <f>Datos!D111</f>
        <v>Filetero</v>
      </c>
      <c r="E112" s="63" t="str">
        <f>Datos!F111</f>
        <v>06:30 14:50 / 17:30 a 02:50</v>
      </c>
      <c r="F112" s="63">
        <f>Datos!G111</f>
        <v>1</v>
      </c>
      <c r="G112" s="63">
        <f>Datos!H111</f>
        <v>6</v>
      </c>
      <c r="H112" s="63">
        <f>Datos!I111</f>
        <v>20</v>
      </c>
      <c r="I112" s="63">
        <f>Datos!J111</f>
        <v>6</v>
      </c>
      <c r="J112" s="6" t="s">
        <v>63</v>
      </c>
      <c r="K112" s="6" t="s">
        <v>64</v>
      </c>
      <c r="L112" s="6" t="s">
        <v>64</v>
      </c>
      <c r="M112" s="6" t="s">
        <v>64</v>
      </c>
      <c r="N112" s="6" t="s">
        <v>64</v>
      </c>
      <c r="O112" s="6" t="s">
        <v>64</v>
      </c>
      <c r="P112" s="6" t="s">
        <v>64</v>
      </c>
      <c r="Q112" s="6" t="str">
        <f t="shared" si="2"/>
        <v>Aplicar identificación avanzada-condición aceptable para cada tipo de factor de riesgo identificado</v>
      </c>
      <c r="R112" s="62"/>
      <c r="S112" s="62"/>
      <c r="T112" s="62"/>
      <c r="U112" s="62"/>
      <c r="V112" s="63"/>
      <c r="W112" s="63"/>
      <c r="X112" s="63"/>
      <c r="Y112" s="63"/>
      <c r="Z112" s="63"/>
      <c r="AA112" s="6"/>
      <c r="AB112" s="6"/>
      <c r="AC112" s="6"/>
    </row>
    <row r="113" spans="1:29" ht="45">
      <c r="A113" s="62">
        <f>Datos!A112</f>
        <v>111</v>
      </c>
      <c r="B113" s="62" t="str">
        <f>Datos!B112</f>
        <v>Desposte</v>
      </c>
      <c r="C113" s="62" t="str">
        <f>Datos!C112</f>
        <v>Operador Línea Filete y Cabeza</v>
      </c>
      <c r="D113" s="62" t="str">
        <f>Datos!D112</f>
        <v>Exracción de cuero Axilar</v>
      </c>
      <c r="E113" s="63" t="str">
        <f>Datos!F112</f>
        <v>06:30 14:50 / 17:30 a 02:50</v>
      </c>
      <c r="F113" s="63">
        <f>Datos!G112</f>
        <v>1</v>
      </c>
      <c r="G113" s="63">
        <f>Datos!H112</f>
        <v>6</v>
      </c>
      <c r="H113" s="63">
        <f>Datos!I112</f>
        <v>20</v>
      </c>
      <c r="I113" s="63">
        <f>Datos!J112</f>
        <v>6</v>
      </c>
      <c r="J113" s="6" t="s">
        <v>63</v>
      </c>
      <c r="K113" s="6" t="s">
        <v>64</v>
      </c>
      <c r="L113" s="6" t="s">
        <v>64</v>
      </c>
      <c r="M113" s="6" t="s">
        <v>64</v>
      </c>
      <c r="N113" s="6" t="s">
        <v>64</v>
      </c>
      <c r="O113" s="6" t="s">
        <v>64</v>
      </c>
      <c r="P113" s="6" t="s">
        <v>64</v>
      </c>
      <c r="Q113" s="6" t="str">
        <f t="shared" si="2"/>
        <v>Aplicar identificación avanzada-condición aceptable para cada tipo de factor de riesgo identificado</v>
      </c>
      <c r="R113" s="62"/>
      <c r="S113" s="62"/>
      <c r="T113" s="62"/>
      <c r="U113" s="62"/>
      <c r="V113" s="63"/>
      <c r="W113" s="63"/>
      <c r="X113" s="63"/>
      <c r="Y113" s="63"/>
      <c r="Z113" s="63"/>
      <c r="AA113" s="6"/>
      <c r="AB113" s="6"/>
      <c r="AC113" s="6"/>
    </row>
    <row r="114" spans="1:29" ht="45">
      <c r="A114" s="62">
        <f>Datos!A113</f>
        <v>112</v>
      </c>
      <c r="B114" s="62" t="str">
        <f>Datos!B113</f>
        <v>Desposte</v>
      </c>
      <c r="C114" s="62" t="str">
        <f>Datos!C113</f>
        <v>Operador Línea Filete y Cabeza</v>
      </c>
      <c r="D114" s="62" t="str">
        <f>Datos!D113</f>
        <v>Embalar Perniles</v>
      </c>
      <c r="E114" s="63" t="str">
        <f>Datos!F113</f>
        <v>06:30 14:50 / 17:30 a 02:50</v>
      </c>
      <c r="F114" s="63">
        <f>Datos!G113</f>
        <v>1</v>
      </c>
      <c r="G114" s="63">
        <f>Datos!H113</f>
        <v>6</v>
      </c>
      <c r="H114" s="63">
        <f>Datos!I113</f>
        <v>20</v>
      </c>
      <c r="I114" s="63">
        <f>Datos!J113</f>
        <v>6</v>
      </c>
      <c r="J114" s="6" t="s">
        <v>63</v>
      </c>
      <c r="K114" s="6" t="s">
        <v>64</v>
      </c>
      <c r="L114" s="6" t="s">
        <v>63</v>
      </c>
      <c r="M114" s="6" t="s">
        <v>64</v>
      </c>
      <c r="N114" s="6" t="s">
        <v>64</v>
      </c>
      <c r="O114" s="6" t="s">
        <v>64</v>
      </c>
      <c r="P114" s="6" t="s">
        <v>64</v>
      </c>
      <c r="Q114" s="6" t="str">
        <f t="shared" si="2"/>
        <v>Aplicar identificación avanzada-condición aceptable para cada tipo de factor de riesgo identificado</v>
      </c>
      <c r="R114" s="62"/>
      <c r="S114" s="62"/>
      <c r="T114" s="62"/>
      <c r="U114" s="62"/>
      <c r="V114" s="63"/>
      <c r="W114" s="63"/>
      <c r="X114" s="63"/>
      <c r="Y114" s="63"/>
      <c r="Z114" s="63"/>
      <c r="AA114" s="6"/>
      <c r="AB114" s="6"/>
      <c r="AC114" s="6"/>
    </row>
    <row r="115" spans="1:29" ht="45">
      <c r="A115" s="62">
        <f>Datos!A114</f>
        <v>113</v>
      </c>
      <c r="B115" s="62" t="str">
        <f>Datos!B114</f>
        <v>Desposte</v>
      </c>
      <c r="C115" s="62" t="str">
        <f>Datos!C114</f>
        <v>Operador Línea Filete y Cabeza</v>
      </c>
      <c r="D115" s="62" t="str">
        <f>Datos!D114</f>
        <v>Embalador Perniles</v>
      </c>
      <c r="E115" s="63" t="str">
        <f>Datos!F114</f>
        <v>06:30 14:50 / 17:30 a 02:50</v>
      </c>
      <c r="F115" s="63">
        <f>Datos!G114</f>
        <v>1</v>
      </c>
      <c r="G115" s="63">
        <f>Datos!H114</f>
        <v>6</v>
      </c>
      <c r="H115" s="63">
        <f>Datos!I114</f>
        <v>20</v>
      </c>
      <c r="I115" s="63">
        <f>Datos!J114</f>
        <v>6</v>
      </c>
      <c r="J115" s="6" t="s">
        <v>63</v>
      </c>
      <c r="K115" s="6" t="s">
        <v>64</v>
      </c>
      <c r="L115" s="6" t="s">
        <v>63</v>
      </c>
      <c r="M115" s="6" t="s">
        <v>64</v>
      </c>
      <c r="N115" s="6" t="s">
        <v>64</v>
      </c>
      <c r="O115" s="6" t="s">
        <v>64</v>
      </c>
      <c r="P115" s="6" t="s">
        <v>64</v>
      </c>
      <c r="Q115" s="6" t="str">
        <f t="shared" si="2"/>
        <v>Aplicar identificación avanzada-condición aceptable para cada tipo de factor de riesgo identificado</v>
      </c>
      <c r="R115" s="62"/>
      <c r="S115" s="62"/>
      <c r="T115" s="62"/>
      <c r="U115" s="62"/>
      <c r="V115" s="63"/>
      <c r="W115" s="63"/>
      <c r="X115" s="63"/>
      <c r="Y115" s="63"/>
      <c r="Z115" s="63"/>
      <c r="AA115" s="6"/>
      <c r="AB115" s="6"/>
      <c r="AC115" s="6"/>
    </row>
    <row r="116" spans="1:29" ht="45">
      <c r="A116" s="62">
        <f>Datos!A115</f>
        <v>114</v>
      </c>
      <c r="B116" s="62" t="str">
        <f>Datos!B115</f>
        <v>Desposte</v>
      </c>
      <c r="C116" s="62" t="str">
        <f>Datos!C115</f>
        <v>Operador Línea Filete y Cabeza</v>
      </c>
      <c r="D116" s="62" t="str">
        <f>Datos!D115</f>
        <v>Prolijado Entraña</v>
      </c>
      <c r="E116" s="63" t="str">
        <f>Datos!F115</f>
        <v>06:30 14:50 / 17:30 a 02:50</v>
      </c>
      <c r="F116" s="63">
        <f>Datos!G115</f>
        <v>1</v>
      </c>
      <c r="G116" s="63">
        <f>Datos!H115</f>
        <v>6</v>
      </c>
      <c r="H116" s="63">
        <f>Datos!I115</f>
        <v>20</v>
      </c>
      <c r="I116" s="63">
        <f>Datos!J115</f>
        <v>6</v>
      </c>
      <c r="J116" s="6" t="s">
        <v>63</v>
      </c>
      <c r="K116" s="6" t="s">
        <v>64</v>
      </c>
      <c r="L116" s="6" t="s">
        <v>64</v>
      </c>
      <c r="M116" s="6" t="s">
        <v>64</v>
      </c>
      <c r="N116" s="6" t="s">
        <v>64</v>
      </c>
      <c r="O116" s="6" t="s">
        <v>64</v>
      </c>
      <c r="P116" s="6" t="s">
        <v>64</v>
      </c>
      <c r="Q116" s="6" t="str">
        <f t="shared" si="2"/>
        <v>Aplicar identificación avanzada-condición aceptable para cada tipo de factor de riesgo identificado</v>
      </c>
      <c r="R116" s="62"/>
      <c r="S116" s="62"/>
      <c r="T116" s="62"/>
      <c r="U116" s="62"/>
      <c r="V116" s="63"/>
      <c r="W116" s="63"/>
      <c r="X116" s="63"/>
      <c r="Y116" s="63"/>
      <c r="Z116" s="63"/>
      <c r="AA116" s="6"/>
      <c r="AB116" s="6"/>
      <c r="AC116" s="6"/>
    </row>
    <row r="117" spans="1:29" ht="45">
      <c r="A117" s="62">
        <f>Datos!A116</f>
        <v>115</v>
      </c>
      <c r="B117" s="62" t="str">
        <f>Datos!B116</f>
        <v>Desposte</v>
      </c>
      <c r="C117" s="62" t="str">
        <f>Datos!C116</f>
        <v>Operador Línea Filete y Cabeza</v>
      </c>
      <c r="D117" s="62" t="str">
        <f>Datos!D116</f>
        <v>Embalaje patas y manos</v>
      </c>
      <c r="E117" s="63" t="str">
        <f>Datos!F116</f>
        <v>06:30 14:50 / 17:30 a 02:50</v>
      </c>
      <c r="F117" s="63">
        <f>Datos!G116</f>
        <v>1</v>
      </c>
      <c r="G117" s="63">
        <f>Datos!H116</f>
        <v>6</v>
      </c>
      <c r="H117" s="63">
        <f>Datos!I116</f>
        <v>20</v>
      </c>
      <c r="I117" s="63">
        <f>Datos!J116</f>
        <v>6</v>
      </c>
      <c r="J117" s="6" t="s">
        <v>63</v>
      </c>
      <c r="K117" s="6" t="s">
        <v>64</v>
      </c>
      <c r="L117" s="6" t="s">
        <v>63</v>
      </c>
      <c r="M117" s="6" t="s">
        <v>64</v>
      </c>
      <c r="N117" s="6" t="s">
        <v>64</v>
      </c>
      <c r="O117" s="6" t="s">
        <v>64</v>
      </c>
      <c r="P117" s="6" t="s">
        <v>64</v>
      </c>
      <c r="Q117" s="6" t="str">
        <f t="shared" si="2"/>
        <v>Aplicar identificación avanzada-condición aceptable para cada tipo de factor de riesgo identificado</v>
      </c>
      <c r="R117" s="62"/>
      <c r="S117" s="62"/>
      <c r="T117" s="62"/>
      <c r="U117" s="62"/>
      <c r="V117" s="63"/>
      <c r="W117" s="63"/>
      <c r="X117" s="63"/>
      <c r="Y117" s="63"/>
      <c r="Z117" s="63"/>
      <c r="AA117" s="6"/>
      <c r="AB117" s="6"/>
      <c r="AC117" s="6"/>
    </row>
    <row r="118" spans="1:29" ht="45">
      <c r="A118" s="62">
        <f>Datos!A117</f>
        <v>0</v>
      </c>
      <c r="B118" s="62">
        <f>Datos!B117</f>
        <v>0</v>
      </c>
      <c r="C118" s="62">
        <f>Datos!C117</f>
        <v>0</v>
      </c>
      <c r="D118" s="62">
        <f>Datos!D117</f>
        <v>0</v>
      </c>
      <c r="E118" s="63">
        <f>Datos!F117</f>
        <v>0</v>
      </c>
      <c r="F118" s="63">
        <f>Datos!G117</f>
        <v>0</v>
      </c>
      <c r="G118" s="63">
        <f>Datos!H117</f>
        <v>0</v>
      </c>
      <c r="H118" s="63">
        <f>Datos!I117</f>
        <v>0</v>
      </c>
      <c r="I118" s="63">
        <f>Datos!J117</f>
        <v>0</v>
      </c>
      <c r="J118" s="6"/>
      <c r="K118" s="6"/>
      <c r="L118" s="6"/>
      <c r="M118" s="6"/>
      <c r="N118" s="6"/>
      <c r="O118" s="6"/>
      <c r="P118" s="6"/>
      <c r="Q118" s="6" t="str">
        <f t="shared" si="2"/>
        <v>Aplicar identificación avanzada-condición aceptable para cada tipo de factor de riesgo identificado</v>
      </c>
      <c r="R118" s="62"/>
      <c r="S118" s="62"/>
      <c r="T118" s="62"/>
      <c r="U118" s="62"/>
      <c r="V118" s="63"/>
      <c r="W118" s="63"/>
      <c r="X118" s="63"/>
      <c r="Y118" s="63"/>
      <c r="Z118" s="63"/>
      <c r="AA118" s="6"/>
      <c r="AB118" s="6"/>
      <c r="AC118" s="6"/>
    </row>
    <row r="119" spans="1:29" ht="45">
      <c r="A119" s="62">
        <f>Datos!A118</f>
        <v>0</v>
      </c>
      <c r="B119" s="62">
        <f>Datos!B118</f>
        <v>0</v>
      </c>
      <c r="C119" s="62">
        <f>Datos!C118</f>
        <v>0</v>
      </c>
      <c r="D119" s="62">
        <f>Datos!D118</f>
        <v>0</v>
      </c>
      <c r="E119" s="63">
        <f>Datos!F118</f>
        <v>0</v>
      </c>
      <c r="F119" s="63">
        <f>Datos!G118</f>
        <v>0</v>
      </c>
      <c r="G119" s="63">
        <f>Datos!H118</f>
        <v>0</v>
      </c>
      <c r="H119" s="63">
        <f>Datos!I118</f>
        <v>0</v>
      </c>
      <c r="I119" s="63">
        <f>Datos!J118</f>
        <v>0</v>
      </c>
      <c r="J119" s="6"/>
      <c r="K119" s="6"/>
      <c r="L119" s="6"/>
      <c r="M119" s="6"/>
      <c r="N119" s="6"/>
      <c r="O119" s="6"/>
      <c r="P119" s="6"/>
      <c r="Q119" s="6" t="str">
        <f t="shared" si="2"/>
        <v>Aplicar identificación avanzada-condición aceptable para cada tipo de factor de riesgo identificado</v>
      </c>
      <c r="R119" s="62"/>
      <c r="S119" s="62"/>
      <c r="T119" s="62"/>
      <c r="U119" s="62"/>
      <c r="V119" s="63"/>
      <c r="W119" s="63"/>
      <c r="X119" s="63"/>
      <c r="Y119" s="63"/>
      <c r="Z119" s="63"/>
      <c r="AA119" s="6"/>
      <c r="AB119" s="6"/>
      <c r="AC119" s="6"/>
    </row>
    <row r="120" spans="1:29" ht="45">
      <c r="A120" s="62">
        <f>Datos!A119</f>
        <v>0</v>
      </c>
      <c r="B120" s="62">
        <f>Datos!B119</f>
        <v>0</v>
      </c>
      <c r="C120" s="62">
        <f>Datos!C119</f>
        <v>0</v>
      </c>
      <c r="D120" s="62">
        <f>Datos!D119</f>
        <v>0</v>
      </c>
      <c r="E120" s="63">
        <f>Datos!F119</f>
        <v>0</v>
      </c>
      <c r="F120" s="63">
        <f>Datos!G119</f>
        <v>0</v>
      </c>
      <c r="G120" s="63">
        <f>Datos!H119</f>
        <v>0</v>
      </c>
      <c r="H120" s="63">
        <f>Datos!I119</f>
        <v>0</v>
      </c>
      <c r="I120" s="63">
        <f>Datos!J119</f>
        <v>0</v>
      </c>
      <c r="J120" s="6"/>
      <c r="K120" s="6"/>
      <c r="L120" s="6"/>
      <c r="M120" s="6"/>
      <c r="N120" s="6"/>
      <c r="O120" s="6"/>
      <c r="P120" s="6"/>
      <c r="Q120" s="6" t="str">
        <f t="shared" si="2"/>
        <v>Aplicar identificación avanzada-condición aceptable para cada tipo de factor de riesgo identificado</v>
      </c>
      <c r="R120" s="62"/>
      <c r="S120" s="62"/>
      <c r="T120" s="62"/>
      <c r="U120" s="62"/>
      <c r="V120" s="63"/>
      <c r="W120" s="63"/>
      <c r="X120" s="63"/>
      <c r="Y120" s="63"/>
      <c r="Z120" s="63"/>
      <c r="AA120" s="6"/>
      <c r="AB120" s="6"/>
      <c r="AC120" s="6"/>
    </row>
    <row r="121" spans="1:29" ht="45">
      <c r="A121" s="62">
        <f>Datos!A120</f>
        <v>0</v>
      </c>
      <c r="B121" s="62">
        <f>Datos!B120</f>
        <v>0</v>
      </c>
      <c r="C121" s="62">
        <f>Datos!C120</f>
        <v>0</v>
      </c>
      <c r="D121" s="62">
        <f>Datos!D120</f>
        <v>0</v>
      </c>
      <c r="E121" s="63">
        <f>Datos!F120</f>
        <v>0</v>
      </c>
      <c r="F121" s="63">
        <f>Datos!G120</f>
        <v>0</v>
      </c>
      <c r="G121" s="63">
        <f>Datos!H120</f>
        <v>0</v>
      </c>
      <c r="H121" s="63">
        <f>Datos!I120</f>
        <v>0</v>
      </c>
      <c r="I121" s="63">
        <f>Datos!J120</f>
        <v>0</v>
      </c>
      <c r="J121" s="6"/>
      <c r="K121" s="6"/>
      <c r="L121" s="6"/>
      <c r="M121" s="6"/>
      <c r="N121" s="6"/>
      <c r="O121" s="6"/>
      <c r="P121" s="6"/>
      <c r="Q121" s="6" t="str">
        <f t="shared" si="2"/>
        <v>Aplicar identificación avanzada-condición aceptable para cada tipo de factor de riesgo identificado</v>
      </c>
      <c r="R121" s="62"/>
      <c r="S121" s="62"/>
      <c r="T121" s="62"/>
      <c r="U121" s="62"/>
      <c r="V121" s="63"/>
      <c r="W121" s="63"/>
      <c r="X121" s="63"/>
      <c r="Y121" s="63"/>
      <c r="Z121" s="63"/>
      <c r="AA121" s="6"/>
      <c r="AB121" s="6"/>
      <c r="AC121" s="6"/>
    </row>
    <row r="122" spans="1:29" ht="45">
      <c r="A122" s="62">
        <f>Datos!A121</f>
        <v>0</v>
      </c>
      <c r="B122" s="62">
        <f>Datos!B121</f>
        <v>0</v>
      </c>
      <c r="C122" s="62">
        <f>Datos!C121</f>
        <v>0</v>
      </c>
      <c r="D122" s="62">
        <f>Datos!D121</f>
        <v>0</v>
      </c>
      <c r="E122" s="63">
        <f>Datos!F121</f>
        <v>0</v>
      </c>
      <c r="F122" s="63">
        <f>Datos!G121</f>
        <v>0</v>
      </c>
      <c r="G122" s="63">
        <f>Datos!H121</f>
        <v>0</v>
      </c>
      <c r="H122" s="63">
        <f>Datos!I121</f>
        <v>0</v>
      </c>
      <c r="I122" s="63">
        <f>Datos!J121</f>
        <v>0</v>
      </c>
      <c r="J122" s="6"/>
      <c r="K122" s="6"/>
      <c r="L122" s="6"/>
      <c r="M122" s="6"/>
      <c r="N122" s="6"/>
      <c r="O122" s="6"/>
      <c r="P122" s="6"/>
      <c r="Q122" s="6" t="str">
        <f t="shared" si="2"/>
        <v>Aplicar identificación avanzada-condición aceptable para cada tipo de factor de riesgo identificado</v>
      </c>
      <c r="R122" s="62"/>
      <c r="S122" s="62"/>
      <c r="T122" s="62"/>
      <c r="U122" s="62"/>
      <c r="V122" s="63"/>
      <c r="W122" s="63"/>
      <c r="X122" s="63"/>
      <c r="Y122" s="63"/>
      <c r="Z122" s="63"/>
      <c r="AA122" s="6"/>
      <c r="AB122" s="6"/>
      <c r="AC122" s="6"/>
    </row>
    <row r="123" spans="1:29" ht="45">
      <c r="A123" s="62">
        <f>Datos!A122</f>
        <v>0</v>
      </c>
      <c r="B123" s="62">
        <f>Datos!B122</f>
        <v>0</v>
      </c>
      <c r="C123" s="62">
        <f>Datos!C122</f>
        <v>0</v>
      </c>
      <c r="D123" s="62">
        <f>Datos!D122</f>
        <v>0</v>
      </c>
      <c r="E123" s="63">
        <f>Datos!F122</f>
        <v>0</v>
      </c>
      <c r="F123" s="63">
        <f>Datos!G122</f>
        <v>0</v>
      </c>
      <c r="G123" s="63">
        <f>Datos!H122</f>
        <v>0</v>
      </c>
      <c r="H123" s="63">
        <f>Datos!I122</f>
        <v>0</v>
      </c>
      <c r="I123" s="63">
        <f>Datos!J122</f>
        <v>0</v>
      </c>
      <c r="J123" s="6"/>
      <c r="K123" s="6"/>
      <c r="L123" s="6"/>
      <c r="M123" s="6"/>
      <c r="N123" s="6"/>
      <c r="O123" s="6"/>
      <c r="P123" s="6"/>
      <c r="Q123" s="6" t="str">
        <f t="shared" si="2"/>
        <v>Aplicar identificación avanzada-condición aceptable para cada tipo de factor de riesgo identificado</v>
      </c>
      <c r="R123" s="62"/>
      <c r="S123" s="62"/>
      <c r="T123" s="62"/>
      <c r="U123" s="62"/>
      <c r="V123" s="63"/>
      <c r="W123" s="63"/>
      <c r="X123" s="63"/>
      <c r="Y123" s="63"/>
      <c r="Z123" s="63"/>
      <c r="AA123" s="6"/>
      <c r="AB123" s="6"/>
      <c r="AC123" s="6"/>
    </row>
    <row r="124" spans="1:29" ht="45">
      <c r="A124" s="62">
        <f>Datos!A124</f>
        <v>0</v>
      </c>
      <c r="B124" s="62">
        <f>Datos!B124</f>
        <v>0</v>
      </c>
      <c r="C124" s="62">
        <f>Datos!C124</f>
        <v>0</v>
      </c>
      <c r="D124" s="62">
        <f>Datos!D124</f>
        <v>0</v>
      </c>
      <c r="E124" s="63" t="s">
        <v>308</v>
      </c>
      <c r="F124" s="63">
        <f>Datos!G124</f>
        <v>0</v>
      </c>
      <c r="G124" s="63">
        <v>38</v>
      </c>
      <c r="H124" s="63">
        <f>Datos!I124</f>
        <v>0</v>
      </c>
      <c r="I124" s="63">
        <f>Datos!J124</f>
        <v>0</v>
      </c>
      <c r="J124" s="6"/>
      <c r="K124" s="6"/>
      <c r="L124" s="6"/>
      <c r="M124" s="6"/>
      <c r="N124" s="6"/>
      <c r="O124" s="6"/>
      <c r="P124" s="6"/>
      <c r="Q124" s="6" t="str">
        <f t="shared" si="2"/>
        <v>Aplicar identificación avanzada-condición aceptable para cada tipo de factor de riesgo identificado</v>
      </c>
      <c r="R124" s="62"/>
      <c r="S124" s="62"/>
      <c r="T124" s="62"/>
      <c r="U124" s="62"/>
      <c r="V124" s="63"/>
      <c r="W124" s="63"/>
      <c r="X124" s="63"/>
      <c r="Y124" s="63"/>
      <c r="Z124" s="63"/>
      <c r="AA124" s="6"/>
      <c r="AB124" s="6"/>
      <c r="AC124" s="6"/>
    </row>
    <row r="125" spans="1:29" ht="45">
      <c r="A125" s="62">
        <f>Datos!A125</f>
        <v>0</v>
      </c>
      <c r="B125" s="62">
        <f>Datos!B125</f>
        <v>0</v>
      </c>
      <c r="C125" s="62">
        <f>Datos!C125</f>
        <v>0</v>
      </c>
      <c r="D125" s="62">
        <f>Datos!D125</f>
        <v>0</v>
      </c>
      <c r="E125" s="63" t="s">
        <v>309</v>
      </c>
      <c r="F125" s="63">
        <f>Datos!G125</f>
        <v>0</v>
      </c>
      <c r="G125" s="63">
        <v>39</v>
      </c>
      <c r="H125" s="63">
        <f>Datos!I125</f>
        <v>0</v>
      </c>
      <c r="I125" s="63">
        <f>Datos!J125</f>
        <v>0</v>
      </c>
      <c r="J125" s="6"/>
      <c r="K125" s="6"/>
      <c r="L125" s="6"/>
      <c r="M125" s="6"/>
      <c r="N125" s="6"/>
      <c r="O125" s="6"/>
      <c r="P125" s="6"/>
      <c r="Q125" s="6" t="str">
        <f t="shared" si="2"/>
        <v>Aplicar identificación avanzada-condición aceptable para cada tipo de factor de riesgo identificado</v>
      </c>
      <c r="R125" s="62"/>
      <c r="S125" s="62"/>
      <c r="T125" s="62"/>
      <c r="U125" s="62"/>
      <c r="V125" s="63"/>
      <c r="W125" s="63"/>
      <c r="X125" s="63"/>
      <c r="Y125" s="63"/>
      <c r="Z125" s="63"/>
      <c r="AA125" s="6"/>
      <c r="AB125" s="6"/>
      <c r="AC125" s="6"/>
    </row>
    <row r="126" spans="1:29" ht="45">
      <c r="A126" s="62">
        <f>Datos!A126</f>
        <v>0</v>
      </c>
      <c r="B126" s="62">
        <f>Datos!B126</f>
        <v>0</v>
      </c>
      <c r="C126" s="62">
        <f>Datos!C126</f>
        <v>0</v>
      </c>
      <c r="D126" s="62">
        <f>Datos!D126</f>
        <v>0</v>
      </c>
      <c r="E126" s="63" t="s">
        <v>310</v>
      </c>
      <c r="F126" s="63">
        <f>Datos!G126</f>
        <v>0</v>
      </c>
      <c r="G126" s="63">
        <v>40</v>
      </c>
      <c r="H126" s="63">
        <f>Datos!I126</f>
        <v>0</v>
      </c>
      <c r="I126" s="63">
        <f>Datos!J126</f>
        <v>0</v>
      </c>
      <c r="J126" s="6"/>
      <c r="K126" s="6"/>
      <c r="L126" s="6"/>
      <c r="M126" s="6"/>
      <c r="N126" s="6"/>
      <c r="O126" s="6"/>
      <c r="P126" s="6"/>
      <c r="Q126" s="6" t="str">
        <f t="shared" si="2"/>
        <v>Aplicar identificación avanzada-condición aceptable para cada tipo de factor de riesgo identificado</v>
      </c>
      <c r="R126" s="62"/>
      <c r="S126" s="62"/>
      <c r="T126" s="62"/>
      <c r="U126" s="62"/>
      <c r="V126" s="63"/>
      <c r="W126" s="63"/>
      <c r="X126" s="63"/>
      <c r="Y126" s="63"/>
      <c r="Z126" s="63"/>
      <c r="AA126" s="6"/>
      <c r="AB126" s="6"/>
      <c r="AC126" s="6"/>
    </row>
    <row r="127" spans="1:29" ht="45">
      <c r="A127" s="62">
        <f>Datos!A127</f>
        <v>0</v>
      </c>
      <c r="B127" s="62">
        <f>Datos!B127</f>
        <v>0</v>
      </c>
      <c r="C127" s="62">
        <f>Datos!C127</f>
        <v>0</v>
      </c>
      <c r="D127" s="62">
        <f>Datos!D127</f>
        <v>0</v>
      </c>
      <c r="E127" s="63" t="s">
        <v>311</v>
      </c>
      <c r="F127" s="63">
        <f>Datos!G127</f>
        <v>0</v>
      </c>
      <c r="G127" s="63">
        <v>41</v>
      </c>
      <c r="H127" s="63">
        <f>Datos!I127</f>
        <v>0</v>
      </c>
      <c r="I127" s="63">
        <f>Datos!J127</f>
        <v>0</v>
      </c>
      <c r="J127" s="6"/>
      <c r="K127" s="6"/>
      <c r="L127" s="6"/>
      <c r="M127" s="6"/>
      <c r="N127" s="6"/>
      <c r="O127" s="6"/>
      <c r="P127" s="6"/>
      <c r="Q127" s="6" t="str">
        <f t="shared" si="2"/>
        <v>Aplicar identificación avanzada-condición aceptable para cada tipo de factor de riesgo identificado</v>
      </c>
      <c r="R127" s="62"/>
      <c r="S127" s="62"/>
      <c r="T127" s="62"/>
      <c r="U127" s="62"/>
      <c r="V127" s="63"/>
      <c r="W127" s="63"/>
      <c r="X127" s="63"/>
      <c r="Y127" s="63"/>
      <c r="Z127" s="63"/>
      <c r="AA127" s="6"/>
      <c r="AB127" s="6"/>
      <c r="AC127" s="6"/>
    </row>
    <row r="128" spans="1:29" ht="45">
      <c r="A128" s="62">
        <f>Datos!A128</f>
        <v>0</v>
      </c>
      <c r="B128" s="62">
        <f>Datos!B128</f>
        <v>0</v>
      </c>
      <c r="C128" s="62">
        <f>Datos!C128</f>
        <v>0</v>
      </c>
      <c r="D128" s="62">
        <f>Datos!D128</f>
        <v>0</v>
      </c>
      <c r="E128" s="63" t="s">
        <v>312</v>
      </c>
      <c r="F128" s="63">
        <f>Datos!G128</f>
        <v>0</v>
      </c>
      <c r="G128" s="63">
        <v>42</v>
      </c>
      <c r="H128" s="63">
        <f>Datos!I128</f>
        <v>0</v>
      </c>
      <c r="I128" s="63">
        <f>Datos!J128</f>
        <v>0</v>
      </c>
      <c r="J128" s="6"/>
      <c r="K128" s="6"/>
      <c r="L128" s="6"/>
      <c r="M128" s="6"/>
      <c r="N128" s="6"/>
      <c r="O128" s="6"/>
      <c r="P128" s="6"/>
      <c r="Q128" s="6" t="str">
        <f t="shared" si="2"/>
        <v>Aplicar identificación avanzada-condición aceptable para cada tipo de factor de riesgo identificado</v>
      </c>
      <c r="R128" s="62"/>
      <c r="S128" s="62"/>
      <c r="T128" s="62"/>
      <c r="U128" s="62"/>
      <c r="V128" s="63"/>
      <c r="W128" s="63"/>
      <c r="X128" s="63"/>
      <c r="Y128" s="63"/>
      <c r="Z128" s="63"/>
      <c r="AA128" s="6"/>
      <c r="AB128" s="6"/>
      <c r="AC128" s="6"/>
    </row>
    <row r="129" spans="1:29" ht="45">
      <c r="A129" s="62">
        <f>Datos!A129</f>
        <v>0</v>
      </c>
      <c r="B129" s="62">
        <f>Datos!B129</f>
        <v>0</v>
      </c>
      <c r="C129" s="62">
        <f>Datos!C129</f>
        <v>0</v>
      </c>
      <c r="D129" s="62">
        <f>Datos!D129</f>
        <v>0</v>
      </c>
      <c r="E129" s="63" t="s">
        <v>313</v>
      </c>
      <c r="F129" s="63">
        <f>Datos!G129</f>
        <v>0</v>
      </c>
      <c r="G129" s="63">
        <v>43</v>
      </c>
      <c r="H129" s="63">
        <f>Datos!I129</f>
        <v>0</v>
      </c>
      <c r="I129" s="63">
        <f>Datos!J129</f>
        <v>0</v>
      </c>
      <c r="J129" s="6"/>
      <c r="K129" s="6"/>
      <c r="L129" s="6"/>
      <c r="M129" s="6"/>
      <c r="N129" s="6"/>
      <c r="O129" s="6"/>
      <c r="P129" s="6"/>
      <c r="Q129" s="6" t="str">
        <f t="shared" si="2"/>
        <v>Aplicar identificación avanzada-condición aceptable para cada tipo de factor de riesgo identificado</v>
      </c>
      <c r="R129" s="62"/>
      <c r="S129" s="62"/>
      <c r="T129" s="62"/>
      <c r="U129" s="62"/>
      <c r="V129" s="63"/>
      <c r="W129" s="63"/>
      <c r="X129" s="63"/>
      <c r="Y129" s="63"/>
      <c r="Z129" s="63"/>
      <c r="AA129" s="6"/>
      <c r="AB129" s="6"/>
      <c r="AC129" s="6"/>
    </row>
    <row r="130" spans="1:29" ht="45">
      <c r="A130" s="62">
        <f>Datos!A130</f>
        <v>0</v>
      </c>
      <c r="B130" s="62">
        <f>Datos!B130</f>
        <v>0</v>
      </c>
      <c r="C130" s="62">
        <f>Datos!C130</f>
        <v>0</v>
      </c>
      <c r="D130" s="62">
        <f>Datos!D130</f>
        <v>0</v>
      </c>
      <c r="E130" s="63" t="s">
        <v>314</v>
      </c>
      <c r="F130" s="63">
        <f>Datos!G130</f>
        <v>0</v>
      </c>
      <c r="G130" s="63">
        <v>44</v>
      </c>
      <c r="H130" s="63">
        <f>Datos!I130</f>
        <v>0</v>
      </c>
      <c r="I130" s="63">
        <f>Datos!J130</f>
        <v>0</v>
      </c>
      <c r="J130" s="6"/>
      <c r="K130" s="6"/>
      <c r="L130" s="6"/>
      <c r="M130" s="6"/>
      <c r="N130" s="6"/>
      <c r="O130" s="6"/>
      <c r="P130" s="6"/>
      <c r="Q130" s="6" t="str">
        <f t="shared" si="2"/>
        <v>Aplicar identificación avanzada-condición aceptable para cada tipo de factor de riesgo identificado</v>
      </c>
      <c r="R130" s="62"/>
      <c r="S130" s="62"/>
      <c r="T130" s="62"/>
      <c r="U130" s="62"/>
      <c r="V130" s="63"/>
      <c r="W130" s="63"/>
      <c r="X130" s="63"/>
      <c r="Y130" s="63"/>
      <c r="Z130" s="63"/>
      <c r="AA130" s="6"/>
      <c r="AB130" s="6"/>
      <c r="AC130" s="6"/>
    </row>
    <row r="131" spans="1:29" ht="45">
      <c r="A131" s="62">
        <f>Datos!A131</f>
        <v>0</v>
      </c>
      <c r="B131" s="62">
        <f>Datos!B131</f>
        <v>0</v>
      </c>
      <c r="C131" s="62">
        <f>Datos!C131</f>
        <v>0</v>
      </c>
      <c r="D131" s="62">
        <f>Datos!D131</f>
        <v>0</v>
      </c>
      <c r="E131" s="63" t="s">
        <v>315</v>
      </c>
      <c r="F131" s="63">
        <f>Datos!G131</f>
        <v>0</v>
      </c>
      <c r="G131" s="63">
        <v>45</v>
      </c>
      <c r="H131" s="63">
        <f>Datos!I131</f>
        <v>0</v>
      </c>
      <c r="I131" s="63">
        <f>Datos!J131</f>
        <v>0</v>
      </c>
      <c r="J131" s="6"/>
      <c r="K131" s="6"/>
      <c r="L131" s="6"/>
      <c r="M131" s="6"/>
      <c r="N131" s="6"/>
      <c r="O131" s="6"/>
      <c r="P131" s="6"/>
      <c r="Q131" s="6" t="str">
        <f t="shared" si="2"/>
        <v>Aplicar identificación avanzada-condición aceptable para cada tipo de factor de riesgo identificado</v>
      </c>
      <c r="R131" s="62"/>
      <c r="S131" s="62"/>
      <c r="T131" s="62"/>
      <c r="U131" s="62"/>
      <c r="V131" s="63"/>
      <c r="W131" s="63"/>
      <c r="X131" s="63"/>
      <c r="Y131" s="63"/>
      <c r="Z131" s="63"/>
      <c r="AA131" s="6"/>
      <c r="AB131" s="6"/>
      <c r="AC131" s="6"/>
    </row>
    <row r="132" spans="1:29" ht="45">
      <c r="A132" s="62">
        <f>Datos!A132</f>
        <v>0</v>
      </c>
      <c r="B132" s="62">
        <f>Datos!B132</f>
        <v>0</v>
      </c>
      <c r="C132" s="62">
        <f>Datos!C132</f>
        <v>0</v>
      </c>
      <c r="D132" s="62">
        <f>Datos!D132</f>
        <v>0</v>
      </c>
      <c r="E132" s="63" t="s">
        <v>316</v>
      </c>
      <c r="F132" s="63">
        <f>Datos!G132</f>
        <v>0</v>
      </c>
      <c r="G132" s="63">
        <v>46</v>
      </c>
      <c r="H132" s="63">
        <f>Datos!I132</f>
        <v>0</v>
      </c>
      <c r="I132" s="63">
        <f>Datos!J132</f>
        <v>0</v>
      </c>
      <c r="J132" s="6"/>
      <c r="K132" s="6"/>
      <c r="L132" s="6"/>
      <c r="M132" s="6"/>
      <c r="N132" s="6"/>
      <c r="O132" s="6"/>
      <c r="P132" s="6"/>
      <c r="Q132" s="6" t="str">
        <f t="shared" si="2"/>
        <v>Aplicar identificación avanzada-condición aceptable para cada tipo de factor de riesgo identificado</v>
      </c>
      <c r="R132" s="62"/>
      <c r="S132" s="62"/>
      <c r="T132" s="62"/>
      <c r="U132" s="62"/>
      <c r="V132" s="63"/>
      <c r="W132" s="63"/>
      <c r="X132" s="63"/>
      <c r="Y132" s="63"/>
      <c r="Z132" s="63"/>
      <c r="AA132" s="6"/>
      <c r="AB132" s="6"/>
      <c r="AC132" s="6"/>
    </row>
    <row r="133" spans="1:29" ht="45">
      <c r="A133" s="62">
        <f>Datos!A133</f>
        <v>0</v>
      </c>
      <c r="B133" s="62">
        <f>Datos!B133</f>
        <v>0</v>
      </c>
      <c r="C133" s="62">
        <f>Datos!C133</f>
        <v>0</v>
      </c>
      <c r="D133" s="62">
        <f>Datos!D133</f>
        <v>0</v>
      </c>
      <c r="E133" s="63" t="s">
        <v>317</v>
      </c>
      <c r="F133" s="63">
        <f>Datos!G133</f>
        <v>0</v>
      </c>
      <c r="G133" s="63">
        <v>47</v>
      </c>
      <c r="H133" s="63">
        <f>Datos!I133</f>
        <v>0</v>
      </c>
      <c r="I133" s="63">
        <f>Datos!J133</f>
        <v>0</v>
      </c>
      <c r="J133" s="6"/>
      <c r="K133" s="6"/>
      <c r="L133" s="6"/>
      <c r="M133" s="6"/>
      <c r="N133" s="6"/>
      <c r="O133" s="6"/>
      <c r="P133" s="6"/>
      <c r="Q133" s="6" t="str">
        <f t="shared" si="2"/>
        <v>Aplicar identificación avanzada-condición aceptable para cada tipo de factor de riesgo identificado</v>
      </c>
      <c r="R133" s="62"/>
      <c r="S133" s="62"/>
      <c r="T133" s="62"/>
      <c r="U133" s="62"/>
      <c r="V133" s="63"/>
      <c r="W133" s="63"/>
      <c r="X133" s="63"/>
      <c r="Y133" s="63"/>
      <c r="Z133" s="63"/>
      <c r="AA133" s="6"/>
      <c r="AB133" s="6"/>
      <c r="AC133" s="6"/>
    </row>
    <row r="134" spans="1:29" ht="45">
      <c r="A134" s="62">
        <f>Datos!A134</f>
        <v>0</v>
      </c>
      <c r="B134" s="62">
        <f>Datos!B134</f>
        <v>0</v>
      </c>
      <c r="C134" s="62">
        <f>Datos!C134</f>
        <v>0</v>
      </c>
      <c r="D134" s="62">
        <f>Datos!D134</f>
        <v>0</v>
      </c>
      <c r="E134" s="63" t="s">
        <v>318</v>
      </c>
      <c r="F134" s="63">
        <f>Datos!G134</f>
        <v>0</v>
      </c>
      <c r="G134" s="63">
        <v>48</v>
      </c>
      <c r="H134" s="63">
        <f>Datos!I134</f>
        <v>0</v>
      </c>
      <c r="I134" s="63">
        <f>Datos!J134</f>
        <v>0</v>
      </c>
      <c r="J134" s="6"/>
      <c r="K134" s="6"/>
      <c r="L134" s="6"/>
      <c r="M134" s="6"/>
      <c r="N134" s="6"/>
      <c r="O134" s="6"/>
      <c r="P134" s="6"/>
      <c r="Q134" s="6" t="str">
        <f t="shared" si="2"/>
        <v>Aplicar identificación avanzada-condición aceptable para cada tipo de factor de riesgo identificado</v>
      </c>
      <c r="R134" s="62"/>
      <c r="S134" s="62"/>
      <c r="T134" s="62"/>
      <c r="U134" s="62"/>
      <c r="V134" s="63"/>
      <c r="W134" s="63"/>
      <c r="X134" s="63"/>
      <c r="Y134" s="63"/>
      <c r="Z134" s="63"/>
      <c r="AA134" s="6"/>
      <c r="AB134" s="6"/>
      <c r="AC134" s="6"/>
    </row>
    <row r="135" spans="1:29" ht="45">
      <c r="A135" s="62">
        <f>Datos!A135</f>
        <v>0</v>
      </c>
      <c r="B135" s="62">
        <f>Datos!B135</f>
        <v>0</v>
      </c>
      <c r="C135" s="62">
        <f>Datos!C135</f>
        <v>0</v>
      </c>
      <c r="D135" s="62">
        <f>Datos!D135</f>
        <v>0</v>
      </c>
      <c r="E135" s="63" t="s">
        <v>319</v>
      </c>
      <c r="F135" s="63">
        <f>Datos!G135</f>
        <v>0</v>
      </c>
      <c r="G135" s="63">
        <v>49</v>
      </c>
      <c r="H135" s="63">
        <f>Datos!I135</f>
        <v>0</v>
      </c>
      <c r="I135" s="63">
        <f>Datos!J135</f>
        <v>0</v>
      </c>
      <c r="J135" s="6"/>
      <c r="K135" s="6"/>
      <c r="L135" s="6"/>
      <c r="M135" s="6"/>
      <c r="N135" s="6"/>
      <c r="O135" s="6"/>
      <c r="P135" s="6"/>
      <c r="Q135" s="6"/>
      <c r="R135" s="62"/>
      <c r="S135" s="62"/>
      <c r="T135" s="62"/>
      <c r="U135" s="62"/>
      <c r="V135" s="63"/>
      <c r="W135" s="63"/>
      <c r="X135" s="63"/>
      <c r="Y135" s="63"/>
      <c r="Z135" s="63"/>
      <c r="AA135" s="6"/>
      <c r="AB135" s="6"/>
      <c r="AC135" s="6"/>
    </row>
    <row r="136" spans="1:29">
      <c r="A136" s="62"/>
      <c r="B136" s="62"/>
      <c r="C136" s="62"/>
      <c r="D136" s="62"/>
      <c r="E136" s="63"/>
      <c r="F136" s="63"/>
      <c r="G136" s="63"/>
      <c r="H136" s="63"/>
      <c r="I136" s="63"/>
      <c r="J136" s="6"/>
      <c r="K136" s="6"/>
      <c r="L136" s="6"/>
      <c r="M136" s="6"/>
      <c r="N136" s="6"/>
      <c r="O136" s="6"/>
      <c r="P136" s="6"/>
      <c r="Q136" s="6"/>
      <c r="R136" s="62"/>
      <c r="S136" s="62"/>
      <c r="T136" s="62"/>
      <c r="U136" s="62"/>
      <c r="V136" s="63"/>
      <c r="W136" s="63"/>
      <c r="X136" s="63"/>
      <c r="Y136" s="63"/>
      <c r="Z136" s="63"/>
      <c r="AA136" s="6"/>
      <c r="AB136" s="6"/>
      <c r="AC136" s="6"/>
    </row>
    <row r="137" spans="1:29">
      <c r="A137" s="62"/>
      <c r="B137" s="62"/>
      <c r="C137" s="62"/>
      <c r="D137" s="62"/>
      <c r="E137" s="63"/>
      <c r="F137" s="63"/>
      <c r="G137" s="63"/>
      <c r="H137" s="63"/>
      <c r="I137" s="63"/>
      <c r="J137" s="6"/>
      <c r="K137" s="6"/>
      <c r="L137" s="6"/>
      <c r="M137" s="6"/>
      <c r="N137" s="6"/>
      <c r="O137" s="6"/>
      <c r="P137" s="6"/>
      <c r="Q137" s="6"/>
      <c r="R137" s="62"/>
      <c r="S137" s="62"/>
      <c r="T137" s="62"/>
      <c r="U137" s="62"/>
      <c r="V137" s="63"/>
      <c r="W137" s="63"/>
      <c r="X137" s="63"/>
      <c r="Y137" s="63"/>
      <c r="Z137" s="63"/>
      <c r="AA137" s="6"/>
      <c r="AB137" s="6"/>
      <c r="AC137" s="6"/>
    </row>
    <row r="138" spans="1:29">
      <c r="A138" s="62"/>
      <c r="B138" s="62"/>
      <c r="C138" s="62"/>
      <c r="D138" s="62"/>
      <c r="E138" s="63"/>
      <c r="F138" s="63"/>
      <c r="G138" s="63"/>
      <c r="H138" s="63"/>
      <c r="I138" s="63"/>
      <c r="J138" s="6"/>
      <c r="K138" s="6"/>
      <c r="L138" s="6"/>
      <c r="M138" s="6"/>
      <c r="N138" s="6"/>
      <c r="O138" s="6"/>
      <c r="P138" s="6"/>
      <c r="Q138" s="6"/>
      <c r="R138" s="62"/>
      <c r="S138" s="62"/>
      <c r="T138" s="62"/>
      <c r="U138" s="62"/>
      <c r="V138" s="63"/>
      <c r="W138" s="63"/>
      <c r="X138" s="63"/>
      <c r="Y138" s="63"/>
      <c r="Z138" s="63"/>
      <c r="AA138" s="6"/>
      <c r="AB138" s="6"/>
      <c r="AC138" s="6"/>
    </row>
    <row r="139" spans="1:29">
      <c r="A139" s="62"/>
      <c r="B139" s="62"/>
      <c r="C139" s="62"/>
      <c r="D139" s="62"/>
      <c r="E139" s="63"/>
      <c r="F139" s="63"/>
      <c r="G139" s="63"/>
      <c r="H139" s="63"/>
      <c r="I139" s="63"/>
      <c r="J139" s="6"/>
      <c r="K139" s="6"/>
      <c r="L139" s="6"/>
      <c r="M139" s="6"/>
      <c r="N139" s="6"/>
      <c r="O139" s="6"/>
      <c r="P139" s="6"/>
      <c r="Q139" s="6"/>
      <c r="R139" s="62"/>
      <c r="S139" s="62"/>
      <c r="T139" s="62"/>
      <c r="U139" s="62"/>
      <c r="V139" s="63"/>
      <c r="W139" s="63"/>
      <c r="X139" s="63"/>
      <c r="Y139" s="63"/>
      <c r="Z139" s="63"/>
      <c r="AA139" s="6"/>
      <c r="AB139" s="6"/>
      <c r="AC139" s="6"/>
    </row>
    <row r="140" spans="1:29">
      <c r="A140" s="62"/>
      <c r="B140" s="62"/>
      <c r="C140" s="62"/>
      <c r="D140" s="62"/>
      <c r="E140" s="63"/>
      <c r="F140" s="63"/>
      <c r="G140" s="63"/>
      <c r="H140" s="63"/>
      <c r="I140" s="63"/>
      <c r="J140" s="6"/>
      <c r="K140" s="6"/>
      <c r="L140" s="6"/>
      <c r="M140" s="6"/>
      <c r="N140" s="6"/>
      <c r="O140" s="6"/>
      <c r="P140" s="6"/>
      <c r="Q140" s="6"/>
      <c r="R140" s="62"/>
      <c r="S140" s="62"/>
      <c r="T140" s="62"/>
      <c r="U140" s="62"/>
      <c r="V140" s="63"/>
      <c r="W140" s="63"/>
      <c r="X140" s="63"/>
      <c r="Y140" s="63"/>
      <c r="Z140" s="63"/>
      <c r="AA140" s="6"/>
      <c r="AB140" s="6"/>
      <c r="AC140" s="6"/>
    </row>
    <row r="141" spans="1:29">
      <c r="A141" s="62"/>
      <c r="B141" s="62"/>
      <c r="C141" s="62"/>
      <c r="D141" s="62"/>
      <c r="E141" s="63"/>
      <c r="F141" s="63"/>
      <c r="G141" s="63"/>
      <c r="H141" s="63"/>
      <c r="I141" s="63"/>
      <c r="J141" s="6"/>
      <c r="K141" s="6"/>
      <c r="L141" s="6"/>
      <c r="M141" s="6"/>
      <c r="N141" s="6"/>
      <c r="O141" s="6"/>
      <c r="P141" s="6"/>
      <c r="Q141" s="6"/>
      <c r="R141" s="62"/>
      <c r="S141" s="62"/>
      <c r="T141" s="62"/>
      <c r="U141" s="62"/>
      <c r="V141" s="63"/>
      <c r="W141" s="63"/>
      <c r="X141" s="63"/>
      <c r="Y141" s="63"/>
      <c r="Z141" s="63"/>
      <c r="AA141" s="6"/>
      <c r="AB141" s="6"/>
      <c r="AC141" s="6"/>
    </row>
    <row r="142" spans="1:29">
      <c r="A142" s="62"/>
      <c r="B142" s="62"/>
      <c r="C142" s="62"/>
      <c r="D142" s="62"/>
      <c r="E142" s="63"/>
      <c r="F142" s="63"/>
      <c r="G142" s="63"/>
      <c r="H142" s="63"/>
      <c r="I142" s="63"/>
      <c r="J142" s="6"/>
      <c r="K142" s="6"/>
      <c r="L142" s="6"/>
      <c r="M142" s="6"/>
      <c r="N142" s="6"/>
      <c r="O142" s="6"/>
      <c r="P142" s="6"/>
      <c r="Q142" s="6"/>
      <c r="R142" s="62"/>
      <c r="S142" s="62"/>
      <c r="T142" s="62"/>
      <c r="U142" s="62"/>
      <c r="V142" s="63"/>
      <c r="W142" s="63"/>
      <c r="X142" s="63"/>
      <c r="Y142" s="63"/>
      <c r="Z142" s="63"/>
      <c r="AA142" s="6"/>
      <c r="AB142" s="6"/>
      <c r="AC142" s="6"/>
    </row>
    <row r="143" spans="1:29">
      <c r="A143" s="62"/>
      <c r="B143" s="62"/>
      <c r="C143" s="62"/>
      <c r="D143" s="62"/>
      <c r="E143" s="63"/>
      <c r="F143" s="63"/>
      <c r="G143" s="63"/>
      <c r="H143" s="63"/>
      <c r="I143" s="63"/>
      <c r="J143" s="6"/>
      <c r="K143" s="6"/>
      <c r="L143" s="6"/>
      <c r="M143" s="6"/>
      <c r="N143" s="6"/>
      <c r="O143" s="6"/>
      <c r="P143" s="6"/>
      <c r="Q143" s="6"/>
      <c r="R143" s="62"/>
      <c r="S143" s="62"/>
      <c r="T143" s="62"/>
      <c r="U143" s="62"/>
      <c r="V143" s="63"/>
      <c r="W143" s="63"/>
      <c r="X143" s="63"/>
      <c r="Y143" s="63"/>
      <c r="Z143" s="63"/>
      <c r="AA143" s="6"/>
      <c r="AB143" s="6"/>
      <c r="AC143" s="6"/>
    </row>
    <row r="144" spans="1:29">
      <c r="A144" s="62"/>
      <c r="B144" s="62"/>
      <c r="C144" s="62"/>
      <c r="D144" s="62"/>
      <c r="E144" s="63"/>
      <c r="F144" s="63"/>
      <c r="G144" s="63"/>
      <c r="H144" s="63"/>
      <c r="I144" s="63"/>
      <c r="J144" s="6"/>
      <c r="K144" s="6"/>
      <c r="L144" s="6"/>
      <c r="M144" s="6"/>
      <c r="N144" s="6"/>
      <c r="O144" s="6"/>
      <c r="P144" s="6"/>
      <c r="Q144" s="6"/>
      <c r="R144" s="62"/>
      <c r="S144" s="62"/>
      <c r="T144" s="62"/>
      <c r="U144" s="62"/>
      <c r="V144" s="63"/>
      <c r="W144" s="63"/>
      <c r="X144" s="63"/>
      <c r="Y144" s="63"/>
      <c r="Z144" s="63"/>
      <c r="AA144" s="6"/>
      <c r="AB144" s="6"/>
      <c r="AC144" s="6"/>
    </row>
    <row r="145" spans="1:29">
      <c r="A145" s="62"/>
      <c r="B145" s="62"/>
      <c r="C145" s="62"/>
      <c r="D145" s="62"/>
      <c r="E145" s="63"/>
      <c r="F145" s="63"/>
      <c r="G145" s="63"/>
      <c r="H145" s="63"/>
      <c r="I145" s="63"/>
      <c r="J145" s="6"/>
      <c r="K145" s="6"/>
      <c r="L145" s="6"/>
      <c r="M145" s="6"/>
      <c r="N145" s="6"/>
      <c r="O145" s="6"/>
      <c r="P145" s="6"/>
      <c r="Q145" s="6"/>
      <c r="R145" s="62"/>
      <c r="S145" s="62"/>
      <c r="T145" s="62"/>
      <c r="U145" s="62"/>
      <c r="V145" s="63"/>
      <c r="W145" s="63"/>
      <c r="X145" s="63"/>
      <c r="Y145" s="63"/>
      <c r="Z145" s="63"/>
      <c r="AA145" s="6"/>
      <c r="AB145" s="6"/>
      <c r="AC145" s="6"/>
    </row>
    <row r="146" spans="1:29">
      <c r="A146" s="62"/>
      <c r="B146" s="62"/>
      <c r="C146" s="62"/>
      <c r="D146" s="62"/>
      <c r="E146" s="63"/>
      <c r="F146" s="63"/>
      <c r="G146" s="63"/>
      <c r="H146" s="63"/>
      <c r="I146" s="63"/>
      <c r="J146" s="6"/>
      <c r="K146" s="6"/>
      <c r="L146" s="6"/>
      <c r="M146" s="6"/>
      <c r="N146" s="6"/>
      <c r="O146" s="6"/>
      <c r="P146" s="6"/>
      <c r="Q146" s="6"/>
      <c r="R146" s="62"/>
      <c r="S146" s="62"/>
      <c r="T146" s="62"/>
      <c r="U146" s="62"/>
      <c r="V146" s="63"/>
      <c r="W146" s="63"/>
      <c r="X146" s="63"/>
      <c r="Y146" s="63"/>
      <c r="Z146" s="63"/>
      <c r="AA146" s="6"/>
      <c r="AB146" s="6"/>
      <c r="AC146" s="6"/>
    </row>
    <row r="147" spans="1:29">
      <c r="A147" s="62"/>
      <c r="B147" s="62"/>
      <c r="C147" s="62"/>
      <c r="D147" s="62"/>
      <c r="E147" s="63"/>
      <c r="F147" s="63"/>
      <c r="G147" s="63"/>
      <c r="H147" s="63"/>
      <c r="I147" s="63"/>
      <c r="J147" s="6"/>
      <c r="K147" s="6"/>
      <c r="L147" s="6"/>
      <c r="M147" s="6"/>
      <c r="N147" s="6"/>
      <c r="O147" s="6"/>
      <c r="P147" s="6"/>
      <c r="Q147" s="6"/>
      <c r="R147" s="62"/>
      <c r="S147" s="62"/>
      <c r="T147" s="62"/>
      <c r="U147" s="62"/>
      <c r="V147" s="63"/>
      <c r="W147" s="63"/>
      <c r="X147" s="63"/>
      <c r="Y147" s="63"/>
      <c r="Z147" s="63"/>
      <c r="AA147" s="6"/>
      <c r="AB147" s="6"/>
      <c r="AC147" s="6"/>
    </row>
    <row r="148" spans="1:29">
      <c r="A148" s="62"/>
      <c r="B148" s="62"/>
      <c r="C148" s="62"/>
      <c r="D148" s="62"/>
      <c r="E148" s="63"/>
      <c r="F148" s="63"/>
      <c r="G148" s="63"/>
      <c r="H148" s="63"/>
      <c r="I148" s="63"/>
      <c r="J148" s="6"/>
      <c r="K148" s="6"/>
      <c r="L148" s="6"/>
      <c r="M148" s="6"/>
      <c r="N148" s="6"/>
      <c r="O148" s="6"/>
      <c r="P148" s="6"/>
      <c r="Q148" s="6"/>
      <c r="R148" s="62"/>
      <c r="S148" s="62"/>
      <c r="T148" s="62"/>
      <c r="U148" s="62"/>
      <c r="V148" s="63"/>
      <c r="W148" s="63"/>
      <c r="X148" s="63"/>
      <c r="Y148" s="63"/>
      <c r="Z148" s="63"/>
      <c r="AA148" s="6"/>
      <c r="AB148" s="6"/>
      <c r="AC148" s="6"/>
    </row>
    <row r="149" spans="1:29">
      <c r="A149" s="62"/>
      <c r="B149" s="62"/>
      <c r="C149" s="62"/>
      <c r="D149" s="62"/>
      <c r="E149" s="63"/>
      <c r="F149" s="63"/>
      <c r="G149" s="63"/>
      <c r="H149" s="63"/>
      <c r="I149" s="63"/>
      <c r="J149" s="6"/>
      <c r="K149" s="6"/>
      <c r="L149" s="6"/>
      <c r="M149" s="6"/>
      <c r="N149" s="6"/>
      <c r="O149" s="6"/>
      <c r="P149" s="6"/>
      <c r="Q149" s="6"/>
      <c r="R149" s="62"/>
      <c r="S149" s="62"/>
      <c r="T149" s="62"/>
      <c r="U149" s="62"/>
      <c r="V149" s="63"/>
      <c r="W149" s="63"/>
      <c r="X149" s="63"/>
      <c r="Y149" s="63"/>
      <c r="Z149" s="63"/>
      <c r="AA149" s="6"/>
      <c r="AB149" s="6"/>
      <c r="AC149" s="6"/>
    </row>
    <row r="150" spans="1:29">
      <c r="A150" s="62"/>
      <c r="B150" s="62"/>
      <c r="C150" s="62"/>
      <c r="D150" s="62"/>
      <c r="E150" s="63"/>
      <c r="F150" s="63"/>
      <c r="G150" s="63"/>
      <c r="H150" s="63"/>
      <c r="I150" s="63"/>
      <c r="J150" s="6"/>
      <c r="K150" s="6"/>
      <c r="L150" s="6"/>
      <c r="M150" s="6"/>
      <c r="N150" s="6"/>
      <c r="O150" s="6"/>
      <c r="P150" s="6"/>
      <c r="Q150" s="6"/>
      <c r="R150" s="62"/>
      <c r="S150" s="62"/>
      <c r="T150" s="62"/>
      <c r="U150" s="62"/>
      <c r="V150" s="63"/>
      <c r="W150" s="63"/>
      <c r="X150" s="63"/>
      <c r="Y150" s="63"/>
      <c r="Z150" s="63"/>
      <c r="AA150" s="6"/>
      <c r="AB150" s="6"/>
      <c r="AC150" s="6"/>
    </row>
    <row r="151" spans="1:29">
      <c r="A151" s="62"/>
      <c r="B151" s="62"/>
      <c r="C151" s="62"/>
      <c r="D151" s="62"/>
      <c r="E151" s="63"/>
      <c r="F151" s="63"/>
      <c r="G151" s="63"/>
      <c r="H151" s="63"/>
      <c r="I151" s="63"/>
      <c r="J151" s="6"/>
      <c r="K151" s="6"/>
      <c r="L151" s="6"/>
      <c r="M151" s="6"/>
      <c r="N151" s="6"/>
      <c r="O151" s="6"/>
      <c r="P151" s="6"/>
      <c r="Q151" s="6"/>
      <c r="R151" s="62"/>
      <c r="S151" s="62"/>
      <c r="T151" s="62"/>
      <c r="U151" s="62"/>
      <c r="V151" s="63"/>
      <c r="W151" s="63"/>
      <c r="X151" s="63"/>
      <c r="Y151" s="63"/>
      <c r="Z151" s="63"/>
      <c r="AA151" s="6"/>
      <c r="AB151" s="6"/>
      <c r="AC151" s="6"/>
    </row>
    <row r="152" spans="1:29">
      <c r="A152" s="62"/>
      <c r="B152" s="62"/>
      <c r="C152" s="62"/>
      <c r="D152" s="62"/>
      <c r="E152" s="63"/>
      <c r="F152" s="63"/>
      <c r="G152" s="63"/>
      <c r="H152" s="63"/>
      <c r="I152" s="63"/>
      <c r="J152" s="6"/>
      <c r="K152" s="6"/>
      <c r="L152" s="6"/>
      <c r="M152" s="6"/>
      <c r="N152" s="6"/>
      <c r="O152" s="6"/>
      <c r="P152" s="6"/>
      <c r="Q152" s="6"/>
      <c r="R152" s="62"/>
      <c r="S152" s="62"/>
      <c r="T152" s="62"/>
      <c r="U152" s="62"/>
      <c r="V152" s="63"/>
      <c r="W152" s="63"/>
      <c r="X152" s="63"/>
      <c r="Y152" s="63"/>
      <c r="Z152" s="63"/>
      <c r="AA152" s="6"/>
      <c r="AB152" s="6"/>
      <c r="AC152" s="6"/>
    </row>
    <row r="153" spans="1:29">
      <c r="A153" s="62"/>
      <c r="B153" s="62"/>
      <c r="C153" s="62"/>
      <c r="D153" s="62"/>
      <c r="E153" s="63"/>
      <c r="F153" s="63"/>
      <c r="G153" s="63"/>
      <c r="H153" s="63"/>
      <c r="I153" s="63"/>
      <c r="J153" s="6"/>
      <c r="K153" s="6"/>
      <c r="L153" s="6"/>
      <c r="M153" s="6"/>
      <c r="N153" s="6"/>
      <c r="O153" s="6"/>
      <c r="P153" s="6"/>
      <c r="Q153" s="6"/>
      <c r="R153" s="62"/>
      <c r="S153" s="62"/>
      <c r="T153" s="62"/>
      <c r="U153" s="62"/>
      <c r="V153" s="63"/>
      <c r="W153" s="63"/>
      <c r="X153" s="63"/>
      <c r="Y153" s="63"/>
      <c r="Z153" s="63"/>
      <c r="AA153" s="6"/>
      <c r="AB153" s="6"/>
      <c r="AC153" s="6"/>
    </row>
    <row r="154" spans="1:29">
      <c r="A154" s="62"/>
      <c r="B154" s="62"/>
      <c r="C154" s="62"/>
      <c r="D154" s="62"/>
      <c r="E154" s="63"/>
      <c r="F154" s="63"/>
      <c r="G154" s="63"/>
      <c r="H154" s="63"/>
      <c r="I154" s="63"/>
      <c r="J154" s="6"/>
      <c r="K154" s="6"/>
      <c r="L154" s="6"/>
      <c r="M154" s="6"/>
      <c r="N154" s="6"/>
      <c r="O154" s="6"/>
      <c r="P154" s="6"/>
      <c r="Q154" s="6"/>
      <c r="R154" s="62"/>
      <c r="S154" s="62"/>
      <c r="T154" s="62"/>
      <c r="U154" s="62"/>
      <c r="V154" s="63"/>
      <c r="W154" s="63"/>
      <c r="X154" s="63"/>
      <c r="Y154" s="63"/>
      <c r="Z154" s="63"/>
      <c r="AA154" s="6"/>
      <c r="AB154" s="6"/>
      <c r="AC154" s="6"/>
    </row>
    <row r="155" spans="1:29">
      <c r="A155" s="62"/>
      <c r="B155" s="62"/>
      <c r="C155" s="62"/>
      <c r="D155" s="62"/>
      <c r="E155" s="63"/>
      <c r="F155" s="63"/>
      <c r="G155" s="63"/>
      <c r="H155" s="63"/>
      <c r="I155" s="63"/>
      <c r="J155" s="6"/>
      <c r="K155" s="6"/>
      <c r="L155" s="6"/>
      <c r="M155" s="6"/>
      <c r="N155" s="6"/>
      <c r="O155" s="6"/>
      <c r="P155" s="6"/>
      <c r="Q155" s="6"/>
      <c r="R155" s="62"/>
      <c r="S155" s="62"/>
      <c r="T155" s="62"/>
      <c r="U155" s="62"/>
      <c r="V155" s="63"/>
      <c r="W155" s="63"/>
      <c r="X155" s="63"/>
      <c r="Y155" s="63"/>
      <c r="Z155" s="63"/>
      <c r="AA155" s="6"/>
      <c r="AB155" s="6"/>
      <c r="AC155" s="6"/>
    </row>
    <row r="156" spans="1:29">
      <c r="A156" s="62"/>
      <c r="B156" s="62"/>
      <c r="C156" s="62"/>
      <c r="D156" s="62"/>
      <c r="E156" s="63"/>
      <c r="F156" s="63"/>
      <c r="G156" s="63"/>
      <c r="H156" s="63"/>
      <c r="I156" s="63"/>
      <c r="J156" s="6"/>
      <c r="K156" s="6"/>
      <c r="L156" s="6"/>
      <c r="M156" s="6"/>
      <c r="N156" s="6"/>
      <c r="O156" s="6"/>
      <c r="P156" s="6"/>
      <c r="Q156" s="6"/>
      <c r="R156" s="62"/>
      <c r="S156" s="62"/>
      <c r="T156" s="62"/>
      <c r="U156" s="62"/>
      <c r="V156" s="63"/>
      <c r="W156" s="63"/>
      <c r="X156" s="63"/>
      <c r="Y156" s="63"/>
      <c r="Z156" s="63"/>
      <c r="AA156" s="6"/>
      <c r="AB156" s="6"/>
      <c r="AC156" s="6"/>
    </row>
    <row r="157" spans="1:29">
      <c r="A157" s="62"/>
      <c r="B157" s="62"/>
      <c r="C157" s="62"/>
      <c r="D157" s="62"/>
      <c r="E157" s="63"/>
      <c r="F157" s="63"/>
      <c r="G157" s="63"/>
      <c r="H157" s="63"/>
      <c r="I157" s="63"/>
      <c r="J157" s="6"/>
      <c r="K157" s="6"/>
      <c r="L157" s="6"/>
      <c r="M157" s="6"/>
      <c r="N157" s="6"/>
      <c r="O157" s="6"/>
      <c r="P157" s="6"/>
      <c r="Q157" s="6"/>
      <c r="R157" s="62"/>
      <c r="S157" s="62"/>
      <c r="T157" s="62"/>
      <c r="U157" s="62"/>
      <c r="V157" s="63"/>
      <c r="W157" s="63"/>
      <c r="X157" s="63"/>
      <c r="Y157" s="63"/>
      <c r="Z157" s="63"/>
      <c r="AA157" s="6"/>
      <c r="AB157" s="6"/>
      <c r="AC157" s="6"/>
    </row>
    <row r="158" spans="1:29">
      <c r="A158" s="62"/>
      <c r="B158" s="62"/>
      <c r="C158" s="62"/>
      <c r="D158" s="62"/>
      <c r="E158" s="63"/>
      <c r="F158" s="63"/>
      <c r="G158" s="63"/>
      <c r="H158" s="63"/>
      <c r="I158" s="63"/>
      <c r="J158" s="6"/>
      <c r="K158" s="6"/>
      <c r="L158" s="6"/>
      <c r="M158" s="6"/>
      <c r="N158" s="6"/>
      <c r="O158" s="6"/>
      <c r="P158" s="6"/>
      <c r="Q158" s="6"/>
      <c r="R158" s="62"/>
      <c r="S158" s="62"/>
      <c r="T158" s="62"/>
      <c r="U158" s="62"/>
      <c r="V158" s="63"/>
      <c r="W158" s="63"/>
      <c r="X158" s="63"/>
      <c r="Y158" s="63"/>
      <c r="Z158" s="63"/>
      <c r="AA158" s="6"/>
      <c r="AB158" s="6"/>
      <c r="AC158" s="6"/>
    </row>
    <row r="159" spans="1:29">
      <c r="A159" s="62"/>
      <c r="B159" s="62"/>
      <c r="C159" s="62"/>
      <c r="D159" s="62"/>
      <c r="E159" s="63"/>
      <c r="F159" s="63"/>
      <c r="G159" s="63"/>
      <c r="H159" s="63"/>
      <c r="I159" s="63"/>
      <c r="J159" s="6"/>
      <c r="K159" s="6"/>
      <c r="L159" s="6"/>
      <c r="M159" s="6"/>
      <c r="N159" s="6"/>
      <c r="O159" s="6"/>
      <c r="P159" s="6"/>
      <c r="Q159" s="6"/>
      <c r="R159" s="62"/>
      <c r="S159" s="62"/>
      <c r="T159" s="62"/>
      <c r="U159" s="62"/>
      <c r="V159" s="63"/>
      <c r="W159" s="63"/>
      <c r="X159" s="63"/>
      <c r="Y159" s="63"/>
      <c r="Z159" s="63"/>
      <c r="AA159" s="6"/>
      <c r="AB159" s="6"/>
      <c r="AC159" s="6"/>
    </row>
    <row r="160" spans="1:29">
      <c r="A160" s="62"/>
      <c r="B160" s="62"/>
      <c r="C160" s="62"/>
      <c r="D160" s="62"/>
      <c r="E160" s="63"/>
      <c r="F160" s="63"/>
      <c r="G160" s="63"/>
      <c r="H160" s="63"/>
      <c r="I160" s="63"/>
      <c r="J160" s="6"/>
      <c r="K160" s="6"/>
      <c r="L160" s="6"/>
      <c r="M160" s="6"/>
      <c r="N160" s="6"/>
      <c r="O160" s="6"/>
      <c r="P160" s="6"/>
      <c r="Q160" s="6"/>
      <c r="R160" s="62"/>
      <c r="S160" s="62"/>
      <c r="T160" s="62"/>
      <c r="U160" s="62"/>
      <c r="V160" s="63"/>
      <c r="W160" s="63"/>
      <c r="X160" s="63"/>
      <c r="Y160" s="63"/>
      <c r="Z160" s="63"/>
      <c r="AA160" s="6"/>
      <c r="AB160" s="6"/>
      <c r="AC160" s="6"/>
    </row>
    <row r="161" spans="1:29">
      <c r="A161" s="62"/>
      <c r="B161" s="62"/>
      <c r="C161" s="62"/>
      <c r="D161" s="62"/>
      <c r="E161" s="63"/>
      <c r="F161" s="63"/>
      <c r="G161" s="63"/>
      <c r="H161" s="63"/>
      <c r="I161" s="63"/>
      <c r="J161" s="6"/>
      <c r="K161" s="6"/>
      <c r="L161" s="6"/>
      <c r="M161" s="6"/>
      <c r="N161" s="6"/>
      <c r="O161" s="6"/>
      <c r="P161" s="6"/>
      <c r="Q161" s="6"/>
      <c r="R161" s="62"/>
      <c r="S161" s="62"/>
      <c r="T161" s="62"/>
      <c r="U161" s="62"/>
      <c r="V161" s="63"/>
      <c r="W161" s="63"/>
      <c r="X161" s="63"/>
      <c r="Y161" s="63"/>
      <c r="Z161" s="63"/>
      <c r="AA161" s="6"/>
      <c r="AB161" s="6"/>
      <c r="AC161" s="6"/>
    </row>
    <row r="162" spans="1:29">
      <c r="A162" s="62"/>
      <c r="B162" s="62"/>
      <c r="C162" s="62"/>
      <c r="D162" s="62"/>
      <c r="E162" s="63"/>
      <c r="F162" s="63"/>
      <c r="G162" s="63"/>
      <c r="H162" s="63"/>
      <c r="I162" s="63"/>
      <c r="J162" s="6"/>
      <c r="K162" s="6"/>
      <c r="L162" s="6"/>
      <c r="M162" s="6"/>
      <c r="N162" s="6"/>
      <c r="O162" s="6"/>
      <c r="P162" s="6"/>
      <c r="Q162" s="6"/>
      <c r="R162" s="62"/>
      <c r="S162" s="62"/>
      <c r="T162" s="62"/>
      <c r="U162" s="62"/>
      <c r="V162" s="63"/>
      <c r="W162" s="63"/>
      <c r="X162" s="63"/>
      <c r="Y162" s="63"/>
      <c r="Z162" s="63"/>
      <c r="AA162" s="6"/>
      <c r="AB162" s="6"/>
      <c r="AC162" s="6"/>
    </row>
    <row r="163" spans="1:29">
      <c r="A163" s="62"/>
      <c r="B163" s="62"/>
      <c r="C163" s="62"/>
      <c r="D163" s="62"/>
      <c r="E163" s="63"/>
      <c r="F163" s="63"/>
      <c r="G163" s="63"/>
      <c r="H163" s="63"/>
      <c r="I163" s="63"/>
      <c r="J163" s="6"/>
      <c r="K163" s="6"/>
      <c r="L163" s="6"/>
      <c r="M163" s="6"/>
      <c r="N163" s="6"/>
      <c r="O163" s="6"/>
      <c r="P163" s="6"/>
      <c r="Q163" s="6"/>
      <c r="R163" s="62"/>
      <c r="S163" s="62"/>
      <c r="T163" s="62"/>
      <c r="U163" s="62"/>
      <c r="V163" s="63"/>
      <c r="W163" s="63"/>
      <c r="X163" s="63"/>
      <c r="Y163" s="63"/>
      <c r="Z163" s="63"/>
      <c r="AA163" s="6"/>
      <c r="AB163" s="6"/>
      <c r="AC163" s="6"/>
    </row>
    <row r="164" spans="1:29">
      <c r="A164" s="62"/>
      <c r="B164" s="62"/>
      <c r="C164" s="62"/>
      <c r="D164" s="62"/>
      <c r="E164" s="63"/>
      <c r="F164" s="63"/>
      <c r="G164" s="63"/>
      <c r="H164" s="63"/>
      <c r="I164" s="63"/>
      <c r="J164" s="6"/>
      <c r="K164" s="6"/>
      <c r="L164" s="6"/>
      <c r="M164" s="6"/>
      <c r="N164" s="6"/>
      <c r="O164" s="6"/>
      <c r="P164" s="6"/>
      <c r="Q164" s="6"/>
      <c r="R164" s="62"/>
      <c r="S164" s="62"/>
      <c r="T164" s="62"/>
      <c r="U164" s="62"/>
      <c r="V164" s="63"/>
      <c r="W164" s="63"/>
      <c r="X164" s="63"/>
      <c r="Y164" s="63"/>
      <c r="Z164" s="63"/>
      <c r="AA164" s="6"/>
      <c r="AB164" s="6"/>
      <c r="AC164" s="6"/>
    </row>
    <row r="165" spans="1:29">
      <c r="A165" s="62"/>
      <c r="B165" s="62"/>
      <c r="C165" s="62"/>
      <c r="D165" s="62"/>
      <c r="E165" s="63"/>
      <c r="F165" s="63"/>
      <c r="G165" s="63"/>
      <c r="H165" s="63"/>
      <c r="I165" s="63"/>
      <c r="J165" s="6"/>
      <c r="K165" s="6"/>
      <c r="L165" s="6"/>
      <c r="M165" s="6"/>
      <c r="N165" s="6"/>
      <c r="O165" s="6"/>
      <c r="P165" s="6"/>
      <c r="Q165" s="6"/>
      <c r="R165" s="62"/>
      <c r="S165" s="62"/>
      <c r="T165" s="62"/>
      <c r="U165" s="62"/>
      <c r="V165" s="63"/>
      <c r="W165" s="63"/>
      <c r="X165" s="63"/>
      <c r="Y165" s="63"/>
      <c r="Z165" s="63"/>
      <c r="AA165" s="6"/>
      <c r="AB165" s="6"/>
      <c r="AC165" s="6"/>
    </row>
    <row r="166" spans="1:29">
      <c r="A166" s="62"/>
      <c r="B166" s="62"/>
      <c r="C166" s="62"/>
      <c r="D166" s="62"/>
      <c r="E166" s="63"/>
      <c r="F166" s="63"/>
      <c r="G166" s="63"/>
      <c r="H166" s="63"/>
      <c r="I166" s="63"/>
      <c r="J166" s="6"/>
      <c r="K166" s="6"/>
      <c r="L166" s="6"/>
      <c r="M166" s="6"/>
      <c r="N166" s="6"/>
      <c r="O166" s="6"/>
      <c r="P166" s="6"/>
      <c r="Q166" s="6"/>
      <c r="R166" s="62"/>
      <c r="S166" s="62"/>
      <c r="T166" s="62"/>
      <c r="U166" s="62"/>
      <c r="V166" s="63"/>
      <c r="W166" s="63"/>
      <c r="X166" s="63"/>
      <c r="Y166" s="63"/>
      <c r="Z166" s="63"/>
      <c r="AA166" s="6"/>
      <c r="AB166" s="6"/>
      <c r="AC166" s="6"/>
    </row>
    <row r="167" spans="1:29">
      <c r="A167" s="62"/>
      <c r="B167" s="62"/>
      <c r="C167" s="62"/>
      <c r="D167" s="62"/>
      <c r="E167" s="63"/>
      <c r="F167" s="63"/>
      <c r="G167" s="63"/>
      <c r="H167" s="63"/>
      <c r="I167" s="63"/>
      <c r="J167" s="6"/>
      <c r="K167" s="6"/>
      <c r="L167" s="6"/>
      <c r="M167" s="6"/>
      <c r="N167" s="6"/>
      <c r="O167" s="6"/>
      <c r="P167" s="6"/>
      <c r="Q167" s="6"/>
      <c r="R167" s="62"/>
      <c r="S167" s="62"/>
      <c r="T167" s="62"/>
      <c r="U167" s="62"/>
      <c r="V167" s="63"/>
      <c r="W167" s="63"/>
      <c r="X167" s="63"/>
      <c r="Y167" s="63"/>
      <c r="Z167" s="63"/>
      <c r="AA167" s="6"/>
      <c r="AB167" s="6"/>
      <c r="AC167" s="6"/>
    </row>
    <row r="168" spans="1:29">
      <c r="A168" s="62"/>
      <c r="B168" s="62"/>
      <c r="C168" s="62"/>
      <c r="D168" s="62"/>
      <c r="E168" s="63"/>
      <c r="F168" s="63"/>
      <c r="G168" s="63"/>
      <c r="H168" s="63"/>
      <c r="I168" s="63"/>
      <c r="J168" s="6"/>
      <c r="K168" s="6"/>
      <c r="L168" s="6"/>
      <c r="M168" s="6"/>
      <c r="N168" s="6"/>
      <c r="O168" s="6"/>
      <c r="P168" s="6"/>
      <c r="Q168" s="6"/>
      <c r="R168" s="62"/>
      <c r="S168" s="62"/>
      <c r="T168" s="62"/>
      <c r="U168" s="62"/>
      <c r="V168" s="63"/>
      <c r="W168" s="63"/>
      <c r="X168" s="63"/>
      <c r="Y168" s="63"/>
      <c r="Z168" s="63"/>
      <c r="AA168" s="6"/>
      <c r="AB168" s="6"/>
      <c r="AC168" s="6"/>
    </row>
    <row r="169" spans="1:29">
      <c r="A169" s="62"/>
      <c r="B169" s="62"/>
      <c r="C169" s="62"/>
      <c r="D169" s="62"/>
      <c r="E169" s="63"/>
      <c r="F169" s="63"/>
      <c r="G169" s="63"/>
      <c r="H169" s="63"/>
      <c r="I169" s="63"/>
      <c r="J169" s="6"/>
      <c r="K169" s="6"/>
      <c r="L169" s="6"/>
      <c r="M169" s="6"/>
      <c r="N169" s="6"/>
      <c r="O169" s="6"/>
      <c r="P169" s="6"/>
      <c r="Q169" s="6"/>
      <c r="R169" s="62"/>
      <c r="S169" s="62"/>
      <c r="T169" s="62"/>
      <c r="U169" s="62"/>
      <c r="V169" s="63"/>
      <c r="W169" s="63"/>
      <c r="X169" s="63"/>
      <c r="Y169" s="63"/>
      <c r="Z169" s="63"/>
      <c r="AA169" s="6"/>
      <c r="AB169" s="6"/>
      <c r="AC169" s="6"/>
    </row>
    <row r="170" spans="1:29">
      <c r="A170" s="62"/>
      <c r="B170" s="62"/>
      <c r="C170" s="62"/>
      <c r="D170" s="62"/>
      <c r="E170" s="63"/>
      <c r="F170" s="63"/>
      <c r="G170" s="63"/>
      <c r="H170" s="63"/>
      <c r="I170" s="63"/>
      <c r="J170" s="6"/>
      <c r="K170" s="6"/>
      <c r="L170" s="6"/>
      <c r="M170" s="6"/>
      <c r="N170" s="6"/>
      <c r="O170" s="6"/>
      <c r="P170" s="6"/>
      <c r="Q170" s="6"/>
      <c r="R170" s="62"/>
      <c r="S170" s="62"/>
      <c r="T170" s="62"/>
      <c r="U170" s="62"/>
      <c r="V170" s="63"/>
      <c r="W170" s="63"/>
      <c r="X170" s="63"/>
      <c r="Y170" s="63"/>
      <c r="Z170" s="63"/>
      <c r="AA170" s="6"/>
      <c r="AB170" s="6"/>
      <c r="AC170" s="6"/>
    </row>
    <row r="171" spans="1:29">
      <c r="A171" s="62"/>
      <c r="B171" s="62"/>
      <c r="C171" s="62"/>
      <c r="D171" s="62"/>
      <c r="E171" s="63"/>
      <c r="F171" s="63"/>
      <c r="G171" s="63"/>
      <c r="H171" s="63"/>
      <c r="I171" s="63"/>
      <c r="J171" s="6"/>
      <c r="K171" s="6"/>
      <c r="L171" s="6"/>
      <c r="M171" s="6"/>
      <c r="N171" s="6"/>
      <c r="O171" s="6"/>
      <c r="P171" s="6"/>
      <c r="Q171" s="6"/>
      <c r="R171" s="62"/>
      <c r="S171" s="62"/>
      <c r="T171" s="62"/>
      <c r="U171" s="62"/>
      <c r="V171" s="63"/>
      <c r="W171" s="63"/>
      <c r="X171" s="63"/>
      <c r="Y171" s="63"/>
      <c r="Z171" s="63"/>
      <c r="AA171" s="6"/>
      <c r="AB171" s="6"/>
      <c r="AC171" s="6"/>
    </row>
    <row r="172" spans="1:29">
      <c r="A172" s="62"/>
      <c r="B172" s="62"/>
      <c r="C172" s="62"/>
      <c r="D172" s="62"/>
      <c r="E172" s="63"/>
      <c r="F172" s="63"/>
      <c r="G172" s="63"/>
      <c r="H172" s="63"/>
      <c r="I172" s="63"/>
      <c r="J172" s="6"/>
      <c r="K172" s="6"/>
      <c r="L172" s="6"/>
      <c r="M172" s="6"/>
      <c r="N172" s="6"/>
      <c r="O172" s="6"/>
      <c r="P172" s="6"/>
      <c r="Q172" s="6"/>
      <c r="R172" s="62"/>
      <c r="S172" s="62"/>
      <c r="T172" s="62"/>
      <c r="U172" s="62"/>
      <c r="V172" s="63"/>
      <c r="W172" s="63"/>
      <c r="X172" s="63"/>
      <c r="Y172" s="63"/>
      <c r="Z172" s="63"/>
      <c r="AA172" s="6"/>
      <c r="AB172" s="6"/>
      <c r="AC172" s="6"/>
    </row>
    <row r="173" spans="1:29">
      <c r="A173" s="62"/>
      <c r="B173" s="62"/>
      <c r="C173" s="62"/>
      <c r="D173" s="62"/>
      <c r="E173" s="63"/>
      <c r="F173" s="63"/>
      <c r="G173" s="63"/>
      <c r="H173" s="63"/>
      <c r="I173" s="63"/>
      <c r="J173" s="6"/>
      <c r="K173" s="6"/>
      <c r="L173" s="6"/>
      <c r="M173" s="6"/>
      <c r="N173" s="6"/>
      <c r="O173" s="6"/>
      <c r="P173" s="6"/>
      <c r="Q173" s="6"/>
      <c r="R173" s="62"/>
      <c r="S173" s="62"/>
      <c r="T173" s="62"/>
      <c r="U173" s="62"/>
      <c r="V173" s="63"/>
      <c r="W173" s="63"/>
      <c r="X173" s="63"/>
      <c r="Y173" s="63"/>
      <c r="Z173" s="63"/>
      <c r="AA173" s="6"/>
      <c r="AB173" s="6"/>
      <c r="AC173" s="6"/>
    </row>
    <row r="174" spans="1:29">
      <c r="A174" s="62"/>
      <c r="B174" s="62"/>
      <c r="C174" s="62"/>
      <c r="D174" s="62"/>
      <c r="E174" s="63"/>
      <c r="F174" s="63"/>
      <c r="G174" s="63"/>
      <c r="H174" s="63"/>
      <c r="I174" s="63"/>
      <c r="J174" s="6"/>
      <c r="K174" s="6"/>
      <c r="L174" s="6"/>
      <c r="M174" s="6"/>
      <c r="N174" s="6"/>
      <c r="O174" s="6"/>
      <c r="P174" s="6"/>
      <c r="Q174" s="6"/>
      <c r="R174" s="62"/>
      <c r="S174" s="62"/>
      <c r="T174" s="62"/>
      <c r="U174" s="62"/>
      <c r="V174" s="63"/>
      <c r="W174" s="63"/>
      <c r="X174" s="63"/>
      <c r="Y174" s="63"/>
      <c r="Z174" s="63"/>
      <c r="AA174" s="6"/>
      <c r="AB174" s="6"/>
      <c r="AC174" s="6"/>
    </row>
    <row r="175" spans="1:29">
      <c r="A175" s="62"/>
      <c r="B175" s="62"/>
      <c r="C175" s="62"/>
      <c r="D175" s="62"/>
      <c r="E175" s="63"/>
      <c r="F175" s="63"/>
      <c r="G175" s="63"/>
      <c r="H175" s="63"/>
      <c r="I175" s="63"/>
      <c r="J175" s="6"/>
      <c r="K175" s="6"/>
      <c r="L175" s="6"/>
      <c r="M175" s="6"/>
      <c r="N175" s="6"/>
      <c r="O175" s="6"/>
      <c r="P175" s="6"/>
      <c r="Q175" s="6"/>
      <c r="R175" s="62"/>
      <c r="S175" s="62"/>
      <c r="T175" s="62"/>
      <c r="U175" s="62"/>
      <c r="V175" s="63"/>
      <c r="W175" s="63"/>
      <c r="X175" s="63"/>
      <c r="Y175" s="63"/>
      <c r="Z175" s="63"/>
      <c r="AA175" s="6"/>
      <c r="AB175" s="6"/>
      <c r="AC175" s="6"/>
    </row>
    <row r="176" spans="1:29">
      <c r="A176" s="62"/>
      <c r="B176" s="62"/>
      <c r="C176" s="62"/>
      <c r="D176" s="62"/>
      <c r="E176" s="63"/>
      <c r="F176" s="63"/>
      <c r="G176" s="63"/>
      <c r="H176" s="63"/>
      <c r="I176" s="63"/>
      <c r="J176" s="6"/>
      <c r="K176" s="6"/>
      <c r="L176" s="6"/>
      <c r="M176" s="6"/>
      <c r="N176" s="6"/>
      <c r="O176" s="6"/>
      <c r="P176" s="6"/>
      <c r="Q176" s="6"/>
      <c r="R176" s="62"/>
      <c r="S176" s="62"/>
      <c r="T176" s="62"/>
      <c r="U176" s="62"/>
      <c r="V176" s="63"/>
      <c r="W176" s="63"/>
      <c r="X176" s="63"/>
      <c r="Y176" s="63"/>
      <c r="Z176" s="63"/>
      <c r="AA176" s="6"/>
      <c r="AB176" s="6"/>
      <c r="AC176" s="6"/>
    </row>
    <row r="177" spans="1:29">
      <c r="A177" s="62"/>
      <c r="B177" s="62"/>
      <c r="C177" s="62"/>
      <c r="D177" s="62"/>
      <c r="E177" s="63"/>
      <c r="F177" s="63"/>
      <c r="G177" s="63"/>
      <c r="H177" s="63"/>
      <c r="I177" s="63"/>
      <c r="J177" s="6"/>
      <c r="K177" s="6"/>
      <c r="L177" s="6"/>
      <c r="M177" s="6"/>
      <c r="N177" s="6"/>
      <c r="O177" s="6"/>
      <c r="P177" s="6"/>
      <c r="Q177" s="6"/>
      <c r="R177" s="62"/>
      <c r="S177" s="62"/>
      <c r="T177" s="62"/>
      <c r="U177" s="62"/>
      <c r="V177" s="63"/>
      <c r="W177" s="63"/>
      <c r="X177" s="63"/>
      <c r="Y177" s="63"/>
      <c r="Z177" s="63"/>
      <c r="AA177" s="6"/>
      <c r="AB177" s="6"/>
      <c r="AC177" s="6"/>
    </row>
    <row r="178" spans="1:29">
      <c r="A178" s="62"/>
      <c r="B178" s="62"/>
      <c r="C178" s="62"/>
      <c r="D178" s="62"/>
      <c r="E178" s="63"/>
      <c r="F178" s="63"/>
      <c r="G178" s="63"/>
      <c r="H178" s="63"/>
      <c r="I178" s="63"/>
      <c r="J178" s="6"/>
      <c r="K178" s="6"/>
      <c r="L178" s="6"/>
      <c r="M178" s="6"/>
      <c r="N178" s="6"/>
      <c r="O178" s="6"/>
      <c r="P178" s="6"/>
      <c r="Q178" s="6"/>
      <c r="R178" s="62"/>
      <c r="S178" s="62"/>
      <c r="T178" s="62"/>
      <c r="U178" s="62"/>
      <c r="V178" s="63"/>
      <c r="W178" s="63"/>
      <c r="X178" s="63"/>
      <c r="Y178" s="63"/>
      <c r="Z178" s="63"/>
      <c r="AA178" s="6"/>
      <c r="AB178" s="6"/>
      <c r="AC178" s="6"/>
    </row>
    <row r="179" spans="1:29">
      <c r="A179" s="62"/>
      <c r="B179" s="62"/>
      <c r="C179" s="62"/>
      <c r="D179" s="62"/>
      <c r="E179" s="63"/>
      <c r="F179" s="63"/>
      <c r="G179" s="63"/>
      <c r="H179" s="63"/>
      <c r="I179" s="63"/>
      <c r="J179" s="6"/>
      <c r="K179" s="6"/>
      <c r="L179" s="6"/>
      <c r="M179" s="6"/>
      <c r="N179" s="6"/>
      <c r="O179" s="6"/>
      <c r="P179" s="6"/>
      <c r="Q179" s="6"/>
      <c r="R179" s="62"/>
      <c r="S179" s="62"/>
      <c r="T179" s="62"/>
      <c r="U179" s="62"/>
      <c r="V179" s="63"/>
      <c r="W179" s="63"/>
      <c r="X179" s="63"/>
      <c r="Y179" s="63"/>
      <c r="Z179" s="63"/>
      <c r="AA179" s="6"/>
      <c r="AB179" s="6"/>
      <c r="AC179" s="6"/>
    </row>
    <row r="180" spans="1:29">
      <c r="A180" s="62"/>
      <c r="B180" s="62"/>
      <c r="C180" s="62"/>
      <c r="D180" s="62"/>
      <c r="E180" s="63"/>
      <c r="F180" s="63"/>
      <c r="G180" s="63"/>
      <c r="H180" s="63"/>
      <c r="I180" s="63"/>
      <c r="J180" s="6"/>
      <c r="K180" s="6"/>
      <c r="L180" s="6"/>
      <c r="M180" s="6"/>
      <c r="N180" s="6"/>
      <c r="O180" s="6"/>
      <c r="P180" s="6"/>
      <c r="Q180" s="6"/>
      <c r="R180" s="62"/>
      <c r="S180" s="62"/>
      <c r="T180" s="62"/>
      <c r="U180" s="62"/>
      <c r="V180" s="63"/>
      <c r="W180" s="63"/>
      <c r="X180" s="63"/>
      <c r="Y180" s="63"/>
      <c r="Z180" s="63"/>
      <c r="AA180" s="6"/>
      <c r="AB180" s="6"/>
      <c r="AC180" s="6"/>
    </row>
    <row r="181" spans="1:29">
      <c r="A181" s="62"/>
      <c r="B181" s="62"/>
      <c r="C181" s="62"/>
      <c r="D181" s="62"/>
      <c r="E181" s="63"/>
      <c r="F181" s="63"/>
      <c r="G181" s="63"/>
      <c r="H181" s="63"/>
      <c r="I181" s="63"/>
      <c r="J181" s="6"/>
      <c r="K181" s="6"/>
      <c r="L181" s="6"/>
      <c r="M181" s="6"/>
      <c r="N181" s="6"/>
      <c r="O181" s="6"/>
      <c r="P181" s="6"/>
      <c r="Q181" s="6"/>
      <c r="R181" s="62"/>
      <c r="S181" s="62"/>
      <c r="T181" s="62"/>
      <c r="U181" s="62"/>
      <c r="V181" s="63"/>
      <c r="W181" s="63"/>
      <c r="X181" s="63"/>
      <c r="Y181" s="63"/>
      <c r="Z181" s="63"/>
      <c r="AA181" s="6"/>
      <c r="AB181" s="6"/>
      <c r="AC181" s="6"/>
    </row>
    <row r="182" spans="1:29">
      <c r="A182" s="62"/>
      <c r="B182" s="62"/>
      <c r="C182" s="62"/>
      <c r="D182" s="62"/>
      <c r="E182" s="63"/>
      <c r="F182" s="63"/>
      <c r="G182" s="63"/>
      <c r="H182" s="63"/>
      <c r="I182" s="63"/>
      <c r="J182" s="6"/>
      <c r="K182" s="6"/>
      <c r="L182" s="6"/>
      <c r="M182" s="6"/>
      <c r="N182" s="6"/>
      <c r="O182" s="6"/>
      <c r="P182" s="6"/>
      <c r="Q182" s="6"/>
      <c r="R182" s="62"/>
      <c r="S182" s="62"/>
      <c r="T182" s="62"/>
      <c r="U182" s="62"/>
      <c r="V182" s="63"/>
      <c r="W182" s="63"/>
      <c r="X182" s="63"/>
      <c r="Y182" s="63"/>
      <c r="Z182" s="63"/>
      <c r="AA182" s="6"/>
      <c r="AB182" s="6"/>
      <c r="AC182" s="6"/>
    </row>
    <row r="183" spans="1:29">
      <c r="A183" s="62"/>
      <c r="B183" s="62"/>
      <c r="C183" s="62"/>
      <c r="D183" s="62"/>
      <c r="E183" s="63"/>
      <c r="F183" s="63"/>
      <c r="G183" s="63"/>
      <c r="H183" s="63"/>
      <c r="I183" s="63"/>
      <c r="J183" s="6"/>
      <c r="K183" s="6"/>
      <c r="L183" s="6"/>
      <c r="M183" s="6"/>
      <c r="N183" s="6"/>
      <c r="O183" s="6"/>
      <c r="P183" s="6"/>
      <c r="Q183" s="6"/>
      <c r="R183" s="62"/>
      <c r="S183" s="62"/>
      <c r="T183" s="62"/>
      <c r="U183" s="62"/>
      <c r="V183" s="63"/>
      <c r="W183" s="63"/>
      <c r="X183" s="63"/>
      <c r="Y183" s="63"/>
      <c r="Z183" s="63"/>
      <c r="AA183" s="6"/>
      <c r="AB183" s="6"/>
      <c r="AC183" s="6"/>
    </row>
    <row r="184" spans="1:29">
      <c r="A184" s="62"/>
      <c r="B184" s="62"/>
      <c r="C184" s="62"/>
      <c r="D184" s="62"/>
      <c r="E184" s="63"/>
      <c r="F184" s="63"/>
      <c r="G184" s="63"/>
      <c r="H184" s="63"/>
      <c r="I184" s="63"/>
      <c r="J184" s="6"/>
      <c r="K184" s="6"/>
      <c r="L184" s="6"/>
      <c r="M184" s="6"/>
      <c r="N184" s="6"/>
      <c r="O184" s="6"/>
      <c r="P184" s="6"/>
      <c r="Q184" s="6"/>
      <c r="R184" s="62"/>
      <c r="S184" s="62"/>
      <c r="T184" s="62"/>
      <c r="U184" s="62"/>
      <c r="V184" s="63"/>
      <c r="W184" s="63"/>
      <c r="X184" s="63"/>
      <c r="Y184" s="63"/>
      <c r="Z184" s="63"/>
      <c r="AA184" s="6"/>
      <c r="AB184" s="6"/>
      <c r="AC184" s="6"/>
    </row>
    <row r="185" spans="1:29">
      <c r="A185" s="62"/>
      <c r="B185" s="62"/>
      <c r="C185" s="62"/>
      <c r="D185" s="62"/>
      <c r="E185" s="63"/>
      <c r="F185" s="63"/>
      <c r="G185" s="63"/>
      <c r="H185" s="63"/>
      <c r="I185" s="63"/>
      <c r="J185" s="6"/>
      <c r="K185" s="6"/>
      <c r="L185" s="6"/>
      <c r="M185" s="6"/>
      <c r="N185" s="6"/>
      <c r="O185" s="6"/>
      <c r="P185" s="6"/>
      <c r="Q185" s="6"/>
      <c r="R185" s="62"/>
      <c r="S185" s="62"/>
      <c r="T185" s="62"/>
      <c r="U185" s="62"/>
      <c r="V185" s="63"/>
      <c r="W185" s="63"/>
      <c r="X185" s="63"/>
      <c r="Y185" s="63"/>
      <c r="Z185" s="63"/>
      <c r="AA185" s="6"/>
      <c r="AB185" s="6"/>
      <c r="AC185" s="6"/>
    </row>
    <row r="186" spans="1:29">
      <c r="A186" s="62"/>
      <c r="B186" s="62"/>
      <c r="C186" s="62"/>
      <c r="D186" s="62"/>
      <c r="E186" s="63"/>
      <c r="F186" s="63"/>
      <c r="G186" s="63"/>
      <c r="H186" s="63"/>
      <c r="I186" s="63"/>
      <c r="J186" s="6"/>
      <c r="K186" s="6"/>
      <c r="L186" s="6"/>
      <c r="M186" s="6"/>
      <c r="N186" s="6"/>
      <c r="O186" s="6"/>
      <c r="P186" s="6"/>
      <c r="Q186" s="6"/>
      <c r="R186" s="62"/>
      <c r="S186" s="62"/>
      <c r="T186" s="62"/>
      <c r="U186" s="62"/>
      <c r="V186" s="63"/>
      <c r="W186" s="63"/>
      <c r="X186" s="63"/>
      <c r="Y186" s="63"/>
      <c r="Z186" s="63"/>
      <c r="AA186" s="6"/>
      <c r="AB186" s="6"/>
      <c r="AC186" s="6"/>
    </row>
    <row r="187" spans="1:29">
      <c r="A187" s="62"/>
      <c r="B187" s="62"/>
      <c r="C187" s="62"/>
      <c r="D187" s="62"/>
      <c r="E187" s="63"/>
      <c r="F187" s="63"/>
      <c r="G187" s="63"/>
      <c r="H187" s="63"/>
      <c r="I187" s="63"/>
      <c r="J187" s="6"/>
      <c r="K187" s="6"/>
      <c r="L187" s="6"/>
      <c r="M187" s="6"/>
      <c r="N187" s="6"/>
      <c r="O187" s="6"/>
      <c r="P187" s="6"/>
      <c r="Q187" s="6"/>
      <c r="R187" s="62"/>
      <c r="S187" s="62"/>
      <c r="T187" s="62"/>
      <c r="U187" s="62"/>
      <c r="V187" s="63"/>
      <c r="W187" s="63"/>
      <c r="X187" s="63"/>
      <c r="Y187" s="63"/>
      <c r="Z187" s="63"/>
      <c r="AA187" s="6"/>
      <c r="AB187" s="6"/>
      <c r="AC187" s="6"/>
    </row>
    <row r="188" spans="1:29">
      <c r="A188" s="62"/>
      <c r="B188" s="62"/>
      <c r="C188" s="62"/>
      <c r="D188" s="62"/>
      <c r="E188" s="63"/>
      <c r="F188" s="63"/>
      <c r="G188" s="63"/>
      <c r="H188" s="63"/>
      <c r="I188" s="63"/>
      <c r="J188" s="6"/>
      <c r="K188" s="6"/>
      <c r="L188" s="6"/>
      <c r="M188" s="6"/>
      <c r="N188" s="6"/>
      <c r="O188" s="6"/>
      <c r="P188" s="6"/>
      <c r="Q188" s="6"/>
      <c r="R188" s="62"/>
      <c r="S188" s="62"/>
      <c r="T188" s="62"/>
      <c r="U188" s="62"/>
      <c r="V188" s="63"/>
      <c r="W188" s="63"/>
      <c r="X188" s="63"/>
      <c r="Y188" s="63"/>
      <c r="Z188" s="63"/>
      <c r="AA188" s="6"/>
      <c r="AB188" s="6"/>
      <c r="AC188" s="6"/>
    </row>
    <row r="189" spans="1:29">
      <c r="A189" s="62"/>
      <c r="B189" s="62"/>
      <c r="C189" s="62"/>
      <c r="D189" s="62"/>
      <c r="E189" s="63"/>
      <c r="F189" s="63"/>
      <c r="G189" s="63"/>
      <c r="H189" s="63"/>
      <c r="I189" s="63"/>
      <c r="J189" s="6"/>
      <c r="K189" s="6"/>
      <c r="L189" s="6"/>
      <c r="M189" s="6"/>
      <c r="N189" s="6"/>
      <c r="O189" s="6"/>
      <c r="P189" s="6"/>
      <c r="Q189" s="6"/>
      <c r="R189" s="62"/>
      <c r="S189" s="62"/>
      <c r="T189" s="62"/>
      <c r="U189" s="62"/>
      <c r="V189" s="63"/>
      <c r="W189" s="63"/>
      <c r="X189" s="63"/>
      <c r="Y189" s="63"/>
      <c r="Z189" s="63"/>
      <c r="AA189" s="6"/>
      <c r="AB189" s="6"/>
      <c r="AC189" s="6"/>
    </row>
    <row r="190" spans="1:29">
      <c r="A190" s="62"/>
      <c r="B190" s="62"/>
      <c r="C190" s="62"/>
      <c r="D190" s="62"/>
      <c r="E190" s="63"/>
      <c r="F190" s="63"/>
      <c r="G190" s="63"/>
      <c r="H190" s="63"/>
      <c r="I190" s="63"/>
      <c r="J190" s="6"/>
      <c r="K190" s="6"/>
      <c r="L190" s="6"/>
      <c r="M190" s="6"/>
      <c r="N190" s="6"/>
      <c r="O190" s="6"/>
      <c r="P190" s="6"/>
      <c r="Q190" s="6"/>
      <c r="R190" s="62"/>
      <c r="S190" s="62"/>
      <c r="T190" s="62"/>
      <c r="U190" s="62"/>
      <c r="V190" s="63"/>
      <c r="W190" s="63"/>
      <c r="X190" s="63"/>
      <c r="Y190" s="63"/>
      <c r="Z190" s="63"/>
      <c r="AA190" s="6"/>
      <c r="AB190" s="6"/>
      <c r="AC190" s="6"/>
    </row>
    <row r="191" spans="1:29">
      <c r="A191" s="62"/>
      <c r="B191" s="62"/>
      <c r="C191" s="62"/>
      <c r="D191" s="62"/>
      <c r="E191" s="63"/>
      <c r="F191" s="63"/>
      <c r="G191" s="63"/>
      <c r="H191" s="63"/>
      <c r="I191" s="63"/>
      <c r="J191" s="6"/>
      <c r="K191" s="6"/>
      <c r="L191" s="6"/>
      <c r="M191" s="6"/>
      <c r="N191" s="6"/>
      <c r="O191" s="6"/>
      <c r="P191" s="6"/>
      <c r="Q191" s="6"/>
      <c r="R191" s="62"/>
      <c r="S191" s="62"/>
      <c r="T191" s="62"/>
      <c r="U191" s="62"/>
      <c r="V191" s="63"/>
      <c r="W191" s="63"/>
      <c r="X191" s="63"/>
      <c r="Y191" s="63"/>
      <c r="Z191" s="63"/>
      <c r="AA191" s="6"/>
      <c r="AB191" s="6"/>
      <c r="AC191" s="6"/>
    </row>
    <row r="192" spans="1:29">
      <c r="A192" s="62"/>
      <c r="B192" s="62"/>
      <c r="C192" s="62"/>
      <c r="D192" s="62"/>
      <c r="E192" s="63"/>
      <c r="F192" s="63"/>
      <c r="G192" s="63"/>
      <c r="H192" s="63"/>
      <c r="I192" s="63"/>
      <c r="J192" s="6"/>
      <c r="K192" s="6"/>
      <c r="L192" s="6"/>
      <c r="M192" s="6"/>
      <c r="N192" s="6"/>
      <c r="O192" s="6"/>
      <c r="P192" s="6"/>
      <c r="Q192" s="6"/>
      <c r="R192" s="62"/>
      <c r="S192" s="62"/>
      <c r="T192" s="62"/>
      <c r="U192" s="62"/>
      <c r="V192" s="63"/>
      <c r="W192" s="63"/>
      <c r="X192" s="63"/>
      <c r="Y192" s="63"/>
      <c r="Z192" s="63"/>
      <c r="AA192" s="6"/>
      <c r="AB192" s="6"/>
      <c r="AC192" s="6"/>
    </row>
    <row r="193" spans="1:29">
      <c r="A193" s="62"/>
      <c r="B193" s="62"/>
      <c r="C193" s="62"/>
      <c r="D193" s="62"/>
      <c r="E193" s="63"/>
      <c r="F193" s="63"/>
      <c r="G193" s="63"/>
      <c r="H193" s="63"/>
      <c r="I193" s="63"/>
      <c r="J193" s="6"/>
      <c r="K193" s="6"/>
      <c r="L193" s="6"/>
      <c r="M193" s="6"/>
      <c r="N193" s="6"/>
      <c r="O193" s="6"/>
      <c r="P193" s="6"/>
      <c r="Q193" s="6"/>
      <c r="R193" s="62"/>
      <c r="S193" s="62"/>
      <c r="T193" s="62"/>
      <c r="U193" s="62"/>
      <c r="V193" s="63"/>
      <c r="W193" s="63"/>
      <c r="X193" s="63"/>
      <c r="Y193" s="63"/>
      <c r="Z193" s="63"/>
      <c r="AA193" s="6"/>
      <c r="AB193" s="6"/>
      <c r="AC193" s="6"/>
    </row>
    <row r="194" spans="1:29">
      <c r="A194" s="62"/>
      <c r="B194" s="62"/>
      <c r="C194" s="62"/>
      <c r="D194" s="62"/>
      <c r="E194" s="63"/>
      <c r="F194" s="63"/>
      <c r="G194" s="63"/>
      <c r="H194" s="63"/>
      <c r="I194" s="63"/>
      <c r="J194" s="6"/>
      <c r="K194" s="6"/>
      <c r="L194" s="6"/>
      <c r="M194" s="6"/>
      <c r="N194" s="6"/>
      <c r="O194" s="6"/>
      <c r="P194" s="6"/>
      <c r="Q194" s="6"/>
      <c r="R194" s="62"/>
      <c r="S194" s="62"/>
      <c r="T194" s="62"/>
      <c r="U194" s="62"/>
      <c r="V194" s="63"/>
      <c r="W194" s="63"/>
      <c r="X194" s="63"/>
      <c r="Y194" s="63"/>
      <c r="Z194" s="63"/>
      <c r="AA194" s="6"/>
      <c r="AB194" s="6"/>
      <c r="AC194" s="6"/>
    </row>
    <row r="195" spans="1:29">
      <c r="A195" s="62"/>
      <c r="B195" s="62"/>
      <c r="C195" s="62"/>
      <c r="D195" s="62"/>
      <c r="E195" s="63"/>
      <c r="F195" s="63"/>
      <c r="G195" s="63"/>
      <c r="H195" s="63"/>
      <c r="I195" s="63"/>
      <c r="J195" s="6"/>
      <c r="K195" s="6"/>
      <c r="L195" s="6"/>
      <c r="M195" s="6"/>
      <c r="N195" s="6"/>
      <c r="O195" s="6"/>
      <c r="P195" s="6"/>
      <c r="Q195" s="6"/>
      <c r="R195" s="62"/>
      <c r="S195" s="62"/>
      <c r="T195" s="62"/>
      <c r="U195" s="62"/>
      <c r="V195" s="63"/>
      <c r="W195" s="63"/>
      <c r="X195" s="63"/>
      <c r="Y195" s="63"/>
      <c r="Z195" s="63"/>
      <c r="AA195" s="6"/>
      <c r="AB195" s="6"/>
      <c r="AC195" s="6"/>
    </row>
    <row r="196" spans="1:29">
      <c r="A196" s="62"/>
      <c r="B196" s="62"/>
      <c r="C196" s="62"/>
      <c r="D196" s="62"/>
      <c r="E196" s="63"/>
      <c r="F196" s="63"/>
      <c r="G196" s="63"/>
      <c r="H196" s="63"/>
      <c r="I196" s="63"/>
      <c r="J196" s="6"/>
      <c r="K196" s="6"/>
      <c r="L196" s="6"/>
      <c r="M196" s="6"/>
      <c r="N196" s="6"/>
      <c r="O196" s="6"/>
      <c r="P196" s="6"/>
      <c r="Q196" s="6"/>
      <c r="R196" s="62"/>
      <c r="S196" s="62"/>
      <c r="T196" s="62"/>
      <c r="U196" s="62"/>
      <c r="V196" s="63"/>
      <c r="W196" s="63"/>
      <c r="X196" s="63"/>
      <c r="Y196" s="63"/>
      <c r="Z196" s="63"/>
      <c r="AA196" s="6"/>
      <c r="AB196" s="6"/>
      <c r="AC196" s="6"/>
    </row>
    <row r="197" spans="1:29">
      <c r="A197" s="62"/>
      <c r="B197" s="62"/>
      <c r="C197" s="62"/>
      <c r="D197" s="62"/>
      <c r="E197" s="63"/>
      <c r="F197" s="63"/>
      <c r="G197" s="63"/>
      <c r="H197" s="63"/>
      <c r="I197" s="63"/>
      <c r="J197" s="6"/>
      <c r="K197" s="6"/>
      <c r="L197" s="6"/>
      <c r="M197" s="6"/>
      <c r="N197" s="6"/>
      <c r="O197" s="6"/>
      <c r="P197" s="6"/>
      <c r="Q197" s="6"/>
      <c r="R197" s="62"/>
      <c r="S197" s="62"/>
      <c r="T197" s="62"/>
      <c r="U197" s="62"/>
      <c r="V197" s="63"/>
      <c r="W197" s="63"/>
      <c r="X197" s="63"/>
      <c r="Y197" s="63"/>
      <c r="Z197" s="63"/>
      <c r="AA197" s="6"/>
      <c r="AB197" s="6"/>
      <c r="AC197" s="6"/>
    </row>
    <row r="198" spans="1:29">
      <c r="A198" s="62"/>
      <c r="B198" s="62"/>
      <c r="C198" s="62"/>
      <c r="D198" s="62"/>
      <c r="E198" s="63"/>
      <c r="F198" s="63"/>
      <c r="G198" s="63"/>
      <c r="H198" s="63"/>
      <c r="I198" s="63"/>
      <c r="J198" s="6"/>
      <c r="K198" s="6"/>
      <c r="L198" s="6"/>
      <c r="M198" s="6"/>
      <c r="N198" s="6"/>
      <c r="O198" s="6"/>
      <c r="P198" s="6"/>
      <c r="Q198" s="6"/>
      <c r="R198" s="62"/>
      <c r="S198" s="62"/>
      <c r="T198" s="62"/>
      <c r="U198" s="62"/>
      <c r="V198" s="63"/>
      <c r="W198" s="63"/>
      <c r="X198" s="63"/>
      <c r="Y198" s="63"/>
      <c r="Z198" s="63"/>
      <c r="AA198" s="6"/>
      <c r="AB198" s="6"/>
      <c r="AC198" s="6"/>
    </row>
    <row r="199" spans="1:29">
      <c r="A199" s="62"/>
      <c r="B199" s="62"/>
      <c r="C199" s="62"/>
      <c r="D199" s="62"/>
      <c r="E199" s="63"/>
      <c r="F199" s="63"/>
      <c r="G199" s="63"/>
      <c r="H199" s="63"/>
      <c r="I199" s="63"/>
      <c r="J199" s="6"/>
      <c r="K199" s="6"/>
      <c r="L199" s="6"/>
      <c r="M199" s="6"/>
      <c r="N199" s="6"/>
      <c r="O199" s="6"/>
      <c r="P199" s="6"/>
      <c r="Q199" s="6"/>
      <c r="R199" s="62"/>
      <c r="S199" s="62"/>
      <c r="T199" s="62"/>
      <c r="U199" s="62"/>
      <c r="V199" s="63"/>
      <c r="W199" s="63"/>
      <c r="X199" s="63"/>
      <c r="Y199" s="63"/>
      <c r="Z199" s="63"/>
      <c r="AA199" s="6"/>
      <c r="AB199" s="6"/>
      <c r="AC199" s="6"/>
    </row>
    <row r="200" spans="1:29">
      <c r="A200" s="62"/>
      <c r="B200" s="62"/>
      <c r="C200" s="62"/>
      <c r="D200" s="62"/>
      <c r="E200" s="63"/>
      <c r="F200" s="63"/>
      <c r="G200" s="63"/>
      <c r="H200" s="63"/>
      <c r="I200" s="63"/>
      <c r="J200" s="6"/>
      <c r="K200" s="6"/>
      <c r="L200" s="6"/>
      <c r="M200" s="6"/>
      <c r="N200" s="6"/>
      <c r="O200" s="6"/>
      <c r="P200" s="6"/>
      <c r="Q200" s="6"/>
      <c r="R200" s="62"/>
      <c r="S200" s="62"/>
      <c r="T200" s="62"/>
      <c r="U200" s="62"/>
      <c r="V200" s="63"/>
      <c r="W200" s="63"/>
      <c r="X200" s="63"/>
      <c r="Y200" s="63"/>
      <c r="Z200" s="63"/>
      <c r="AA200" s="6"/>
      <c r="AB200" s="6"/>
      <c r="AC200" s="6"/>
    </row>
    <row r="201" spans="1:29">
      <c r="A201" s="62"/>
      <c r="B201" s="62"/>
      <c r="C201" s="62"/>
      <c r="D201" s="62"/>
      <c r="E201" s="63"/>
      <c r="F201" s="63"/>
      <c r="G201" s="63"/>
      <c r="H201" s="63"/>
      <c r="I201" s="63"/>
      <c r="J201" s="6"/>
      <c r="K201" s="6"/>
      <c r="L201" s="6"/>
      <c r="M201" s="6"/>
      <c r="N201" s="6"/>
      <c r="O201" s="6"/>
      <c r="P201" s="6"/>
      <c r="Q201" s="6"/>
      <c r="R201" s="62"/>
      <c r="S201" s="62"/>
      <c r="T201" s="62"/>
      <c r="U201" s="62"/>
      <c r="V201" s="63"/>
      <c r="W201" s="63"/>
      <c r="X201" s="63"/>
      <c r="Y201" s="63"/>
      <c r="Z201" s="63"/>
      <c r="AA201" s="6"/>
      <c r="AB201" s="6"/>
      <c r="AC201" s="6"/>
    </row>
    <row r="202" spans="1:29">
      <c r="A202" s="62"/>
      <c r="B202" s="62"/>
      <c r="C202" s="62"/>
      <c r="D202" s="62"/>
      <c r="E202" s="63"/>
      <c r="F202" s="63"/>
      <c r="G202" s="63"/>
      <c r="H202" s="63"/>
      <c r="I202" s="63"/>
      <c r="J202" s="6"/>
      <c r="K202" s="6"/>
      <c r="L202" s="6"/>
      <c r="M202" s="6"/>
      <c r="N202" s="6"/>
      <c r="O202" s="6"/>
      <c r="P202" s="6"/>
      <c r="Q202" s="6"/>
      <c r="R202" s="62"/>
      <c r="S202" s="62"/>
      <c r="T202" s="62"/>
      <c r="U202" s="62"/>
      <c r="V202" s="63"/>
      <c r="W202" s="63"/>
      <c r="X202" s="63"/>
      <c r="Y202" s="63"/>
      <c r="Z202" s="63"/>
      <c r="AA202" s="6"/>
      <c r="AB202" s="6"/>
      <c r="AC202" s="6"/>
    </row>
    <row r="203" spans="1:29">
      <c r="A203" s="62"/>
      <c r="B203" s="62"/>
      <c r="C203" s="62"/>
      <c r="D203" s="62"/>
      <c r="E203" s="63"/>
      <c r="F203" s="63"/>
      <c r="G203" s="63"/>
      <c r="H203" s="63"/>
      <c r="I203" s="63"/>
      <c r="J203" s="6"/>
      <c r="K203" s="6"/>
      <c r="L203" s="6"/>
      <c r="M203" s="6"/>
      <c r="N203" s="6"/>
      <c r="O203" s="6"/>
      <c r="P203" s="6"/>
      <c r="Q203" s="6"/>
      <c r="R203" s="62"/>
      <c r="S203" s="62"/>
      <c r="T203" s="62"/>
      <c r="U203" s="62"/>
      <c r="V203" s="63"/>
      <c r="W203" s="63"/>
      <c r="X203" s="63"/>
      <c r="Y203" s="63"/>
      <c r="Z203" s="63"/>
      <c r="AA203" s="6"/>
      <c r="AB203" s="6"/>
      <c r="AC203" s="6"/>
    </row>
    <row r="204" spans="1:29">
      <c r="A204" s="62"/>
      <c r="B204" s="62"/>
      <c r="C204" s="62"/>
      <c r="D204" s="62"/>
      <c r="E204" s="63"/>
      <c r="F204" s="63"/>
      <c r="G204" s="63"/>
      <c r="H204" s="63"/>
      <c r="I204" s="63"/>
      <c r="J204" s="6"/>
      <c r="K204" s="6"/>
      <c r="L204" s="6"/>
      <c r="M204" s="6"/>
      <c r="N204" s="6"/>
      <c r="O204" s="6"/>
      <c r="P204" s="6"/>
      <c r="Q204" s="6"/>
      <c r="R204" s="62"/>
      <c r="S204" s="62"/>
      <c r="T204" s="62"/>
      <c r="U204" s="62"/>
      <c r="V204" s="63"/>
      <c r="W204" s="63"/>
      <c r="X204" s="63"/>
      <c r="Y204" s="63"/>
      <c r="Z204" s="63"/>
      <c r="AA204" s="6"/>
      <c r="AB204" s="6"/>
      <c r="AC204" s="6"/>
    </row>
    <row r="205" spans="1:29">
      <c r="A205" s="62"/>
      <c r="B205" s="62"/>
      <c r="C205" s="62"/>
      <c r="D205" s="62"/>
      <c r="E205" s="63"/>
      <c r="F205" s="63"/>
      <c r="G205" s="63"/>
      <c r="H205" s="63"/>
      <c r="I205" s="63"/>
      <c r="J205" s="6"/>
      <c r="K205" s="6"/>
      <c r="L205" s="6"/>
      <c r="M205" s="6"/>
      <c r="N205" s="6"/>
      <c r="O205" s="6"/>
      <c r="P205" s="6"/>
      <c r="Q205" s="6"/>
      <c r="R205" s="62"/>
      <c r="S205" s="62"/>
      <c r="T205" s="62"/>
      <c r="U205" s="62"/>
      <c r="V205" s="63"/>
      <c r="W205" s="63"/>
      <c r="X205" s="63"/>
      <c r="Y205" s="63"/>
      <c r="Z205" s="63"/>
      <c r="AA205" s="6"/>
      <c r="AB205" s="6"/>
      <c r="AC205" s="6"/>
    </row>
    <row r="206" spans="1:29">
      <c r="A206" s="62"/>
      <c r="B206" s="62"/>
      <c r="C206" s="62"/>
      <c r="D206" s="62"/>
      <c r="E206" s="63"/>
      <c r="F206" s="63"/>
      <c r="G206" s="63"/>
      <c r="H206" s="63"/>
      <c r="I206" s="63"/>
      <c r="J206" s="6"/>
      <c r="K206" s="6"/>
      <c r="L206" s="6"/>
      <c r="M206" s="6"/>
      <c r="N206" s="6"/>
      <c r="O206" s="6"/>
      <c r="P206" s="6"/>
      <c r="Q206" s="6"/>
      <c r="R206" s="62"/>
      <c r="S206" s="62"/>
      <c r="T206" s="62"/>
      <c r="U206" s="62"/>
      <c r="V206" s="63"/>
      <c r="W206" s="63"/>
      <c r="X206" s="63"/>
      <c r="Y206" s="63"/>
      <c r="Z206" s="63"/>
      <c r="AA206" s="6"/>
      <c r="AB206" s="6"/>
      <c r="AC206" s="6"/>
    </row>
    <row r="207" spans="1:29">
      <c r="A207" s="62"/>
      <c r="B207" s="62"/>
      <c r="C207" s="62"/>
      <c r="D207" s="62"/>
      <c r="E207" s="63"/>
      <c r="F207" s="63"/>
      <c r="G207" s="63"/>
      <c r="H207" s="63"/>
      <c r="I207" s="63"/>
      <c r="J207" s="6"/>
      <c r="K207" s="6"/>
      <c r="L207" s="6"/>
      <c r="M207" s="6"/>
      <c r="N207" s="6"/>
      <c r="O207" s="6"/>
      <c r="P207" s="6"/>
      <c r="Q207" s="6"/>
      <c r="R207" s="62"/>
      <c r="S207" s="62"/>
      <c r="T207" s="62"/>
      <c r="U207" s="62"/>
      <c r="V207" s="63"/>
      <c r="W207" s="63"/>
      <c r="X207" s="63"/>
      <c r="Y207" s="63"/>
      <c r="Z207" s="63"/>
      <c r="AA207" s="6"/>
      <c r="AB207" s="6"/>
      <c r="AC207" s="6"/>
    </row>
    <row r="208" spans="1:29">
      <c r="A208" s="62"/>
      <c r="B208" s="62"/>
      <c r="C208" s="62"/>
      <c r="D208" s="62"/>
      <c r="E208" s="63"/>
      <c r="F208" s="63"/>
      <c r="G208" s="63"/>
      <c r="H208" s="63"/>
      <c r="I208" s="63"/>
      <c r="J208" s="6"/>
      <c r="K208" s="6"/>
      <c r="L208" s="6"/>
      <c r="M208" s="6"/>
      <c r="N208" s="6"/>
      <c r="O208" s="6"/>
      <c r="P208" s="6"/>
      <c r="Q208" s="6"/>
      <c r="R208" s="62"/>
      <c r="S208" s="62"/>
      <c r="T208" s="62"/>
      <c r="U208" s="62"/>
      <c r="V208" s="63"/>
      <c r="W208" s="63"/>
      <c r="X208" s="63"/>
      <c r="Y208" s="63"/>
      <c r="Z208" s="63"/>
      <c r="AA208" s="6"/>
      <c r="AB208" s="6"/>
      <c r="AC208" s="6"/>
    </row>
    <row r="209" spans="1:29">
      <c r="A209" s="62"/>
      <c r="B209" s="62"/>
      <c r="C209" s="62"/>
      <c r="D209" s="62"/>
      <c r="E209" s="63"/>
      <c r="F209" s="63"/>
      <c r="G209" s="63"/>
      <c r="H209" s="63"/>
      <c r="I209" s="63"/>
      <c r="J209" s="6"/>
      <c r="K209" s="6"/>
      <c r="L209" s="6"/>
      <c r="M209" s="6"/>
      <c r="N209" s="6"/>
      <c r="O209" s="6"/>
      <c r="P209" s="6"/>
      <c r="Q209" s="6"/>
      <c r="R209" s="62"/>
      <c r="S209" s="62"/>
      <c r="T209" s="62"/>
      <c r="U209" s="62"/>
      <c r="V209" s="63"/>
      <c r="W209" s="63"/>
      <c r="X209" s="63"/>
      <c r="Y209" s="63"/>
      <c r="Z209" s="63"/>
      <c r="AA209" s="6"/>
      <c r="AB209" s="6"/>
      <c r="AC209" s="6"/>
    </row>
    <row r="210" spans="1:29">
      <c r="A210" s="62"/>
      <c r="B210" s="62"/>
      <c r="C210" s="62"/>
      <c r="D210" s="62"/>
      <c r="E210" s="63"/>
      <c r="F210" s="63"/>
      <c r="G210" s="63"/>
      <c r="H210" s="63"/>
      <c r="I210" s="63"/>
      <c r="J210" s="6"/>
      <c r="K210" s="6"/>
      <c r="L210" s="6"/>
      <c r="M210" s="6"/>
      <c r="N210" s="6"/>
      <c r="O210" s="6"/>
      <c r="P210" s="6"/>
      <c r="Q210" s="6"/>
      <c r="R210" s="62"/>
      <c r="S210" s="62"/>
      <c r="T210" s="62"/>
      <c r="U210" s="62"/>
      <c r="V210" s="63"/>
      <c r="W210" s="63"/>
      <c r="X210" s="63"/>
      <c r="Y210" s="63"/>
      <c r="Z210" s="63"/>
      <c r="AA210" s="6"/>
      <c r="AB210" s="6"/>
      <c r="AC210" s="6"/>
    </row>
    <row r="211" spans="1:29">
      <c r="A211" s="62"/>
      <c r="B211" s="62"/>
      <c r="C211" s="62"/>
      <c r="D211" s="62"/>
      <c r="E211" s="63"/>
      <c r="F211" s="63"/>
      <c r="G211" s="63"/>
      <c r="H211" s="63"/>
      <c r="I211" s="63"/>
      <c r="J211" s="6"/>
      <c r="K211" s="6"/>
      <c r="L211" s="6"/>
      <c r="M211" s="6"/>
      <c r="N211" s="6"/>
      <c r="O211" s="6"/>
      <c r="P211" s="6"/>
      <c r="Q211" s="6"/>
      <c r="R211" s="62"/>
      <c r="S211" s="62"/>
      <c r="T211" s="62"/>
      <c r="U211" s="62"/>
      <c r="V211" s="63"/>
      <c r="W211" s="63"/>
      <c r="X211" s="63"/>
      <c r="Y211" s="63"/>
      <c r="Z211" s="63"/>
      <c r="AA211" s="6"/>
      <c r="AB211" s="6"/>
      <c r="AC211" s="6"/>
    </row>
    <row r="212" spans="1:29">
      <c r="A212" s="62"/>
      <c r="B212" s="62"/>
      <c r="C212" s="62"/>
      <c r="D212" s="62"/>
      <c r="E212" s="63"/>
      <c r="F212" s="63"/>
      <c r="G212" s="63"/>
      <c r="H212" s="63"/>
      <c r="I212" s="63"/>
      <c r="J212" s="6"/>
      <c r="K212" s="6"/>
      <c r="L212" s="6"/>
      <c r="M212" s="6"/>
      <c r="N212" s="6"/>
      <c r="O212" s="6"/>
      <c r="P212" s="6"/>
      <c r="Q212" s="6"/>
      <c r="R212" s="62"/>
      <c r="S212" s="62"/>
      <c r="T212" s="62"/>
      <c r="U212" s="62"/>
      <c r="V212" s="63"/>
      <c r="W212" s="63"/>
      <c r="X212" s="63"/>
      <c r="Y212" s="63"/>
      <c r="Z212" s="63"/>
      <c r="AA212" s="6"/>
      <c r="AB212" s="6"/>
      <c r="AC212" s="6"/>
    </row>
    <row r="213" spans="1:29">
      <c r="A213" s="62"/>
      <c r="B213" s="62"/>
      <c r="C213" s="62"/>
      <c r="D213" s="62"/>
      <c r="E213" s="63"/>
      <c r="F213" s="63"/>
      <c r="G213" s="63"/>
      <c r="H213" s="63"/>
      <c r="I213" s="63"/>
      <c r="J213" s="6"/>
      <c r="K213" s="6"/>
      <c r="L213" s="6"/>
      <c r="M213" s="6"/>
      <c r="N213" s="6"/>
      <c r="O213" s="6"/>
      <c r="P213" s="6"/>
      <c r="Q213" s="6"/>
      <c r="R213" s="62"/>
      <c r="S213" s="62"/>
      <c r="T213" s="62"/>
      <c r="U213" s="62"/>
      <c r="V213" s="63"/>
      <c r="W213" s="63"/>
      <c r="X213" s="63"/>
      <c r="Y213" s="63"/>
      <c r="Z213" s="63"/>
      <c r="AA213" s="6"/>
      <c r="AB213" s="6"/>
      <c r="AC213" s="6"/>
    </row>
    <row r="214" spans="1:29">
      <c r="A214" s="62"/>
      <c r="B214" s="62"/>
      <c r="C214" s="62"/>
      <c r="D214" s="62"/>
      <c r="E214" s="63"/>
      <c r="F214" s="63"/>
      <c r="G214" s="63"/>
      <c r="H214" s="63"/>
      <c r="I214" s="63"/>
      <c r="J214" s="6"/>
      <c r="K214" s="6"/>
      <c r="L214" s="6"/>
      <c r="M214" s="6"/>
      <c r="N214" s="6"/>
      <c r="O214" s="6"/>
      <c r="P214" s="6"/>
      <c r="Q214" s="6"/>
      <c r="R214" s="62"/>
      <c r="S214" s="62"/>
      <c r="T214" s="62"/>
      <c r="U214" s="62"/>
      <c r="V214" s="63"/>
      <c r="W214" s="63"/>
      <c r="X214" s="63"/>
      <c r="Y214" s="63"/>
      <c r="Z214" s="63"/>
      <c r="AA214" s="6"/>
      <c r="AB214" s="6"/>
      <c r="AC214" s="6"/>
    </row>
    <row r="215" spans="1:29">
      <c r="A215" s="62"/>
      <c r="B215" s="62"/>
      <c r="C215" s="62"/>
      <c r="D215" s="62"/>
      <c r="E215" s="63"/>
      <c r="F215" s="63"/>
      <c r="G215" s="63"/>
      <c r="H215" s="63"/>
      <c r="I215" s="63"/>
      <c r="J215" s="6"/>
      <c r="K215" s="6"/>
      <c r="L215" s="6"/>
      <c r="M215" s="6"/>
      <c r="N215" s="6"/>
      <c r="O215" s="6"/>
      <c r="P215" s="6"/>
      <c r="Q215" s="6"/>
      <c r="R215" s="62"/>
      <c r="S215" s="62"/>
      <c r="T215" s="62"/>
      <c r="U215" s="62"/>
      <c r="V215" s="63"/>
      <c r="W215" s="63"/>
      <c r="X215" s="63"/>
      <c r="Y215" s="63"/>
      <c r="Z215" s="63"/>
      <c r="AA215" s="6"/>
      <c r="AB215" s="6"/>
      <c r="AC215" s="6"/>
    </row>
    <row r="216" spans="1:29">
      <c r="A216" s="62"/>
      <c r="B216" s="62"/>
      <c r="C216" s="62"/>
      <c r="D216" s="62"/>
      <c r="E216" s="63"/>
      <c r="F216" s="63"/>
      <c r="G216" s="63"/>
      <c r="H216" s="63"/>
      <c r="I216" s="63"/>
      <c r="J216" s="6"/>
      <c r="K216" s="6"/>
      <c r="L216" s="6"/>
      <c r="M216" s="6"/>
      <c r="N216" s="6"/>
      <c r="O216" s="6"/>
      <c r="P216" s="6"/>
      <c r="Q216" s="6"/>
      <c r="R216" s="62"/>
      <c r="S216" s="62"/>
      <c r="T216" s="62"/>
      <c r="U216" s="62"/>
      <c r="V216" s="63"/>
      <c r="W216" s="63"/>
      <c r="X216" s="63"/>
      <c r="Y216" s="63"/>
      <c r="Z216" s="63"/>
      <c r="AA216" s="6"/>
      <c r="AB216" s="6"/>
      <c r="AC216" s="6"/>
    </row>
    <row r="217" spans="1:29">
      <c r="A217" s="62"/>
      <c r="B217" s="62"/>
      <c r="C217" s="62"/>
      <c r="D217" s="62"/>
      <c r="E217" s="63"/>
      <c r="F217" s="63"/>
      <c r="G217" s="63"/>
      <c r="H217" s="63"/>
      <c r="I217" s="63"/>
      <c r="J217" s="6"/>
      <c r="K217" s="6"/>
      <c r="L217" s="6"/>
      <c r="M217" s="6"/>
      <c r="N217" s="6"/>
      <c r="O217" s="6"/>
      <c r="P217" s="6"/>
      <c r="Q217" s="6"/>
      <c r="R217" s="62"/>
      <c r="S217" s="62"/>
      <c r="T217" s="62"/>
      <c r="U217" s="62"/>
      <c r="V217" s="63"/>
      <c r="W217" s="63"/>
      <c r="X217" s="63"/>
      <c r="Y217" s="63"/>
      <c r="Z217" s="63"/>
      <c r="AA217" s="6"/>
      <c r="AB217" s="6"/>
      <c r="AC217" s="6"/>
    </row>
    <row r="218" spans="1:29">
      <c r="A218" s="62"/>
      <c r="B218" s="62"/>
      <c r="C218" s="62"/>
      <c r="D218" s="62"/>
      <c r="E218" s="63"/>
      <c r="F218" s="63"/>
      <c r="G218" s="63"/>
      <c r="H218" s="63"/>
      <c r="I218" s="63"/>
      <c r="J218" s="6"/>
      <c r="K218" s="6"/>
      <c r="L218" s="6"/>
      <c r="M218" s="6"/>
      <c r="N218" s="6"/>
      <c r="O218" s="6"/>
      <c r="P218" s="6"/>
      <c r="Q218" s="6"/>
      <c r="R218" s="62"/>
      <c r="S218" s="62"/>
      <c r="T218" s="62"/>
      <c r="U218" s="62"/>
      <c r="V218" s="63"/>
      <c r="W218" s="63"/>
      <c r="X218" s="63"/>
      <c r="Y218" s="63"/>
      <c r="Z218" s="63"/>
      <c r="AA218" s="6"/>
      <c r="AB218" s="6"/>
      <c r="AC218" s="6"/>
    </row>
    <row r="219" spans="1:29">
      <c r="A219" s="62"/>
      <c r="B219" s="62"/>
      <c r="C219" s="62"/>
      <c r="D219" s="62"/>
      <c r="E219" s="63"/>
      <c r="F219" s="63"/>
      <c r="G219" s="63"/>
      <c r="H219" s="63"/>
      <c r="I219" s="63"/>
      <c r="J219" s="6"/>
      <c r="K219" s="6"/>
      <c r="L219" s="6"/>
      <c r="M219" s="6"/>
      <c r="N219" s="6"/>
      <c r="O219" s="6"/>
      <c r="P219" s="6"/>
      <c r="Q219" s="6"/>
      <c r="R219" s="62"/>
      <c r="S219" s="62"/>
      <c r="T219" s="62"/>
      <c r="U219" s="62"/>
      <c r="V219" s="63"/>
      <c r="W219" s="63"/>
      <c r="X219" s="63"/>
      <c r="Y219" s="63"/>
      <c r="Z219" s="63"/>
      <c r="AA219" s="6"/>
      <c r="AB219" s="6"/>
      <c r="AC219" s="6"/>
    </row>
    <row r="220" spans="1:29">
      <c r="A220" s="62"/>
      <c r="B220" s="62"/>
      <c r="C220" s="62"/>
      <c r="D220" s="62"/>
      <c r="E220" s="63"/>
      <c r="F220" s="63"/>
      <c r="G220" s="63"/>
      <c r="H220" s="63"/>
      <c r="I220" s="63"/>
      <c r="J220" s="6"/>
      <c r="K220" s="6"/>
      <c r="L220" s="6"/>
      <c r="M220" s="6"/>
      <c r="N220" s="6"/>
      <c r="O220" s="6"/>
      <c r="P220" s="6"/>
      <c r="Q220" s="6"/>
      <c r="R220" s="62"/>
      <c r="S220" s="62"/>
      <c r="T220" s="62"/>
      <c r="U220" s="62"/>
      <c r="V220" s="63"/>
      <c r="W220" s="63"/>
      <c r="X220" s="63"/>
      <c r="Y220" s="63"/>
      <c r="Z220" s="63"/>
      <c r="AA220" s="6"/>
      <c r="AB220" s="6"/>
      <c r="AC220" s="6"/>
    </row>
    <row r="221" spans="1:29">
      <c r="A221" s="62"/>
      <c r="B221" s="62"/>
      <c r="C221" s="62"/>
      <c r="D221" s="62"/>
      <c r="E221" s="63"/>
      <c r="F221" s="63"/>
      <c r="G221" s="63"/>
      <c r="H221" s="63"/>
      <c r="I221" s="63"/>
      <c r="J221" s="6"/>
      <c r="K221" s="6"/>
      <c r="L221" s="6"/>
      <c r="M221" s="6"/>
      <c r="N221" s="6"/>
      <c r="O221" s="6"/>
      <c r="P221" s="6"/>
      <c r="Q221" s="6"/>
      <c r="R221" s="62"/>
      <c r="S221" s="62"/>
      <c r="T221" s="62"/>
      <c r="U221" s="62"/>
      <c r="V221" s="63"/>
      <c r="W221" s="63"/>
      <c r="X221" s="63"/>
      <c r="Y221" s="63"/>
      <c r="Z221" s="63"/>
      <c r="AA221" s="6"/>
      <c r="AB221" s="6"/>
      <c r="AC221" s="6"/>
    </row>
    <row r="222" spans="1:29">
      <c r="A222" s="62"/>
      <c r="B222" s="62"/>
      <c r="C222" s="62"/>
      <c r="D222" s="62"/>
      <c r="E222" s="63"/>
      <c r="F222" s="63"/>
      <c r="G222" s="63"/>
      <c r="H222" s="63"/>
      <c r="I222" s="63"/>
      <c r="J222" s="6"/>
      <c r="K222" s="6"/>
      <c r="L222" s="6"/>
      <c r="M222" s="6"/>
      <c r="N222" s="6"/>
      <c r="O222" s="6"/>
      <c r="P222" s="6"/>
      <c r="Q222" s="6"/>
      <c r="R222" s="62"/>
      <c r="S222" s="62"/>
      <c r="T222" s="62"/>
      <c r="U222" s="62"/>
      <c r="V222" s="63"/>
      <c r="W222" s="63"/>
      <c r="X222" s="63"/>
      <c r="Y222" s="63"/>
      <c r="Z222" s="63"/>
      <c r="AA222" s="6"/>
      <c r="AB222" s="6"/>
      <c r="AC222" s="6"/>
    </row>
    <row r="223" spans="1:29">
      <c r="A223" s="62"/>
      <c r="B223" s="62"/>
      <c r="C223" s="62"/>
      <c r="D223" s="62"/>
      <c r="E223" s="63"/>
      <c r="F223" s="63"/>
      <c r="G223" s="63"/>
      <c r="H223" s="63"/>
      <c r="I223" s="63"/>
      <c r="J223" s="6"/>
      <c r="K223" s="6"/>
      <c r="L223" s="6"/>
      <c r="M223" s="6"/>
      <c r="N223" s="6"/>
      <c r="O223" s="6"/>
      <c r="P223" s="6"/>
      <c r="Q223" s="6"/>
      <c r="R223" s="62"/>
      <c r="S223" s="62"/>
      <c r="T223" s="62"/>
      <c r="U223" s="62"/>
      <c r="V223" s="63"/>
      <c r="W223" s="63"/>
      <c r="X223" s="63"/>
      <c r="Y223" s="63"/>
      <c r="Z223" s="63"/>
      <c r="AA223" s="6"/>
      <c r="AB223" s="6"/>
      <c r="AC223" s="6"/>
    </row>
    <row r="224" spans="1:29">
      <c r="A224" s="62"/>
      <c r="B224" s="62"/>
      <c r="C224" s="62"/>
      <c r="D224" s="62"/>
      <c r="E224" s="63"/>
      <c r="F224" s="63"/>
      <c r="G224" s="63"/>
      <c r="H224" s="63"/>
      <c r="I224" s="63"/>
      <c r="J224" s="6"/>
      <c r="K224" s="6"/>
      <c r="L224" s="6"/>
      <c r="M224" s="6"/>
      <c r="N224" s="6"/>
      <c r="O224" s="6"/>
      <c r="P224" s="6"/>
      <c r="Q224" s="6"/>
      <c r="R224" s="62"/>
      <c r="S224" s="62"/>
      <c r="T224" s="62"/>
      <c r="U224" s="62"/>
      <c r="V224" s="63"/>
      <c r="W224" s="63"/>
      <c r="X224" s="63"/>
      <c r="Y224" s="63"/>
      <c r="Z224" s="63"/>
      <c r="AA224" s="6"/>
      <c r="AB224" s="6"/>
      <c r="AC224" s="6"/>
    </row>
    <row r="225" spans="1:29">
      <c r="A225" s="62"/>
      <c r="B225" s="62"/>
      <c r="C225" s="62"/>
      <c r="D225" s="62"/>
      <c r="E225" s="63"/>
      <c r="F225" s="63"/>
      <c r="G225" s="63"/>
      <c r="H225" s="63"/>
      <c r="I225" s="63"/>
      <c r="J225" s="6"/>
      <c r="K225" s="6"/>
      <c r="L225" s="6"/>
      <c r="M225" s="6"/>
      <c r="N225" s="6"/>
      <c r="O225" s="6"/>
      <c r="P225" s="6"/>
      <c r="Q225" s="6"/>
      <c r="R225" s="62"/>
      <c r="S225" s="62"/>
      <c r="T225" s="62"/>
      <c r="U225" s="62"/>
      <c r="V225" s="63"/>
      <c r="W225" s="63"/>
      <c r="X225" s="63"/>
      <c r="Y225" s="63"/>
      <c r="Z225" s="63"/>
      <c r="AA225" s="6"/>
      <c r="AB225" s="6"/>
      <c r="AC225" s="6"/>
    </row>
    <row r="226" spans="1:29">
      <c r="A226" s="62"/>
      <c r="B226" s="62"/>
      <c r="C226" s="62"/>
      <c r="D226" s="62"/>
      <c r="E226" s="63"/>
      <c r="F226" s="63"/>
      <c r="G226" s="63"/>
      <c r="H226" s="63"/>
      <c r="I226" s="63"/>
      <c r="J226" s="6"/>
      <c r="K226" s="6"/>
      <c r="L226" s="6"/>
      <c r="M226" s="6"/>
      <c r="N226" s="6"/>
      <c r="O226" s="6"/>
      <c r="P226" s="6"/>
      <c r="Q226" s="6"/>
      <c r="R226" s="62"/>
      <c r="S226" s="62"/>
      <c r="T226" s="62"/>
      <c r="U226" s="62"/>
      <c r="V226" s="63"/>
      <c r="W226" s="63"/>
      <c r="X226" s="63"/>
      <c r="Y226" s="63"/>
      <c r="Z226" s="63"/>
      <c r="AA226" s="6"/>
      <c r="AB226" s="6"/>
      <c r="AC226" s="6"/>
    </row>
    <row r="227" spans="1:29">
      <c r="A227" s="62"/>
      <c r="B227" s="62"/>
      <c r="C227" s="62"/>
      <c r="D227" s="62"/>
      <c r="E227" s="63"/>
      <c r="F227" s="63"/>
      <c r="G227" s="63"/>
      <c r="H227" s="63"/>
      <c r="I227" s="63"/>
      <c r="J227" s="6"/>
      <c r="K227" s="6"/>
      <c r="L227" s="6"/>
      <c r="M227" s="6"/>
      <c r="N227" s="6"/>
      <c r="O227" s="6"/>
      <c r="P227" s="6"/>
      <c r="Q227" s="6"/>
      <c r="R227" s="62"/>
      <c r="S227" s="62"/>
      <c r="T227" s="62"/>
      <c r="U227" s="62"/>
      <c r="V227" s="63"/>
      <c r="W227" s="63"/>
      <c r="X227" s="63"/>
      <c r="Y227" s="63"/>
      <c r="Z227" s="63"/>
      <c r="AA227" s="6"/>
      <c r="AB227" s="6"/>
      <c r="AC227" s="6"/>
    </row>
    <row r="228" spans="1:29">
      <c r="A228" s="62"/>
      <c r="B228" s="62"/>
      <c r="C228" s="62"/>
      <c r="D228" s="62"/>
      <c r="E228" s="63"/>
      <c r="F228" s="63"/>
      <c r="G228" s="63"/>
      <c r="H228" s="63"/>
      <c r="I228" s="63"/>
      <c r="J228" s="6"/>
      <c r="K228" s="6"/>
      <c r="L228" s="6"/>
      <c r="M228" s="6"/>
      <c r="N228" s="6"/>
      <c r="O228" s="6"/>
      <c r="P228" s="6"/>
      <c r="Q228" s="6"/>
      <c r="R228" s="62"/>
      <c r="S228" s="62"/>
      <c r="T228" s="62"/>
      <c r="U228" s="62"/>
      <c r="V228" s="63"/>
      <c r="W228" s="63"/>
      <c r="X228" s="63"/>
      <c r="Y228" s="63"/>
      <c r="Z228" s="63"/>
      <c r="AA228" s="6"/>
      <c r="AB228" s="6"/>
      <c r="AC228" s="6"/>
    </row>
    <row r="229" spans="1:29">
      <c r="A229" s="62"/>
      <c r="B229" s="62"/>
      <c r="C229" s="62"/>
      <c r="D229" s="62"/>
      <c r="E229" s="63"/>
      <c r="F229" s="63"/>
      <c r="G229" s="63"/>
      <c r="H229" s="63"/>
      <c r="I229" s="63"/>
      <c r="J229" s="6"/>
      <c r="K229" s="6"/>
      <c r="L229" s="6"/>
      <c r="M229" s="6"/>
      <c r="N229" s="6"/>
      <c r="O229" s="6"/>
      <c r="P229" s="6"/>
      <c r="Q229" s="6"/>
      <c r="R229" s="62"/>
      <c r="S229" s="62"/>
      <c r="T229" s="62"/>
      <c r="U229" s="62"/>
      <c r="V229" s="63"/>
      <c r="W229" s="63"/>
      <c r="X229" s="63"/>
      <c r="Y229" s="63"/>
      <c r="Z229" s="63"/>
      <c r="AA229" s="6"/>
      <c r="AB229" s="6"/>
      <c r="AC229" s="6"/>
    </row>
    <row r="230" spans="1:29">
      <c r="A230" s="62"/>
      <c r="B230" s="62"/>
      <c r="C230" s="62"/>
      <c r="D230" s="62"/>
      <c r="E230" s="63"/>
      <c r="F230" s="63"/>
      <c r="G230" s="63"/>
      <c r="H230" s="63"/>
      <c r="I230" s="63"/>
      <c r="J230" s="6"/>
      <c r="K230" s="6"/>
      <c r="L230" s="6"/>
      <c r="M230" s="6"/>
      <c r="N230" s="6"/>
      <c r="O230" s="6"/>
      <c r="P230" s="6"/>
      <c r="Q230" s="6"/>
      <c r="R230" s="62"/>
      <c r="S230" s="62"/>
      <c r="T230" s="62"/>
      <c r="U230" s="62"/>
      <c r="V230" s="63"/>
      <c r="W230" s="63"/>
      <c r="X230" s="63"/>
      <c r="Y230" s="63"/>
      <c r="Z230" s="63"/>
      <c r="AA230" s="6"/>
      <c r="AB230" s="6"/>
      <c r="AC230" s="6"/>
    </row>
    <row r="231" spans="1:29">
      <c r="A231" s="62"/>
      <c r="B231" s="62"/>
      <c r="C231" s="62"/>
      <c r="D231" s="62"/>
      <c r="E231" s="63"/>
      <c r="F231" s="63"/>
      <c r="G231" s="63"/>
      <c r="H231" s="63"/>
      <c r="I231" s="63"/>
      <c r="J231" s="6"/>
      <c r="K231" s="6"/>
      <c r="L231" s="6"/>
      <c r="M231" s="6"/>
      <c r="N231" s="6"/>
      <c r="O231" s="6"/>
      <c r="P231" s="6"/>
      <c r="Q231" s="6"/>
      <c r="R231" s="62"/>
      <c r="S231" s="62"/>
      <c r="T231" s="62"/>
      <c r="U231" s="62"/>
      <c r="V231" s="63"/>
      <c r="W231" s="63"/>
      <c r="X231" s="63"/>
      <c r="Y231" s="63"/>
      <c r="Z231" s="63"/>
      <c r="AA231" s="6"/>
      <c r="AB231" s="6"/>
      <c r="AC231" s="6"/>
    </row>
    <row r="232" spans="1:29">
      <c r="A232" s="62"/>
      <c r="B232" s="62"/>
      <c r="C232" s="62"/>
      <c r="D232" s="62"/>
      <c r="E232" s="63"/>
      <c r="F232" s="63"/>
      <c r="G232" s="63"/>
      <c r="H232" s="63"/>
      <c r="I232" s="63"/>
      <c r="J232" s="6"/>
      <c r="K232" s="6"/>
      <c r="L232" s="6"/>
      <c r="M232" s="6"/>
      <c r="N232" s="6"/>
      <c r="O232" s="6"/>
      <c r="P232" s="6"/>
      <c r="Q232" s="6"/>
      <c r="R232" s="62"/>
      <c r="S232" s="62"/>
      <c r="T232" s="62"/>
      <c r="U232" s="62"/>
      <c r="V232" s="63"/>
      <c r="W232" s="63"/>
      <c r="X232" s="63"/>
      <c r="Y232" s="63"/>
      <c r="Z232" s="63"/>
      <c r="AA232" s="6"/>
      <c r="AB232" s="6"/>
      <c r="AC232" s="6"/>
    </row>
    <row r="233" spans="1:29">
      <c r="A233" s="62"/>
      <c r="B233" s="62"/>
      <c r="C233" s="62"/>
      <c r="D233" s="62"/>
      <c r="E233" s="63"/>
      <c r="F233" s="63"/>
      <c r="G233" s="63"/>
      <c r="H233" s="63"/>
      <c r="I233" s="63"/>
      <c r="J233" s="6"/>
      <c r="K233" s="6"/>
      <c r="L233" s="6"/>
      <c r="M233" s="6"/>
      <c r="N233" s="6"/>
      <c r="O233" s="6"/>
      <c r="P233" s="6"/>
      <c r="Q233" s="6"/>
      <c r="R233" s="62"/>
      <c r="S233" s="62"/>
      <c r="T233" s="62"/>
      <c r="U233" s="62"/>
      <c r="V233" s="63"/>
      <c r="W233" s="63"/>
      <c r="X233" s="63"/>
      <c r="Y233" s="63"/>
      <c r="Z233" s="63"/>
      <c r="AA233" s="6"/>
      <c r="AB233" s="6"/>
      <c r="AC233" s="6"/>
    </row>
    <row r="234" spans="1:29">
      <c r="A234" s="62"/>
      <c r="B234" s="62"/>
      <c r="C234" s="62"/>
      <c r="D234" s="62"/>
      <c r="E234" s="63"/>
      <c r="F234" s="63"/>
      <c r="G234" s="63"/>
      <c r="H234" s="63"/>
      <c r="I234" s="63"/>
      <c r="J234" s="6"/>
      <c r="K234" s="6"/>
      <c r="L234" s="6"/>
      <c r="M234" s="6"/>
      <c r="N234" s="6"/>
      <c r="O234" s="6"/>
      <c r="P234" s="6"/>
      <c r="Q234" s="6"/>
      <c r="R234" s="62"/>
      <c r="S234" s="62"/>
      <c r="T234" s="62"/>
      <c r="U234" s="62"/>
      <c r="V234" s="63"/>
      <c r="W234" s="63"/>
      <c r="X234" s="63"/>
      <c r="Y234" s="63"/>
      <c r="Z234" s="63"/>
      <c r="AA234" s="6"/>
      <c r="AB234" s="6"/>
      <c r="AC234" s="6"/>
    </row>
    <row r="235" spans="1:29">
      <c r="A235" s="62"/>
      <c r="B235" s="62"/>
      <c r="C235" s="62"/>
      <c r="D235" s="62"/>
      <c r="E235" s="63"/>
      <c r="F235" s="63"/>
      <c r="G235" s="63"/>
      <c r="H235" s="63"/>
      <c r="I235" s="63"/>
      <c r="J235" s="6"/>
      <c r="K235" s="6"/>
      <c r="L235" s="6"/>
      <c r="M235" s="6"/>
      <c r="N235" s="6"/>
      <c r="O235" s="6"/>
      <c r="P235" s="6"/>
      <c r="Q235" s="6"/>
      <c r="R235" s="62"/>
      <c r="S235" s="62"/>
      <c r="T235" s="62"/>
      <c r="U235" s="62"/>
      <c r="V235" s="63"/>
      <c r="W235" s="63"/>
      <c r="X235" s="63"/>
      <c r="Y235" s="63"/>
      <c r="Z235" s="63"/>
      <c r="AA235" s="6"/>
      <c r="AB235" s="6"/>
      <c r="AC235" s="6"/>
    </row>
    <row r="236" spans="1:29">
      <c r="A236" s="62"/>
      <c r="B236" s="62"/>
      <c r="C236" s="62"/>
      <c r="D236" s="62"/>
      <c r="E236" s="63"/>
      <c r="F236" s="63"/>
      <c r="G236" s="63"/>
      <c r="H236" s="63"/>
      <c r="I236" s="63"/>
      <c r="J236" s="6"/>
      <c r="K236" s="6"/>
      <c r="L236" s="6"/>
      <c r="M236" s="6"/>
      <c r="N236" s="6"/>
      <c r="O236" s="6"/>
      <c r="P236" s="6"/>
      <c r="Q236" s="6"/>
      <c r="R236" s="62"/>
      <c r="S236" s="62"/>
      <c r="T236" s="62"/>
      <c r="U236" s="62"/>
      <c r="V236" s="63"/>
      <c r="W236" s="63"/>
      <c r="X236" s="63"/>
      <c r="Y236" s="63"/>
      <c r="Z236" s="63"/>
      <c r="AA236" s="6"/>
      <c r="AB236" s="6"/>
      <c r="AC236" s="6"/>
    </row>
    <row r="237" spans="1:29">
      <c r="A237" s="62"/>
      <c r="B237" s="62"/>
      <c r="C237" s="62"/>
      <c r="D237" s="62"/>
      <c r="E237" s="63"/>
      <c r="F237" s="63"/>
      <c r="G237" s="63"/>
      <c r="H237" s="63"/>
      <c r="I237" s="63"/>
      <c r="J237" s="6"/>
      <c r="K237" s="6"/>
      <c r="L237" s="6"/>
      <c r="M237" s="6"/>
      <c r="N237" s="6"/>
      <c r="O237" s="6"/>
      <c r="P237" s="6"/>
      <c r="Q237" s="6"/>
      <c r="R237" s="62"/>
      <c r="S237" s="62"/>
      <c r="T237" s="62"/>
      <c r="U237" s="62"/>
      <c r="V237" s="63"/>
      <c r="W237" s="63"/>
      <c r="X237" s="63"/>
      <c r="Y237" s="63"/>
      <c r="Z237" s="63"/>
      <c r="AA237" s="6"/>
      <c r="AB237" s="6"/>
      <c r="AC237" s="6"/>
    </row>
    <row r="238" spans="1:29">
      <c r="A238" s="62"/>
      <c r="B238" s="62"/>
      <c r="C238" s="62"/>
      <c r="D238" s="62"/>
      <c r="E238" s="63"/>
      <c r="F238" s="63"/>
      <c r="G238" s="63"/>
      <c r="H238" s="63"/>
      <c r="I238" s="63"/>
      <c r="J238" s="6"/>
      <c r="K238" s="6"/>
      <c r="L238" s="6"/>
      <c r="M238" s="6"/>
      <c r="N238" s="6"/>
      <c r="O238" s="6"/>
      <c r="P238" s="6"/>
      <c r="Q238" s="6"/>
      <c r="R238" s="62"/>
      <c r="S238" s="62"/>
      <c r="T238" s="62"/>
      <c r="U238" s="62"/>
      <c r="V238" s="63"/>
      <c r="W238" s="63"/>
      <c r="X238" s="63"/>
      <c r="Y238" s="63"/>
      <c r="Z238" s="63"/>
      <c r="AA238" s="6"/>
      <c r="AB238" s="6"/>
      <c r="AC238" s="6"/>
    </row>
    <row r="239" spans="1:29">
      <c r="A239" s="62"/>
      <c r="B239" s="62"/>
      <c r="C239" s="62"/>
      <c r="D239" s="62"/>
      <c r="E239" s="63"/>
      <c r="F239" s="63"/>
      <c r="G239" s="63"/>
      <c r="H239" s="63"/>
      <c r="I239" s="63"/>
      <c r="J239" s="6"/>
      <c r="K239" s="6"/>
      <c r="L239" s="6"/>
      <c r="M239" s="6"/>
      <c r="N239" s="6"/>
      <c r="O239" s="6"/>
      <c r="P239" s="6"/>
      <c r="Q239" s="6"/>
      <c r="R239" s="62"/>
      <c r="S239" s="62"/>
      <c r="T239" s="62"/>
      <c r="U239" s="62"/>
      <c r="V239" s="63"/>
      <c r="W239" s="63"/>
      <c r="X239" s="63"/>
      <c r="Y239" s="63"/>
      <c r="Z239" s="63"/>
      <c r="AA239" s="6"/>
      <c r="AB239" s="6"/>
      <c r="AC239" s="6"/>
    </row>
    <row r="240" spans="1:29">
      <c r="A240" s="62"/>
      <c r="B240" s="62"/>
      <c r="C240" s="62"/>
      <c r="D240" s="62"/>
      <c r="E240" s="63"/>
      <c r="F240" s="63"/>
      <c r="G240" s="63"/>
      <c r="H240" s="63"/>
      <c r="I240" s="63"/>
      <c r="J240" s="6"/>
      <c r="K240" s="6"/>
      <c r="L240" s="6"/>
      <c r="M240" s="6"/>
      <c r="N240" s="6"/>
      <c r="O240" s="6"/>
      <c r="P240" s="6"/>
      <c r="Q240" s="6"/>
      <c r="R240" s="62"/>
      <c r="S240" s="62"/>
      <c r="T240" s="62"/>
      <c r="U240" s="62"/>
      <c r="V240" s="63"/>
      <c r="W240" s="63"/>
      <c r="X240" s="63"/>
      <c r="Y240" s="63"/>
      <c r="Z240" s="63"/>
      <c r="AA240" s="6"/>
      <c r="AB240" s="6"/>
      <c r="AC240" s="6"/>
    </row>
    <row r="241" spans="1:29">
      <c r="A241" s="62"/>
      <c r="B241" s="62"/>
      <c r="C241" s="62"/>
      <c r="D241" s="62"/>
      <c r="E241" s="63"/>
      <c r="F241" s="63"/>
      <c r="G241" s="63"/>
      <c r="H241" s="63"/>
      <c r="I241" s="63"/>
      <c r="J241" s="6"/>
      <c r="K241" s="6"/>
      <c r="L241" s="6"/>
      <c r="M241" s="6"/>
      <c r="N241" s="6"/>
      <c r="O241" s="6"/>
      <c r="P241" s="6"/>
      <c r="Q241" s="6"/>
      <c r="R241" s="62"/>
      <c r="S241" s="62"/>
      <c r="T241" s="62"/>
      <c r="U241" s="62"/>
      <c r="V241" s="63"/>
      <c r="W241" s="63"/>
      <c r="X241" s="63"/>
      <c r="Y241" s="63"/>
      <c r="Z241" s="63"/>
      <c r="AA241" s="6"/>
      <c r="AB241" s="6"/>
      <c r="AC241" s="6"/>
    </row>
    <row r="242" spans="1:29">
      <c r="A242" s="62"/>
      <c r="B242" s="62"/>
      <c r="C242" s="62"/>
      <c r="D242" s="62"/>
      <c r="E242" s="63"/>
      <c r="F242" s="63"/>
      <c r="G242" s="63"/>
      <c r="H242" s="63"/>
      <c r="I242" s="63"/>
      <c r="J242" s="6"/>
      <c r="K242" s="6"/>
      <c r="L242" s="6"/>
      <c r="M242" s="6"/>
      <c r="N242" s="6"/>
      <c r="O242" s="6"/>
      <c r="P242" s="6"/>
      <c r="Q242" s="6"/>
      <c r="R242" s="62"/>
      <c r="S242" s="62"/>
      <c r="T242" s="62"/>
      <c r="U242" s="62"/>
      <c r="V242" s="63"/>
      <c r="W242" s="63"/>
      <c r="X242" s="63"/>
      <c r="Y242" s="63"/>
      <c r="Z242" s="63"/>
      <c r="AA242" s="6"/>
      <c r="AB242" s="6"/>
      <c r="AC242" s="6"/>
    </row>
    <row r="243" spans="1:29">
      <c r="A243" s="62"/>
      <c r="B243" s="62"/>
      <c r="C243" s="62"/>
      <c r="D243" s="62"/>
      <c r="E243" s="63"/>
      <c r="F243" s="63"/>
      <c r="G243" s="63"/>
      <c r="H243" s="63"/>
      <c r="I243" s="63"/>
      <c r="J243" s="6"/>
      <c r="K243" s="6"/>
      <c r="L243" s="6"/>
      <c r="M243" s="6"/>
      <c r="N243" s="6"/>
      <c r="O243" s="6"/>
      <c r="P243" s="6"/>
      <c r="Q243" s="6"/>
      <c r="R243" s="62"/>
      <c r="S243" s="62"/>
      <c r="T243" s="62"/>
      <c r="U243" s="62"/>
      <c r="V243" s="63"/>
      <c r="W243" s="63"/>
      <c r="X243" s="63"/>
      <c r="Y243" s="63"/>
      <c r="Z243" s="63"/>
      <c r="AA243" s="6"/>
      <c r="AB243" s="6"/>
      <c r="AC243" s="6"/>
    </row>
    <row r="244" spans="1:29">
      <c r="A244" s="62"/>
      <c r="B244" s="62"/>
      <c r="C244" s="62"/>
      <c r="D244" s="62"/>
      <c r="E244" s="63"/>
      <c r="F244" s="63"/>
      <c r="G244" s="63"/>
      <c r="H244" s="63"/>
      <c r="I244" s="63"/>
      <c r="J244" s="6"/>
      <c r="K244" s="6"/>
      <c r="L244" s="6"/>
      <c r="M244" s="6"/>
      <c r="N244" s="6"/>
      <c r="O244" s="6"/>
      <c r="P244" s="6"/>
      <c r="Q244" s="6"/>
      <c r="R244" s="62"/>
      <c r="S244" s="62"/>
      <c r="T244" s="62"/>
      <c r="U244" s="62"/>
      <c r="V244" s="63"/>
      <c r="W244" s="63"/>
      <c r="X244" s="63"/>
      <c r="Y244" s="63"/>
      <c r="Z244" s="63"/>
      <c r="AA244" s="6"/>
      <c r="AB244" s="6"/>
      <c r="AC244" s="6"/>
    </row>
    <row r="245" spans="1:29">
      <c r="A245" s="62"/>
      <c r="B245" s="62"/>
      <c r="C245" s="62"/>
      <c r="D245" s="62"/>
      <c r="E245" s="63"/>
      <c r="F245" s="63"/>
      <c r="G245" s="63"/>
      <c r="H245" s="63"/>
      <c r="I245" s="63"/>
      <c r="J245" s="6"/>
      <c r="K245" s="6"/>
      <c r="L245" s="6"/>
      <c r="M245" s="6"/>
      <c r="N245" s="6"/>
      <c r="O245" s="6"/>
      <c r="P245" s="6"/>
      <c r="Q245" s="6"/>
      <c r="R245" s="62"/>
      <c r="S245" s="62"/>
      <c r="T245" s="62"/>
      <c r="U245" s="62"/>
      <c r="V245" s="63"/>
      <c r="W245" s="63"/>
      <c r="X245" s="63"/>
      <c r="Y245" s="63"/>
      <c r="Z245" s="63"/>
      <c r="AA245" s="6"/>
      <c r="AB245" s="6"/>
      <c r="AC245" s="6"/>
    </row>
    <row r="246" spans="1:29">
      <c r="A246" s="62"/>
      <c r="B246" s="62"/>
      <c r="C246" s="62"/>
      <c r="D246" s="62"/>
      <c r="E246" s="63"/>
      <c r="F246" s="63"/>
      <c r="G246" s="63"/>
      <c r="H246" s="63"/>
      <c r="I246" s="63"/>
      <c r="J246" s="6"/>
      <c r="K246" s="6"/>
      <c r="L246" s="6"/>
      <c r="M246" s="6"/>
      <c r="N246" s="6"/>
      <c r="O246" s="6"/>
      <c r="P246" s="6"/>
      <c r="Q246" s="6"/>
      <c r="R246" s="62"/>
      <c r="S246" s="62"/>
      <c r="T246" s="62"/>
      <c r="U246" s="62"/>
      <c r="V246" s="63"/>
      <c r="W246" s="63"/>
      <c r="X246" s="63"/>
      <c r="Y246" s="63"/>
      <c r="Z246" s="63"/>
      <c r="AA246" s="6"/>
      <c r="AB246" s="6"/>
      <c r="AC246" s="6"/>
    </row>
    <row r="247" spans="1:29">
      <c r="A247" s="62"/>
      <c r="B247" s="62"/>
      <c r="C247" s="62"/>
      <c r="D247" s="62"/>
      <c r="E247" s="63"/>
      <c r="F247" s="63"/>
      <c r="G247" s="63"/>
      <c r="H247" s="63"/>
      <c r="I247" s="63"/>
      <c r="J247" s="6"/>
      <c r="K247" s="6"/>
      <c r="L247" s="6"/>
      <c r="M247" s="6"/>
      <c r="N247" s="6"/>
      <c r="O247" s="6"/>
      <c r="P247" s="6"/>
      <c r="Q247" s="6"/>
      <c r="R247" s="62"/>
      <c r="S247" s="62"/>
      <c r="T247" s="62"/>
      <c r="U247" s="62"/>
      <c r="V247" s="63"/>
      <c r="W247" s="63"/>
      <c r="X247" s="63"/>
      <c r="Y247" s="63"/>
      <c r="Z247" s="63"/>
      <c r="AA247" s="6"/>
      <c r="AB247" s="6"/>
      <c r="AC247" s="6"/>
    </row>
    <row r="248" spans="1:29">
      <c r="A248" s="62"/>
      <c r="B248" s="62"/>
      <c r="C248" s="62"/>
      <c r="D248" s="62"/>
      <c r="E248" s="63"/>
      <c r="F248" s="63"/>
      <c r="G248" s="63"/>
      <c r="H248" s="63"/>
      <c r="I248" s="63"/>
      <c r="J248" s="6"/>
      <c r="K248" s="6"/>
      <c r="L248" s="6"/>
      <c r="M248" s="6"/>
      <c r="N248" s="6"/>
      <c r="O248" s="6"/>
      <c r="P248" s="6"/>
      <c r="Q248" s="6"/>
      <c r="R248" s="62"/>
      <c r="S248" s="62"/>
      <c r="T248" s="62"/>
      <c r="U248" s="62"/>
      <c r="V248" s="63"/>
      <c r="W248" s="63"/>
      <c r="X248" s="63"/>
      <c r="Y248" s="63"/>
      <c r="Z248" s="63"/>
      <c r="AA248" s="6"/>
      <c r="AB248" s="6"/>
      <c r="AC248" s="6"/>
    </row>
    <row r="249" spans="1:29">
      <c r="A249" s="62"/>
      <c r="B249" s="62"/>
      <c r="C249" s="62"/>
      <c r="D249" s="62"/>
      <c r="E249" s="63"/>
      <c r="F249" s="63"/>
      <c r="G249" s="63"/>
      <c r="H249" s="63"/>
      <c r="I249" s="63"/>
      <c r="J249" s="6"/>
      <c r="K249" s="6"/>
      <c r="L249" s="6"/>
      <c r="M249" s="6"/>
      <c r="N249" s="6"/>
      <c r="O249" s="6"/>
      <c r="P249" s="6"/>
      <c r="Q249" s="6"/>
      <c r="R249" s="62"/>
      <c r="S249" s="62"/>
      <c r="T249" s="62"/>
      <c r="U249" s="62"/>
      <c r="V249" s="63"/>
      <c r="W249" s="63"/>
      <c r="X249" s="63"/>
      <c r="Y249" s="63"/>
      <c r="Z249" s="63"/>
      <c r="AA249" s="6"/>
      <c r="AB249" s="6"/>
      <c r="AC249" s="6"/>
    </row>
    <row r="250" spans="1:29">
      <c r="A250" s="62"/>
      <c r="B250" s="62"/>
      <c r="C250" s="62"/>
      <c r="D250" s="62"/>
      <c r="E250" s="63"/>
      <c r="F250" s="63"/>
      <c r="G250" s="63"/>
      <c r="H250" s="63"/>
      <c r="I250" s="63"/>
      <c r="J250" s="6"/>
      <c r="K250" s="6"/>
      <c r="L250" s="6"/>
      <c r="M250" s="6"/>
      <c r="N250" s="6"/>
      <c r="O250" s="6"/>
      <c r="P250" s="6"/>
      <c r="Q250" s="6"/>
      <c r="R250" s="62"/>
      <c r="S250" s="62"/>
      <c r="T250" s="62"/>
      <c r="U250" s="62"/>
      <c r="V250" s="63"/>
      <c r="W250" s="63"/>
      <c r="X250" s="63"/>
      <c r="Y250" s="63"/>
      <c r="Z250" s="63"/>
      <c r="AA250" s="6"/>
      <c r="AB250" s="6"/>
      <c r="AC250" s="6"/>
    </row>
    <row r="251" spans="1:29">
      <c r="A251" s="62"/>
      <c r="B251" s="62"/>
      <c r="C251" s="62"/>
      <c r="D251" s="62"/>
      <c r="E251" s="63"/>
      <c r="F251" s="63"/>
      <c r="G251" s="63"/>
      <c r="H251" s="63"/>
      <c r="I251" s="63"/>
      <c r="J251" s="6"/>
      <c r="K251" s="6"/>
      <c r="L251" s="6"/>
      <c r="M251" s="6"/>
      <c r="N251" s="6"/>
      <c r="O251" s="6"/>
      <c r="P251" s="6"/>
      <c r="Q251" s="6"/>
      <c r="R251" s="62"/>
      <c r="S251" s="62"/>
      <c r="T251" s="62"/>
      <c r="U251" s="62"/>
      <c r="V251" s="63"/>
      <c r="W251" s="63"/>
      <c r="X251" s="63"/>
      <c r="Y251" s="63"/>
      <c r="Z251" s="63"/>
      <c r="AA251" s="6"/>
      <c r="AB251" s="6"/>
      <c r="AC251" s="6"/>
    </row>
    <row r="252" spans="1:29">
      <c r="A252" s="62"/>
      <c r="B252" s="62"/>
      <c r="C252" s="62"/>
      <c r="D252" s="62"/>
      <c r="E252" s="63"/>
      <c r="F252" s="63"/>
      <c r="G252" s="63"/>
      <c r="H252" s="63"/>
      <c r="I252" s="63"/>
      <c r="J252" s="6"/>
      <c r="K252" s="6"/>
      <c r="L252" s="6"/>
      <c r="M252" s="6"/>
      <c r="N252" s="6"/>
      <c r="O252" s="6"/>
      <c r="P252" s="6"/>
      <c r="Q252" s="6"/>
      <c r="R252" s="62"/>
      <c r="S252" s="62"/>
      <c r="T252" s="62"/>
      <c r="U252" s="62"/>
      <c r="V252" s="63"/>
      <c r="W252" s="63"/>
      <c r="X252" s="63"/>
      <c r="Y252" s="63"/>
      <c r="Z252" s="63"/>
      <c r="AA252" s="6"/>
      <c r="AB252" s="6"/>
      <c r="AC252" s="6"/>
    </row>
    <row r="253" spans="1:29">
      <c r="A253" s="62"/>
      <c r="B253" s="62"/>
      <c r="C253" s="62"/>
      <c r="D253" s="62"/>
      <c r="E253" s="63"/>
      <c r="F253" s="63"/>
      <c r="G253" s="63"/>
      <c r="H253" s="63"/>
      <c r="I253" s="63"/>
      <c r="J253" s="6"/>
      <c r="K253" s="6"/>
      <c r="L253" s="6"/>
      <c r="M253" s="6"/>
      <c r="N253" s="6"/>
      <c r="O253" s="6"/>
      <c r="P253" s="6"/>
      <c r="Q253" s="6"/>
      <c r="R253" s="62"/>
      <c r="S253" s="62"/>
      <c r="T253" s="62"/>
      <c r="U253" s="62"/>
      <c r="V253" s="63"/>
      <c r="W253" s="63"/>
      <c r="X253" s="63"/>
      <c r="Y253" s="63"/>
      <c r="Z253" s="63"/>
      <c r="AA253" s="6"/>
      <c r="AB253" s="6"/>
      <c r="AC253" s="6"/>
    </row>
    <row r="254" spans="1:29">
      <c r="A254" s="62"/>
      <c r="B254" s="62"/>
      <c r="C254" s="62"/>
      <c r="D254" s="62"/>
      <c r="E254" s="63"/>
      <c r="F254" s="63"/>
      <c r="G254" s="63"/>
      <c r="H254" s="63"/>
      <c r="I254" s="63"/>
      <c r="J254" s="6"/>
      <c r="K254" s="6"/>
      <c r="L254" s="6"/>
      <c r="M254" s="6"/>
      <c r="N254" s="6"/>
      <c r="O254" s="6"/>
      <c r="P254" s="6"/>
      <c r="Q254" s="6"/>
      <c r="R254" s="62"/>
      <c r="S254" s="62"/>
      <c r="T254" s="62"/>
      <c r="U254" s="62"/>
      <c r="V254" s="63"/>
      <c r="W254" s="63"/>
      <c r="X254" s="63"/>
      <c r="Y254" s="63"/>
      <c r="Z254" s="63"/>
      <c r="AA254" s="6"/>
      <c r="AB254" s="6"/>
      <c r="AC254" s="6"/>
    </row>
    <row r="255" spans="1:29">
      <c r="A255" s="62"/>
      <c r="B255" s="62"/>
      <c r="C255" s="62"/>
      <c r="D255" s="62"/>
      <c r="E255" s="63"/>
      <c r="F255" s="63"/>
      <c r="G255" s="63"/>
      <c r="H255" s="63"/>
      <c r="I255" s="63"/>
      <c r="J255" s="6"/>
      <c r="K255" s="6"/>
      <c r="L255" s="6"/>
      <c r="M255" s="6"/>
      <c r="N255" s="6"/>
      <c r="O255" s="6"/>
      <c r="P255" s="6"/>
      <c r="Q255" s="6"/>
      <c r="R255" s="62"/>
      <c r="S255" s="62"/>
      <c r="T255" s="62"/>
      <c r="U255" s="62"/>
      <c r="V255" s="63"/>
      <c r="W255" s="63"/>
      <c r="X255" s="63"/>
      <c r="Y255" s="63"/>
      <c r="Z255" s="63"/>
      <c r="AA255" s="6"/>
      <c r="AB255" s="6"/>
      <c r="AC255" s="6"/>
    </row>
    <row r="256" spans="1:29">
      <c r="A256" s="62"/>
      <c r="B256" s="62"/>
      <c r="C256" s="62"/>
      <c r="D256" s="62"/>
      <c r="E256" s="63"/>
      <c r="F256" s="63"/>
      <c r="G256" s="63"/>
      <c r="H256" s="63"/>
      <c r="I256" s="63"/>
      <c r="J256" s="6"/>
      <c r="K256" s="6"/>
      <c r="L256" s="6"/>
      <c r="M256" s="6"/>
      <c r="N256" s="6"/>
      <c r="O256" s="6"/>
      <c r="P256" s="6"/>
      <c r="Q256" s="6"/>
      <c r="R256" s="62"/>
      <c r="S256" s="62"/>
      <c r="T256" s="62"/>
      <c r="U256" s="62"/>
      <c r="V256" s="63"/>
      <c r="W256" s="63"/>
      <c r="X256" s="63"/>
      <c r="Y256" s="63"/>
      <c r="Z256" s="63"/>
      <c r="AA256" s="6"/>
      <c r="AB256" s="6"/>
      <c r="AC256" s="6"/>
    </row>
    <row r="257" spans="1:29">
      <c r="A257" s="62"/>
      <c r="B257" s="62"/>
      <c r="C257" s="62"/>
      <c r="D257" s="62"/>
      <c r="E257" s="63"/>
      <c r="F257" s="63"/>
      <c r="G257" s="63"/>
      <c r="H257" s="63"/>
      <c r="I257" s="63"/>
      <c r="J257" s="6"/>
      <c r="K257" s="6"/>
      <c r="L257" s="6"/>
      <c r="M257" s="6"/>
      <c r="N257" s="6"/>
      <c r="O257" s="6"/>
      <c r="P257" s="6"/>
      <c r="Q257" s="6"/>
      <c r="R257" s="62"/>
      <c r="S257" s="62"/>
      <c r="T257" s="62"/>
      <c r="U257" s="62"/>
      <c r="V257" s="63"/>
      <c r="W257" s="63"/>
      <c r="X257" s="63"/>
      <c r="Y257" s="63"/>
      <c r="Z257" s="63"/>
      <c r="AA257" s="6"/>
      <c r="AB257" s="6"/>
      <c r="AC257" s="6"/>
    </row>
    <row r="258" spans="1:29">
      <c r="A258" s="62"/>
      <c r="B258" s="62"/>
      <c r="C258" s="62"/>
      <c r="D258" s="62"/>
      <c r="E258" s="63"/>
      <c r="F258" s="63"/>
      <c r="G258" s="63"/>
      <c r="H258" s="63"/>
      <c r="I258" s="63"/>
      <c r="J258" s="6"/>
      <c r="K258" s="6"/>
      <c r="L258" s="6"/>
      <c r="M258" s="6"/>
      <c r="N258" s="6"/>
      <c r="O258" s="6"/>
      <c r="P258" s="6"/>
      <c r="Q258" s="6"/>
      <c r="R258" s="62"/>
      <c r="S258" s="62"/>
      <c r="T258" s="62"/>
      <c r="U258" s="62"/>
      <c r="V258" s="63"/>
      <c r="W258" s="63"/>
      <c r="X258" s="63"/>
      <c r="Y258" s="63"/>
      <c r="Z258" s="63"/>
      <c r="AA258" s="6"/>
      <c r="AB258" s="6"/>
      <c r="AC258" s="6"/>
    </row>
    <row r="259" spans="1:29">
      <c r="A259" s="62"/>
      <c r="B259" s="62"/>
      <c r="C259" s="62"/>
      <c r="D259" s="62"/>
      <c r="E259" s="63"/>
      <c r="F259" s="63"/>
      <c r="G259" s="63"/>
      <c r="H259" s="63"/>
      <c r="I259" s="63"/>
      <c r="J259" s="6"/>
      <c r="K259" s="6"/>
      <c r="L259" s="6"/>
      <c r="M259" s="6"/>
      <c r="N259" s="6"/>
      <c r="O259" s="6"/>
      <c r="P259" s="6"/>
      <c r="Q259" s="6"/>
      <c r="R259" s="62"/>
      <c r="S259" s="62"/>
      <c r="T259" s="62"/>
      <c r="U259" s="62"/>
      <c r="V259" s="63"/>
      <c r="W259" s="63"/>
      <c r="X259" s="63"/>
      <c r="Y259" s="63"/>
      <c r="Z259" s="63"/>
      <c r="AA259" s="6"/>
      <c r="AB259" s="6"/>
      <c r="AC259" s="6"/>
    </row>
    <row r="260" spans="1:29">
      <c r="A260" s="62"/>
      <c r="B260" s="62"/>
      <c r="C260" s="62"/>
      <c r="D260" s="62"/>
      <c r="E260" s="63"/>
      <c r="F260" s="63"/>
      <c r="G260" s="63"/>
      <c r="H260" s="63"/>
      <c r="I260" s="63"/>
      <c r="J260" s="6"/>
      <c r="K260" s="6"/>
      <c r="L260" s="6"/>
      <c r="M260" s="6"/>
      <c r="N260" s="6"/>
      <c r="O260" s="6"/>
      <c r="P260" s="6"/>
      <c r="Q260" s="6"/>
      <c r="R260" s="62"/>
      <c r="S260" s="62"/>
      <c r="T260" s="62"/>
      <c r="U260" s="62"/>
      <c r="V260" s="63"/>
      <c r="W260" s="63"/>
      <c r="X260" s="63"/>
      <c r="Y260" s="63"/>
      <c r="Z260" s="63"/>
      <c r="AA260" s="6"/>
      <c r="AB260" s="6"/>
      <c r="AC260" s="6"/>
    </row>
    <row r="261" spans="1:29">
      <c r="A261" s="62"/>
      <c r="B261" s="62"/>
      <c r="C261" s="62"/>
      <c r="D261" s="62"/>
      <c r="E261" s="63"/>
      <c r="F261" s="63"/>
      <c r="G261" s="63"/>
      <c r="H261" s="63"/>
      <c r="I261" s="63"/>
      <c r="J261" s="6"/>
      <c r="K261" s="6"/>
      <c r="L261" s="6"/>
      <c r="M261" s="6"/>
      <c r="N261" s="6"/>
      <c r="O261" s="6"/>
      <c r="P261" s="6"/>
      <c r="Q261" s="6"/>
      <c r="R261" s="62"/>
      <c r="S261" s="62"/>
      <c r="T261" s="62"/>
      <c r="U261" s="62"/>
      <c r="V261" s="63"/>
      <c r="W261" s="63"/>
      <c r="X261" s="63"/>
      <c r="Y261" s="63"/>
      <c r="Z261" s="63"/>
      <c r="AA261" s="6"/>
      <c r="AB261" s="6"/>
      <c r="AC261" s="6"/>
    </row>
    <row r="262" spans="1:29">
      <c r="A262" s="62"/>
      <c r="B262" s="62"/>
      <c r="C262" s="62"/>
      <c r="D262" s="62"/>
      <c r="E262" s="63"/>
      <c r="F262" s="63"/>
      <c r="G262" s="63"/>
      <c r="H262" s="63"/>
      <c r="I262" s="63"/>
      <c r="J262" s="6"/>
      <c r="K262" s="6"/>
      <c r="L262" s="6"/>
      <c r="M262" s="6"/>
      <c r="N262" s="6"/>
      <c r="O262" s="6"/>
      <c r="P262" s="6"/>
      <c r="Q262" s="6"/>
      <c r="R262" s="62"/>
      <c r="S262" s="62"/>
      <c r="T262" s="62"/>
      <c r="U262" s="62"/>
      <c r="V262" s="63"/>
      <c r="W262" s="63"/>
      <c r="X262" s="63"/>
      <c r="Y262" s="63"/>
      <c r="Z262" s="63"/>
      <c r="AA262" s="6"/>
      <c r="AB262" s="6"/>
      <c r="AC262" s="6"/>
    </row>
    <row r="263" spans="1:29">
      <c r="A263" s="62"/>
      <c r="B263" s="62"/>
      <c r="C263" s="62"/>
      <c r="D263" s="62"/>
      <c r="E263" s="63"/>
      <c r="F263" s="63"/>
      <c r="G263" s="63"/>
      <c r="H263" s="63"/>
      <c r="I263" s="63"/>
      <c r="J263" s="6"/>
      <c r="K263" s="6"/>
      <c r="L263" s="6"/>
      <c r="M263" s="6"/>
      <c r="N263" s="6"/>
      <c r="O263" s="6"/>
      <c r="P263" s="6"/>
      <c r="Q263" s="6"/>
      <c r="R263" s="62"/>
      <c r="S263" s="62"/>
      <c r="T263" s="62"/>
      <c r="U263" s="62"/>
      <c r="V263" s="63"/>
      <c r="W263" s="63"/>
      <c r="X263" s="63"/>
      <c r="Y263" s="63"/>
      <c r="Z263" s="63"/>
      <c r="AA263" s="6"/>
      <c r="AB263" s="6"/>
      <c r="AC263" s="6"/>
    </row>
    <row r="264" spans="1:29">
      <c r="A264" s="62"/>
      <c r="B264" s="62"/>
      <c r="C264" s="62"/>
      <c r="D264" s="62"/>
      <c r="E264" s="63"/>
      <c r="F264" s="63"/>
      <c r="G264" s="63"/>
      <c r="H264" s="63"/>
      <c r="I264" s="63"/>
      <c r="J264" s="6"/>
      <c r="K264" s="6"/>
      <c r="L264" s="6"/>
      <c r="M264" s="6"/>
      <c r="N264" s="6"/>
      <c r="O264" s="6"/>
      <c r="P264" s="6"/>
      <c r="Q264" s="6"/>
      <c r="R264" s="62"/>
      <c r="S264" s="62"/>
      <c r="T264" s="62"/>
      <c r="U264" s="62"/>
      <c r="V264" s="63"/>
      <c r="W264" s="63"/>
      <c r="X264" s="63"/>
      <c r="Y264" s="63"/>
      <c r="Z264" s="63"/>
      <c r="AA264" s="6"/>
      <c r="AB264" s="6"/>
      <c r="AC264" s="6"/>
    </row>
    <row r="265" spans="1:29">
      <c r="A265" s="62"/>
      <c r="B265" s="62"/>
      <c r="C265" s="62"/>
      <c r="D265" s="62"/>
      <c r="E265" s="63"/>
      <c r="F265" s="63"/>
      <c r="G265" s="63"/>
      <c r="H265" s="63"/>
      <c r="I265" s="63"/>
      <c r="J265" s="6"/>
      <c r="K265" s="6"/>
      <c r="L265" s="6"/>
      <c r="M265" s="6"/>
      <c r="N265" s="6"/>
      <c r="O265" s="6"/>
      <c r="P265" s="6"/>
      <c r="Q265" s="6"/>
      <c r="R265" s="62"/>
      <c r="S265" s="62"/>
      <c r="T265" s="62"/>
      <c r="U265" s="62"/>
      <c r="V265" s="63"/>
      <c r="W265" s="63"/>
      <c r="X265" s="63"/>
      <c r="Y265" s="63"/>
      <c r="Z265" s="63"/>
      <c r="AA265" s="6"/>
      <c r="AB265" s="6"/>
      <c r="AC265" s="6"/>
    </row>
    <row r="266" spans="1:29">
      <c r="A266" s="62"/>
      <c r="B266" s="62"/>
      <c r="C266" s="62"/>
      <c r="D266" s="62"/>
      <c r="E266" s="63"/>
      <c r="F266" s="63"/>
      <c r="G266" s="63"/>
      <c r="H266" s="63"/>
      <c r="I266" s="63"/>
      <c r="J266" s="6"/>
      <c r="K266" s="6"/>
      <c r="L266" s="6"/>
      <c r="M266" s="6"/>
      <c r="N266" s="6"/>
      <c r="O266" s="6"/>
      <c r="P266" s="6"/>
      <c r="Q266" s="6"/>
      <c r="R266" s="62"/>
      <c r="S266" s="62"/>
      <c r="T266" s="62"/>
      <c r="U266" s="62"/>
      <c r="V266" s="63"/>
      <c r="W266" s="63"/>
      <c r="X266" s="63"/>
      <c r="Y266" s="63"/>
      <c r="Z266" s="63"/>
      <c r="AA266" s="6"/>
      <c r="AB266" s="6"/>
      <c r="AC266" s="6"/>
    </row>
    <row r="267" spans="1:29">
      <c r="A267" s="62"/>
      <c r="B267" s="62"/>
      <c r="C267" s="62"/>
      <c r="D267" s="62"/>
      <c r="E267" s="63"/>
      <c r="F267" s="63"/>
      <c r="G267" s="63"/>
      <c r="H267" s="63"/>
      <c r="I267" s="63"/>
      <c r="J267" s="6"/>
      <c r="K267" s="6"/>
      <c r="L267" s="6"/>
      <c r="M267" s="6"/>
      <c r="N267" s="6"/>
      <c r="O267" s="6"/>
      <c r="P267" s="6"/>
      <c r="Q267" s="6"/>
      <c r="R267" s="62"/>
      <c r="S267" s="62"/>
      <c r="T267" s="62"/>
      <c r="U267" s="62"/>
      <c r="V267" s="63"/>
      <c r="W267" s="63"/>
      <c r="X267" s="63"/>
      <c r="Y267" s="63"/>
      <c r="Z267" s="63"/>
      <c r="AA267" s="6"/>
      <c r="AB267" s="6"/>
      <c r="AC267" s="6"/>
    </row>
    <row r="268" spans="1:29">
      <c r="A268" s="62"/>
      <c r="B268" s="62"/>
      <c r="C268" s="62"/>
      <c r="D268" s="62"/>
      <c r="E268" s="63"/>
      <c r="F268" s="63"/>
      <c r="G268" s="63"/>
      <c r="H268" s="63"/>
      <c r="I268" s="63"/>
      <c r="J268" s="6"/>
      <c r="K268" s="6"/>
      <c r="L268" s="6"/>
      <c r="M268" s="6"/>
      <c r="N268" s="6"/>
      <c r="O268" s="6"/>
      <c r="P268" s="6"/>
      <c r="Q268" s="6"/>
      <c r="R268" s="62"/>
      <c r="S268" s="62"/>
      <c r="T268" s="62"/>
      <c r="U268" s="62"/>
      <c r="V268" s="63"/>
      <c r="W268" s="63"/>
      <c r="X268" s="63"/>
      <c r="Y268" s="63"/>
      <c r="Z268" s="63"/>
      <c r="AA268" s="6"/>
      <c r="AB268" s="6"/>
      <c r="AC268" s="6"/>
    </row>
    <row r="269" spans="1:29">
      <c r="A269" s="62"/>
      <c r="B269" s="62"/>
      <c r="C269" s="62"/>
      <c r="D269" s="62"/>
      <c r="E269" s="63"/>
      <c r="F269" s="63"/>
      <c r="G269" s="63"/>
      <c r="H269" s="63"/>
      <c r="I269" s="63"/>
      <c r="J269" s="6"/>
      <c r="K269" s="6"/>
      <c r="L269" s="6"/>
      <c r="M269" s="6"/>
      <c r="N269" s="6"/>
      <c r="O269" s="6"/>
      <c r="P269" s="6"/>
      <c r="Q269" s="6"/>
      <c r="R269" s="62"/>
      <c r="S269" s="62"/>
      <c r="T269" s="62"/>
      <c r="U269" s="62"/>
      <c r="V269" s="63"/>
      <c r="W269" s="63"/>
      <c r="X269" s="63"/>
      <c r="Y269" s="63"/>
      <c r="Z269" s="63"/>
      <c r="AA269" s="6"/>
      <c r="AB269" s="6"/>
      <c r="AC269" s="6"/>
    </row>
    <row r="270" spans="1:29">
      <c r="A270" s="62"/>
      <c r="B270" s="62"/>
      <c r="C270" s="62"/>
      <c r="D270" s="62"/>
      <c r="E270" s="63"/>
      <c r="F270" s="63"/>
      <c r="G270" s="63"/>
      <c r="H270" s="63"/>
      <c r="I270" s="63"/>
      <c r="J270" s="6"/>
      <c r="K270" s="6"/>
      <c r="L270" s="6"/>
      <c r="M270" s="6"/>
      <c r="N270" s="6"/>
      <c r="O270" s="6"/>
      <c r="P270" s="6"/>
      <c r="Q270" s="6"/>
      <c r="R270" s="62"/>
      <c r="S270" s="62"/>
      <c r="T270" s="62"/>
      <c r="U270" s="62"/>
      <c r="V270" s="63"/>
      <c r="W270" s="63"/>
      <c r="X270" s="63"/>
      <c r="Y270" s="63"/>
      <c r="Z270" s="63"/>
      <c r="AA270" s="6"/>
      <c r="AB270" s="6"/>
      <c r="AC270" s="6"/>
    </row>
    <row r="271" spans="1:29">
      <c r="A271" s="62"/>
      <c r="B271" s="62"/>
      <c r="C271" s="62"/>
      <c r="D271" s="62"/>
      <c r="E271" s="63"/>
      <c r="F271" s="63"/>
      <c r="G271" s="63"/>
      <c r="H271" s="63"/>
      <c r="I271" s="63"/>
      <c r="J271" s="6"/>
      <c r="K271" s="6"/>
      <c r="L271" s="6"/>
      <c r="M271" s="6"/>
      <c r="N271" s="6"/>
      <c r="O271" s="6"/>
      <c r="P271" s="6"/>
      <c r="Q271" s="6"/>
      <c r="R271" s="62"/>
      <c r="S271" s="62"/>
      <c r="T271" s="62"/>
      <c r="U271" s="62"/>
      <c r="V271" s="63"/>
      <c r="W271" s="63"/>
      <c r="X271" s="63"/>
      <c r="Y271" s="63"/>
      <c r="Z271" s="63"/>
      <c r="AA271" s="6"/>
      <c r="AB271" s="6"/>
      <c r="AC271" s="6"/>
    </row>
    <row r="272" spans="1:29">
      <c r="A272" s="62"/>
      <c r="B272" s="62"/>
      <c r="C272" s="62"/>
      <c r="D272" s="62"/>
      <c r="E272" s="63"/>
      <c r="F272" s="63"/>
      <c r="G272" s="63"/>
      <c r="H272" s="63"/>
      <c r="I272" s="63"/>
      <c r="J272" s="6"/>
      <c r="K272" s="6"/>
      <c r="L272" s="6"/>
      <c r="M272" s="6"/>
      <c r="N272" s="6"/>
      <c r="O272" s="6"/>
      <c r="P272" s="6"/>
      <c r="Q272" s="6"/>
      <c r="R272" s="62"/>
      <c r="S272" s="62"/>
      <c r="T272" s="62"/>
      <c r="U272" s="62"/>
      <c r="V272" s="63"/>
      <c r="W272" s="63"/>
      <c r="X272" s="63"/>
      <c r="Y272" s="63"/>
      <c r="Z272" s="63"/>
      <c r="AA272" s="6"/>
      <c r="AB272" s="6"/>
      <c r="AC272" s="6"/>
    </row>
    <row r="273" spans="1:29">
      <c r="A273" s="62"/>
      <c r="B273" s="62"/>
      <c r="C273" s="62"/>
      <c r="D273" s="62"/>
      <c r="E273" s="63"/>
      <c r="F273" s="63"/>
      <c r="G273" s="63"/>
      <c r="H273" s="63"/>
      <c r="I273" s="63"/>
      <c r="J273" s="6"/>
      <c r="K273" s="6"/>
      <c r="L273" s="6"/>
      <c r="M273" s="6"/>
      <c r="N273" s="6"/>
      <c r="O273" s="6"/>
      <c r="P273" s="6"/>
      <c r="Q273" s="6"/>
      <c r="R273" s="62"/>
      <c r="S273" s="62"/>
      <c r="T273" s="62"/>
      <c r="U273" s="62"/>
      <c r="V273" s="63"/>
      <c r="W273" s="63"/>
      <c r="X273" s="63"/>
      <c r="Y273" s="63"/>
      <c r="Z273" s="63"/>
      <c r="AA273" s="6"/>
      <c r="AB273" s="6"/>
      <c r="AC273" s="6"/>
    </row>
    <row r="274" spans="1:29">
      <c r="A274" s="62"/>
      <c r="B274" s="62"/>
      <c r="C274" s="62"/>
      <c r="D274" s="62"/>
      <c r="E274" s="63"/>
      <c r="F274" s="63"/>
      <c r="G274" s="63"/>
      <c r="H274" s="63"/>
      <c r="I274" s="63"/>
      <c r="J274" s="6"/>
      <c r="K274" s="6"/>
      <c r="L274" s="6"/>
      <c r="M274" s="6"/>
      <c r="N274" s="6"/>
      <c r="O274" s="6"/>
      <c r="P274" s="6"/>
      <c r="Q274" s="6"/>
      <c r="R274" s="62"/>
      <c r="S274" s="62"/>
      <c r="T274" s="62"/>
      <c r="U274" s="62"/>
      <c r="V274" s="63"/>
      <c r="W274" s="63"/>
      <c r="X274" s="63"/>
      <c r="Y274" s="63"/>
      <c r="Z274" s="63"/>
      <c r="AA274" s="6"/>
      <c r="AB274" s="6"/>
      <c r="AC274" s="6"/>
    </row>
    <row r="275" spans="1:29">
      <c r="A275" s="62"/>
      <c r="B275" s="62"/>
      <c r="C275" s="62"/>
      <c r="D275" s="62"/>
      <c r="E275" s="63"/>
      <c r="F275" s="63"/>
      <c r="G275" s="63"/>
      <c r="H275" s="63"/>
      <c r="I275" s="63"/>
      <c r="J275" s="6"/>
      <c r="K275" s="6"/>
      <c r="L275" s="6"/>
      <c r="M275" s="6"/>
      <c r="N275" s="6"/>
      <c r="O275" s="6"/>
      <c r="P275" s="6"/>
      <c r="Q275" s="6"/>
      <c r="R275" s="62"/>
      <c r="S275" s="62"/>
      <c r="T275" s="62"/>
      <c r="U275" s="62"/>
      <c r="V275" s="63"/>
      <c r="W275" s="63"/>
      <c r="X275" s="63"/>
      <c r="Y275" s="63"/>
      <c r="Z275" s="63"/>
      <c r="AA275" s="6"/>
      <c r="AB275" s="6"/>
      <c r="AC275" s="6"/>
    </row>
    <row r="276" spans="1:29">
      <c r="A276" s="62"/>
      <c r="B276" s="62"/>
      <c r="C276" s="62"/>
      <c r="D276" s="62"/>
      <c r="E276" s="63"/>
      <c r="F276" s="63"/>
      <c r="G276" s="63"/>
      <c r="H276" s="63"/>
      <c r="I276" s="63"/>
      <c r="J276" s="6"/>
      <c r="K276" s="6"/>
      <c r="L276" s="6"/>
      <c r="M276" s="6"/>
      <c r="N276" s="6"/>
      <c r="O276" s="6"/>
      <c r="P276" s="6"/>
      <c r="Q276" s="6"/>
      <c r="R276" s="62"/>
      <c r="S276" s="62"/>
      <c r="T276" s="62"/>
      <c r="U276" s="62"/>
      <c r="V276" s="63"/>
      <c r="W276" s="63"/>
      <c r="X276" s="63"/>
      <c r="Y276" s="63"/>
      <c r="Z276" s="63"/>
      <c r="AA276" s="6"/>
      <c r="AB276" s="6"/>
      <c r="AC276" s="6"/>
    </row>
    <row r="277" spans="1:29">
      <c r="A277" s="62"/>
      <c r="B277" s="62"/>
      <c r="C277" s="62"/>
      <c r="D277" s="62"/>
      <c r="E277" s="63"/>
      <c r="F277" s="63"/>
      <c r="G277" s="63"/>
      <c r="H277" s="63"/>
      <c r="I277" s="63"/>
      <c r="J277" s="6"/>
      <c r="K277" s="6"/>
      <c r="L277" s="6"/>
      <c r="M277" s="6"/>
      <c r="N277" s="6"/>
      <c r="O277" s="6"/>
      <c r="P277" s="6"/>
      <c r="Q277" s="6"/>
      <c r="R277" s="62"/>
      <c r="S277" s="62"/>
      <c r="T277" s="62"/>
      <c r="U277" s="62"/>
      <c r="V277" s="63"/>
      <c r="W277" s="63"/>
      <c r="X277" s="63"/>
      <c r="Y277" s="63"/>
      <c r="Z277" s="63"/>
      <c r="AA277" s="6"/>
      <c r="AB277" s="6"/>
      <c r="AC277" s="6"/>
    </row>
    <row r="278" spans="1:29">
      <c r="A278" s="62"/>
      <c r="B278" s="62"/>
      <c r="C278" s="62"/>
      <c r="D278" s="62"/>
      <c r="E278" s="63"/>
      <c r="F278" s="63"/>
      <c r="G278" s="63"/>
      <c r="H278" s="63"/>
      <c r="I278" s="63"/>
      <c r="J278" s="6"/>
      <c r="K278" s="6"/>
      <c r="L278" s="6"/>
      <c r="M278" s="6"/>
      <c r="N278" s="6"/>
      <c r="O278" s="6"/>
      <c r="P278" s="6"/>
      <c r="Q278" s="6"/>
      <c r="R278" s="62"/>
      <c r="S278" s="62"/>
      <c r="T278" s="62"/>
      <c r="U278" s="62"/>
      <c r="V278" s="63"/>
      <c r="W278" s="63"/>
      <c r="X278" s="63"/>
      <c r="Y278" s="63"/>
      <c r="Z278" s="63"/>
      <c r="AA278" s="6"/>
      <c r="AB278" s="6"/>
      <c r="AC278" s="6"/>
    </row>
    <row r="279" spans="1:29">
      <c r="A279" s="62"/>
      <c r="B279" s="62"/>
      <c r="C279" s="62"/>
      <c r="D279" s="62"/>
      <c r="E279" s="63"/>
      <c r="F279" s="63"/>
      <c r="G279" s="63"/>
      <c r="H279" s="63"/>
      <c r="I279" s="63"/>
      <c r="J279" s="6"/>
      <c r="K279" s="6"/>
      <c r="L279" s="6"/>
      <c r="M279" s="6"/>
      <c r="N279" s="6"/>
      <c r="O279" s="6"/>
      <c r="P279" s="6"/>
      <c r="Q279" s="6"/>
      <c r="R279" s="62"/>
      <c r="S279" s="62"/>
      <c r="T279" s="62"/>
      <c r="U279" s="62"/>
      <c r="V279" s="63"/>
      <c r="W279" s="63"/>
      <c r="X279" s="63"/>
      <c r="Y279" s="63"/>
      <c r="Z279" s="63"/>
      <c r="AA279" s="6"/>
      <c r="AB279" s="6"/>
      <c r="AC279" s="6"/>
    </row>
    <row r="280" spans="1:29">
      <c r="A280" s="62"/>
      <c r="B280" s="62"/>
      <c r="C280" s="62"/>
      <c r="D280" s="62"/>
      <c r="E280" s="63"/>
      <c r="F280" s="63"/>
      <c r="G280" s="63"/>
      <c r="H280" s="63"/>
      <c r="I280" s="63"/>
      <c r="J280" s="6"/>
      <c r="K280" s="6"/>
      <c r="L280" s="6"/>
      <c r="M280" s="6"/>
      <c r="N280" s="6"/>
      <c r="O280" s="6"/>
      <c r="P280" s="6"/>
      <c r="Q280" s="6"/>
      <c r="R280" s="62"/>
      <c r="S280" s="62"/>
      <c r="T280" s="62"/>
      <c r="U280" s="62"/>
      <c r="V280" s="63"/>
      <c r="W280" s="63"/>
      <c r="X280" s="63"/>
      <c r="Y280" s="63"/>
      <c r="Z280" s="63"/>
      <c r="AA280" s="6"/>
      <c r="AB280" s="6"/>
      <c r="AC280" s="6"/>
    </row>
    <row r="281" spans="1:29">
      <c r="A281" s="62"/>
      <c r="B281" s="62"/>
      <c r="C281" s="62"/>
      <c r="D281" s="62"/>
      <c r="E281" s="63"/>
      <c r="F281" s="63"/>
      <c r="G281" s="63"/>
      <c r="H281" s="63"/>
      <c r="I281" s="63"/>
      <c r="J281" s="6"/>
      <c r="K281" s="6"/>
      <c r="L281" s="6"/>
      <c r="M281" s="6"/>
      <c r="N281" s="6"/>
      <c r="O281" s="6"/>
      <c r="P281" s="6"/>
      <c r="Q281" s="6"/>
      <c r="R281" s="62"/>
      <c r="S281" s="62"/>
      <c r="T281" s="62"/>
      <c r="U281" s="62"/>
      <c r="V281" s="63"/>
      <c r="W281" s="63"/>
      <c r="X281" s="63"/>
      <c r="Y281" s="63"/>
      <c r="Z281" s="63"/>
      <c r="AA281" s="6"/>
      <c r="AB281" s="6"/>
      <c r="AC281" s="6"/>
    </row>
    <row r="282" spans="1:29">
      <c r="A282" s="62"/>
      <c r="B282" s="62"/>
      <c r="C282" s="62"/>
      <c r="D282" s="62"/>
      <c r="E282" s="63"/>
      <c r="F282" s="63"/>
      <c r="G282" s="63"/>
      <c r="H282" s="63"/>
      <c r="I282" s="63"/>
      <c r="J282" s="6"/>
      <c r="K282" s="6"/>
      <c r="L282" s="6"/>
      <c r="M282" s="6"/>
      <c r="N282" s="6"/>
      <c r="O282" s="6"/>
      <c r="P282" s="6"/>
      <c r="Q282" s="6"/>
      <c r="R282" s="62"/>
      <c r="S282" s="62"/>
      <c r="T282" s="62"/>
      <c r="U282" s="62"/>
      <c r="V282" s="63"/>
      <c r="W282" s="63"/>
      <c r="X282" s="63"/>
      <c r="Y282" s="63"/>
      <c r="Z282" s="63"/>
      <c r="AA282" s="6"/>
      <c r="AB282" s="6"/>
      <c r="AC282" s="6"/>
    </row>
    <row r="283" spans="1:29">
      <c r="A283" s="62"/>
      <c r="B283" s="62"/>
      <c r="C283" s="62"/>
      <c r="D283" s="62"/>
      <c r="E283" s="63"/>
      <c r="F283" s="63"/>
      <c r="G283" s="63"/>
      <c r="H283" s="63"/>
      <c r="I283" s="63"/>
      <c r="J283" s="6"/>
      <c r="K283" s="6"/>
      <c r="L283" s="6"/>
      <c r="M283" s="6"/>
      <c r="N283" s="6"/>
      <c r="O283" s="6"/>
      <c r="P283" s="6"/>
      <c r="Q283" s="6"/>
      <c r="R283" s="62"/>
      <c r="S283" s="62"/>
      <c r="T283" s="62"/>
      <c r="U283" s="62"/>
      <c r="V283" s="63"/>
      <c r="W283" s="63"/>
      <c r="X283" s="63"/>
      <c r="Y283" s="63"/>
      <c r="Z283" s="63"/>
      <c r="AA283" s="6"/>
      <c r="AB283" s="6"/>
      <c r="AC283" s="6"/>
    </row>
    <row r="284" spans="1:29">
      <c r="A284" s="62"/>
      <c r="B284" s="62"/>
      <c r="C284" s="62"/>
      <c r="D284" s="62"/>
      <c r="E284" s="63"/>
      <c r="F284" s="63"/>
      <c r="G284" s="63"/>
      <c r="H284" s="63"/>
      <c r="I284" s="63"/>
      <c r="J284" s="6"/>
      <c r="K284" s="6"/>
      <c r="L284" s="6"/>
      <c r="M284" s="6"/>
      <c r="N284" s="6"/>
      <c r="O284" s="6"/>
      <c r="P284" s="6"/>
      <c r="Q284" s="6"/>
      <c r="R284" s="62"/>
      <c r="S284" s="62"/>
      <c r="T284" s="62"/>
      <c r="U284" s="62"/>
      <c r="V284" s="63"/>
      <c r="W284" s="63"/>
      <c r="X284" s="63"/>
      <c r="Y284" s="63"/>
      <c r="Z284" s="63"/>
      <c r="AA284" s="6"/>
      <c r="AB284" s="6"/>
      <c r="AC284" s="6"/>
    </row>
    <row r="285" spans="1:29">
      <c r="A285" s="62"/>
      <c r="B285" s="62"/>
      <c r="C285" s="62"/>
      <c r="D285" s="62"/>
      <c r="E285" s="63"/>
      <c r="F285" s="63"/>
      <c r="G285" s="63"/>
      <c r="H285" s="63"/>
      <c r="I285" s="63"/>
      <c r="J285" s="6"/>
      <c r="K285" s="6"/>
      <c r="L285" s="6"/>
      <c r="M285" s="6"/>
      <c r="N285" s="6"/>
      <c r="O285" s="6"/>
      <c r="P285" s="6"/>
      <c r="Q285" s="6"/>
      <c r="R285" s="62"/>
      <c r="S285" s="62"/>
      <c r="T285" s="62"/>
      <c r="U285" s="62"/>
      <c r="V285" s="63"/>
      <c r="W285" s="63"/>
      <c r="X285" s="63"/>
      <c r="Y285" s="63"/>
      <c r="Z285" s="63"/>
      <c r="AA285" s="6"/>
      <c r="AB285" s="6"/>
      <c r="AC285" s="6"/>
    </row>
    <row r="286" spans="1:29">
      <c r="A286" s="62"/>
      <c r="B286" s="62"/>
      <c r="C286" s="62"/>
      <c r="D286" s="62"/>
      <c r="E286" s="63"/>
      <c r="F286" s="63"/>
      <c r="G286" s="63"/>
      <c r="H286" s="63"/>
      <c r="I286" s="63"/>
      <c r="J286" s="6"/>
      <c r="K286" s="6"/>
      <c r="L286" s="6"/>
      <c r="M286" s="6"/>
      <c r="N286" s="6"/>
      <c r="O286" s="6"/>
      <c r="P286" s="6"/>
      <c r="Q286" s="6"/>
      <c r="R286" s="62"/>
      <c r="S286" s="62"/>
      <c r="T286" s="62"/>
      <c r="U286" s="62"/>
      <c r="V286" s="63"/>
      <c r="W286" s="63"/>
      <c r="X286" s="63"/>
      <c r="Y286" s="63"/>
      <c r="Z286" s="63"/>
      <c r="AA286" s="6"/>
      <c r="AB286" s="6"/>
      <c r="AC286" s="6"/>
    </row>
    <row r="287" spans="1:29">
      <c r="A287" s="62"/>
      <c r="B287" s="62"/>
      <c r="C287" s="62"/>
      <c r="D287" s="62"/>
      <c r="E287" s="63"/>
      <c r="F287" s="63"/>
      <c r="G287" s="63"/>
      <c r="H287" s="63"/>
      <c r="I287" s="63"/>
      <c r="J287" s="6"/>
      <c r="K287" s="6"/>
      <c r="L287" s="6"/>
      <c r="M287" s="6"/>
      <c r="N287" s="6"/>
      <c r="O287" s="6"/>
      <c r="P287" s="6"/>
      <c r="Q287" s="6"/>
      <c r="R287" s="62"/>
      <c r="S287" s="62"/>
      <c r="T287" s="62"/>
      <c r="U287" s="62"/>
      <c r="V287" s="63"/>
      <c r="W287" s="63"/>
      <c r="X287" s="63"/>
      <c r="Y287" s="63"/>
      <c r="Z287" s="63"/>
      <c r="AA287" s="6"/>
      <c r="AB287" s="6"/>
      <c r="AC287" s="6"/>
    </row>
    <row r="288" spans="1:29">
      <c r="A288" s="62"/>
      <c r="B288" s="62"/>
      <c r="C288" s="62"/>
      <c r="D288" s="62"/>
      <c r="E288" s="63"/>
      <c r="F288" s="63"/>
      <c r="G288" s="63"/>
      <c r="H288" s="63"/>
      <c r="I288" s="63"/>
      <c r="J288" s="6"/>
      <c r="K288" s="6"/>
      <c r="L288" s="6"/>
      <c r="M288" s="6"/>
      <c r="N288" s="6"/>
      <c r="O288" s="6"/>
      <c r="P288" s="6"/>
      <c r="Q288" s="6"/>
      <c r="R288" s="62"/>
      <c r="S288" s="62"/>
      <c r="T288" s="62"/>
      <c r="U288" s="62"/>
      <c r="V288" s="63"/>
      <c r="W288" s="63"/>
      <c r="X288" s="63"/>
      <c r="Y288" s="63"/>
      <c r="Z288" s="63"/>
      <c r="AA288" s="6"/>
      <c r="AB288" s="6"/>
      <c r="AC288" s="6"/>
    </row>
    <row r="289" spans="1:29">
      <c r="A289" s="62"/>
      <c r="B289" s="62"/>
      <c r="C289" s="62"/>
      <c r="D289" s="62"/>
      <c r="E289" s="63"/>
      <c r="F289" s="63"/>
      <c r="G289" s="63"/>
      <c r="H289" s="63"/>
      <c r="I289" s="63"/>
      <c r="J289" s="6"/>
      <c r="K289" s="6"/>
      <c r="L289" s="6"/>
      <c r="M289" s="6"/>
      <c r="N289" s="6"/>
      <c r="O289" s="6"/>
      <c r="P289" s="6"/>
      <c r="Q289" s="6"/>
      <c r="R289" s="62"/>
      <c r="S289" s="62"/>
      <c r="T289" s="62"/>
      <c r="U289" s="62"/>
      <c r="V289" s="63"/>
      <c r="W289" s="63"/>
      <c r="X289" s="63"/>
      <c r="Y289" s="63"/>
      <c r="Z289" s="63"/>
      <c r="AA289" s="6"/>
      <c r="AB289" s="6"/>
      <c r="AC289" s="6"/>
    </row>
    <row r="290" spans="1:29">
      <c r="A290" s="62"/>
      <c r="B290" s="62"/>
      <c r="C290" s="62"/>
      <c r="D290" s="62"/>
      <c r="E290" s="63"/>
      <c r="F290" s="63"/>
      <c r="G290" s="63"/>
      <c r="H290" s="63"/>
      <c r="I290" s="63"/>
      <c r="J290" s="6"/>
      <c r="K290" s="6"/>
      <c r="L290" s="6"/>
      <c r="M290" s="6"/>
      <c r="N290" s="6"/>
      <c r="O290" s="6"/>
      <c r="P290" s="6"/>
      <c r="Q290" s="6"/>
      <c r="R290" s="62"/>
      <c r="S290" s="62"/>
      <c r="T290" s="62"/>
      <c r="U290" s="62"/>
      <c r="V290" s="63"/>
      <c r="W290" s="63"/>
      <c r="X290" s="63"/>
      <c r="Y290" s="63"/>
      <c r="Z290" s="63"/>
      <c r="AA290" s="6"/>
      <c r="AB290" s="6"/>
      <c r="AC290" s="6"/>
    </row>
    <row r="291" spans="1:29">
      <c r="A291" s="62"/>
      <c r="B291" s="62"/>
      <c r="C291" s="62"/>
      <c r="D291" s="62"/>
      <c r="E291" s="63"/>
      <c r="F291" s="63"/>
      <c r="G291" s="63"/>
      <c r="H291" s="63"/>
      <c r="I291" s="63"/>
      <c r="J291" s="6"/>
      <c r="K291" s="6"/>
      <c r="L291" s="6"/>
      <c r="M291" s="6"/>
      <c r="N291" s="6"/>
      <c r="O291" s="6"/>
      <c r="P291" s="6"/>
      <c r="Q291" s="6"/>
      <c r="R291" s="62"/>
      <c r="S291" s="62"/>
      <c r="T291" s="62"/>
      <c r="U291" s="62"/>
      <c r="V291" s="63"/>
      <c r="W291" s="63"/>
      <c r="X291" s="63"/>
      <c r="Y291" s="63"/>
      <c r="Z291" s="63"/>
      <c r="AA291" s="6"/>
      <c r="AB291" s="6"/>
      <c r="AC291" s="6"/>
    </row>
    <row r="292" spans="1:29">
      <c r="A292" s="62"/>
      <c r="B292" s="62"/>
      <c r="C292" s="62"/>
      <c r="D292" s="62"/>
      <c r="E292" s="63"/>
      <c r="F292" s="63"/>
      <c r="G292" s="63"/>
      <c r="H292" s="63"/>
      <c r="I292" s="63"/>
      <c r="J292" s="6"/>
      <c r="K292" s="6"/>
      <c r="L292" s="6"/>
      <c r="M292" s="6"/>
      <c r="N292" s="6"/>
      <c r="O292" s="6"/>
      <c r="P292" s="6"/>
      <c r="Q292" s="6"/>
      <c r="R292" s="62"/>
      <c r="S292" s="62"/>
      <c r="T292" s="62"/>
      <c r="U292" s="62"/>
      <c r="V292" s="63"/>
      <c r="W292" s="63"/>
      <c r="X292" s="63"/>
      <c r="Y292" s="63"/>
      <c r="Z292" s="63"/>
      <c r="AA292" s="6"/>
      <c r="AB292" s="6"/>
      <c r="AC292" s="6"/>
    </row>
    <row r="293" spans="1:29">
      <c r="A293" s="62"/>
      <c r="B293" s="62"/>
      <c r="C293" s="62"/>
      <c r="D293" s="62"/>
      <c r="E293" s="63"/>
      <c r="F293" s="63"/>
      <c r="G293" s="63"/>
      <c r="H293" s="63"/>
      <c r="I293" s="63"/>
      <c r="J293" s="6"/>
      <c r="K293" s="6"/>
      <c r="L293" s="6"/>
      <c r="M293" s="6"/>
      <c r="N293" s="6"/>
      <c r="O293" s="6"/>
      <c r="P293" s="6"/>
      <c r="Q293" s="6"/>
      <c r="R293" s="62"/>
      <c r="S293" s="62"/>
      <c r="T293" s="62"/>
      <c r="U293" s="62"/>
      <c r="V293" s="63"/>
      <c r="W293" s="63"/>
      <c r="X293" s="63"/>
      <c r="Y293" s="63"/>
      <c r="Z293" s="63"/>
      <c r="AA293" s="6"/>
      <c r="AB293" s="6"/>
      <c r="AC293" s="6"/>
    </row>
    <row r="294" spans="1:29">
      <c r="A294" s="62"/>
      <c r="B294" s="62"/>
      <c r="C294" s="62"/>
      <c r="D294" s="62"/>
      <c r="E294" s="63"/>
      <c r="F294" s="63"/>
      <c r="G294" s="63"/>
      <c r="H294" s="63"/>
      <c r="I294" s="63"/>
      <c r="J294" s="6"/>
      <c r="K294" s="6"/>
      <c r="L294" s="6"/>
      <c r="M294" s="6"/>
      <c r="N294" s="6"/>
      <c r="O294" s="6"/>
      <c r="P294" s="6"/>
      <c r="Q294" s="6"/>
      <c r="R294" s="62"/>
      <c r="S294" s="62"/>
      <c r="T294" s="62"/>
      <c r="U294" s="62"/>
      <c r="V294" s="63"/>
      <c r="W294" s="63"/>
      <c r="X294" s="63"/>
      <c r="Y294" s="63"/>
      <c r="Z294" s="63"/>
      <c r="AA294" s="6"/>
      <c r="AB294" s="6"/>
      <c r="AC294" s="6"/>
    </row>
    <row r="295" spans="1:29">
      <c r="A295" s="62"/>
      <c r="B295" s="62"/>
      <c r="C295" s="62"/>
      <c r="D295" s="62"/>
      <c r="E295" s="63"/>
      <c r="F295" s="63"/>
      <c r="G295" s="63"/>
      <c r="H295" s="63"/>
      <c r="I295" s="63"/>
      <c r="J295" s="6"/>
      <c r="K295" s="6"/>
      <c r="L295" s="6"/>
      <c r="M295" s="6"/>
      <c r="N295" s="6"/>
      <c r="O295" s="6"/>
      <c r="P295" s="6"/>
      <c r="Q295" s="6"/>
      <c r="R295" s="62"/>
      <c r="S295" s="62"/>
      <c r="T295" s="62"/>
      <c r="U295" s="62"/>
      <c r="V295" s="63"/>
      <c r="W295" s="63"/>
      <c r="X295" s="63"/>
      <c r="Y295" s="63"/>
      <c r="Z295" s="63"/>
      <c r="AA295" s="6"/>
      <c r="AB295" s="6"/>
      <c r="AC295" s="6"/>
    </row>
    <row r="296" spans="1:29">
      <c r="A296" s="62"/>
      <c r="B296" s="62"/>
      <c r="C296" s="62"/>
      <c r="D296" s="62"/>
      <c r="E296" s="63"/>
      <c r="F296" s="63"/>
      <c r="G296" s="63"/>
      <c r="H296" s="63"/>
      <c r="I296" s="63"/>
      <c r="J296" s="6"/>
      <c r="K296" s="6"/>
      <c r="L296" s="6"/>
      <c r="M296" s="6"/>
      <c r="N296" s="6"/>
      <c r="O296" s="6"/>
      <c r="P296" s="6"/>
      <c r="Q296" s="6"/>
      <c r="R296" s="62"/>
      <c r="S296" s="62"/>
      <c r="T296" s="62"/>
      <c r="U296" s="62"/>
      <c r="V296" s="63"/>
      <c r="W296" s="63"/>
      <c r="X296" s="63"/>
      <c r="Y296" s="63"/>
      <c r="Z296" s="63"/>
      <c r="AA296" s="6"/>
      <c r="AB296" s="6"/>
      <c r="AC296" s="6"/>
    </row>
    <row r="297" spans="1:29">
      <c r="A297" s="62"/>
      <c r="B297" s="62"/>
      <c r="C297" s="62"/>
      <c r="D297" s="62"/>
      <c r="E297" s="63"/>
      <c r="F297" s="63"/>
      <c r="G297" s="63"/>
      <c r="H297" s="63"/>
      <c r="I297" s="63"/>
      <c r="J297" s="6"/>
      <c r="K297" s="6"/>
      <c r="L297" s="6"/>
      <c r="M297" s="6"/>
      <c r="N297" s="6"/>
      <c r="O297" s="6"/>
      <c r="P297" s="6"/>
      <c r="Q297" s="6"/>
      <c r="R297" s="62"/>
      <c r="S297" s="62"/>
      <c r="T297" s="62"/>
      <c r="U297" s="62"/>
      <c r="V297" s="63"/>
      <c r="W297" s="63"/>
      <c r="X297" s="63"/>
      <c r="Y297" s="63"/>
      <c r="Z297" s="63"/>
      <c r="AA297" s="6"/>
      <c r="AB297" s="6"/>
      <c r="AC297" s="6"/>
    </row>
    <row r="298" spans="1:29">
      <c r="A298" s="62"/>
      <c r="B298" s="62"/>
      <c r="C298" s="62"/>
      <c r="D298" s="62"/>
      <c r="E298" s="63"/>
      <c r="F298" s="63"/>
      <c r="G298" s="63"/>
      <c r="H298" s="63"/>
      <c r="I298" s="63"/>
      <c r="J298" s="6"/>
      <c r="K298" s="6"/>
      <c r="L298" s="6"/>
      <c r="M298" s="6"/>
      <c r="N298" s="6"/>
      <c r="O298" s="6"/>
      <c r="P298" s="6"/>
      <c r="Q298" s="6"/>
      <c r="R298" s="62"/>
      <c r="S298" s="62"/>
      <c r="T298" s="62"/>
      <c r="U298" s="62"/>
      <c r="V298" s="63"/>
      <c r="W298" s="63"/>
      <c r="X298" s="63"/>
      <c r="Y298" s="63"/>
      <c r="Z298" s="63"/>
      <c r="AA298" s="6"/>
      <c r="AB298" s="6"/>
      <c r="AC298" s="6"/>
    </row>
    <row r="299" spans="1:29">
      <c r="A299" s="62"/>
      <c r="B299" s="62"/>
      <c r="C299" s="62"/>
      <c r="D299" s="62"/>
      <c r="E299" s="63"/>
      <c r="F299" s="63"/>
      <c r="G299" s="63"/>
      <c r="H299" s="63"/>
      <c r="I299" s="63"/>
      <c r="J299" s="6"/>
      <c r="K299" s="6"/>
      <c r="L299" s="6"/>
      <c r="M299" s="6"/>
      <c r="N299" s="6"/>
      <c r="O299" s="6"/>
      <c r="P299" s="6"/>
      <c r="Q299" s="6"/>
      <c r="R299" s="62"/>
      <c r="S299" s="62"/>
      <c r="T299" s="62"/>
      <c r="U299" s="62"/>
      <c r="V299" s="63"/>
      <c r="W299" s="63"/>
      <c r="X299" s="63"/>
      <c r="Y299" s="63"/>
      <c r="Z299" s="63"/>
      <c r="AA299" s="6"/>
      <c r="AB299" s="6"/>
      <c r="AC299" s="6"/>
    </row>
    <row r="300" spans="1:29">
      <c r="A300" s="62"/>
      <c r="B300" s="62"/>
      <c r="C300" s="62"/>
      <c r="D300" s="62"/>
      <c r="E300" s="63"/>
      <c r="F300" s="63"/>
      <c r="G300" s="63"/>
      <c r="H300" s="63"/>
      <c r="I300" s="63"/>
      <c r="J300" s="6"/>
      <c r="K300" s="6"/>
      <c r="L300" s="6"/>
      <c r="M300" s="6"/>
      <c r="N300" s="6"/>
      <c r="O300" s="6"/>
      <c r="P300" s="6"/>
      <c r="Q300" s="6"/>
      <c r="R300" s="62"/>
      <c r="S300" s="62"/>
      <c r="T300" s="62"/>
      <c r="U300" s="62"/>
      <c r="V300" s="63"/>
      <c r="W300" s="63"/>
      <c r="X300" s="63"/>
      <c r="Y300" s="63"/>
      <c r="Z300" s="63"/>
      <c r="AA300" s="6"/>
      <c r="AB300" s="6"/>
      <c r="AC300" s="6"/>
    </row>
    <row r="301" spans="1:29">
      <c r="A301" s="62"/>
      <c r="B301" s="62"/>
      <c r="C301" s="62"/>
      <c r="D301" s="62"/>
      <c r="E301" s="63"/>
      <c r="F301" s="63"/>
      <c r="G301" s="63"/>
      <c r="H301" s="63"/>
      <c r="I301" s="63"/>
      <c r="J301" s="6"/>
      <c r="K301" s="6"/>
      <c r="L301" s="6"/>
      <c r="M301" s="6"/>
      <c r="N301" s="6"/>
      <c r="O301" s="6"/>
      <c r="P301" s="6"/>
      <c r="Q301" s="6"/>
      <c r="R301" s="62"/>
      <c r="S301" s="62"/>
      <c r="T301" s="62"/>
      <c r="U301" s="62"/>
      <c r="V301" s="63"/>
      <c r="W301" s="63"/>
      <c r="X301" s="63"/>
      <c r="Y301" s="63"/>
      <c r="Z301" s="63"/>
      <c r="AA301" s="6"/>
      <c r="AB301" s="6"/>
      <c r="AC301" s="6"/>
    </row>
    <row r="302" spans="1:29">
      <c r="A302" s="62"/>
      <c r="B302" s="62"/>
      <c r="C302" s="62"/>
      <c r="D302" s="62"/>
      <c r="E302" s="63"/>
      <c r="F302" s="63"/>
      <c r="G302" s="63"/>
      <c r="H302" s="63"/>
      <c r="I302" s="63"/>
      <c r="J302" s="6"/>
      <c r="K302" s="6"/>
      <c r="L302" s="6"/>
      <c r="M302" s="6"/>
      <c r="N302" s="6"/>
      <c r="O302" s="6"/>
      <c r="P302" s="6"/>
      <c r="Q302" s="6"/>
      <c r="R302" s="62"/>
      <c r="S302" s="62"/>
      <c r="T302" s="62"/>
      <c r="U302" s="62"/>
      <c r="V302" s="63"/>
      <c r="W302" s="63"/>
      <c r="X302" s="63"/>
      <c r="Y302" s="63"/>
      <c r="Z302" s="63"/>
      <c r="AA302" s="6"/>
      <c r="AB302" s="6"/>
      <c r="AC302" s="6"/>
    </row>
    <row r="303" spans="1:29">
      <c r="A303" s="62"/>
      <c r="B303" s="62"/>
      <c r="C303" s="62"/>
      <c r="D303" s="62"/>
      <c r="E303" s="63"/>
      <c r="F303" s="63"/>
      <c r="G303" s="63"/>
      <c r="H303" s="63"/>
      <c r="I303" s="63"/>
      <c r="J303" s="6"/>
      <c r="K303" s="6"/>
      <c r="L303" s="6"/>
      <c r="M303" s="6"/>
      <c r="N303" s="6"/>
      <c r="O303" s="6"/>
      <c r="P303" s="6"/>
      <c r="Q303" s="6"/>
      <c r="R303" s="62"/>
      <c r="S303" s="62"/>
      <c r="T303" s="62"/>
      <c r="U303" s="62"/>
      <c r="V303" s="63"/>
      <c r="W303" s="63"/>
      <c r="X303" s="63"/>
      <c r="Y303" s="63"/>
      <c r="Z303" s="63"/>
      <c r="AA303" s="6"/>
      <c r="AB303" s="6"/>
      <c r="AC303" s="6"/>
    </row>
    <row r="304" spans="1:29">
      <c r="A304" s="62"/>
      <c r="B304" s="62"/>
      <c r="C304" s="62"/>
      <c r="D304" s="62"/>
      <c r="E304" s="63"/>
      <c r="F304" s="63"/>
      <c r="G304" s="63"/>
      <c r="H304" s="63"/>
      <c r="I304" s="63"/>
      <c r="J304" s="6"/>
      <c r="K304" s="6"/>
      <c r="L304" s="6"/>
      <c r="M304" s="6"/>
      <c r="N304" s="6"/>
      <c r="O304" s="6"/>
      <c r="P304" s="6"/>
      <c r="Q304" s="6"/>
      <c r="R304" s="62"/>
      <c r="S304" s="62"/>
      <c r="T304" s="62"/>
      <c r="U304" s="62"/>
      <c r="V304" s="63"/>
      <c r="W304" s="63"/>
      <c r="X304" s="63"/>
      <c r="Y304" s="63"/>
      <c r="Z304" s="63"/>
      <c r="AA304" s="6"/>
      <c r="AB304" s="6"/>
      <c r="AC304" s="6"/>
    </row>
    <row r="305" spans="1:29">
      <c r="A305" s="62"/>
      <c r="B305" s="62"/>
      <c r="C305" s="62"/>
      <c r="D305" s="62"/>
      <c r="E305" s="63"/>
      <c r="F305" s="63"/>
      <c r="G305" s="63"/>
      <c r="H305" s="63"/>
      <c r="I305" s="63"/>
      <c r="J305" s="6"/>
      <c r="K305" s="6"/>
      <c r="L305" s="6"/>
      <c r="M305" s="6"/>
      <c r="N305" s="6"/>
      <c r="O305" s="6"/>
      <c r="P305" s="6"/>
      <c r="Q305" s="6"/>
      <c r="R305" s="62"/>
      <c r="S305" s="62"/>
      <c r="T305" s="62"/>
      <c r="U305" s="62"/>
      <c r="V305" s="63"/>
      <c r="W305" s="63"/>
      <c r="X305" s="63"/>
      <c r="Y305" s="63"/>
      <c r="Z305" s="63"/>
      <c r="AA305" s="6"/>
      <c r="AB305" s="6"/>
      <c r="AC305" s="6"/>
    </row>
    <row r="306" spans="1:29">
      <c r="A306" s="62"/>
      <c r="B306" s="62"/>
      <c r="C306" s="62"/>
      <c r="D306" s="62"/>
      <c r="E306" s="63"/>
      <c r="F306" s="63"/>
      <c r="G306" s="63"/>
      <c r="H306" s="63"/>
      <c r="I306" s="63"/>
      <c r="J306" s="6"/>
      <c r="K306" s="6"/>
      <c r="L306" s="6"/>
      <c r="M306" s="6"/>
      <c r="N306" s="6"/>
      <c r="O306" s="6"/>
      <c r="P306" s="6"/>
      <c r="Q306" s="6"/>
      <c r="R306" s="62"/>
      <c r="S306" s="62"/>
      <c r="T306" s="62"/>
      <c r="U306" s="62"/>
      <c r="V306" s="63"/>
      <c r="W306" s="63"/>
      <c r="X306" s="63"/>
      <c r="Y306" s="63"/>
      <c r="Z306" s="63"/>
      <c r="AA306" s="6"/>
      <c r="AB306" s="6"/>
      <c r="AC306" s="6"/>
    </row>
    <row r="307" spans="1:29">
      <c r="A307" s="62"/>
      <c r="B307" s="62"/>
      <c r="C307" s="62"/>
      <c r="D307" s="62"/>
      <c r="E307" s="63"/>
      <c r="F307" s="63"/>
      <c r="G307" s="63"/>
      <c r="H307" s="63"/>
      <c r="I307" s="63"/>
      <c r="J307" s="6"/>
      <c r="K307" s="6"/>
      <c r="L307" s="6"/>
      <c r="M307" s="6"/>
      <c r="N307" s="6"/>
      <c r="O307" s="6"/>
      <c r="P307" s="6"/>
      <c r="Q307" s="6"/>
      <c r="R307" s="62"/>
      <c r="S307" s="62"/>
      <c r="T307" s="62"/>
      <c r="U307" s="62"/>
      <c r="V307" s="63"/>
      <c r="W307" s="63"/>
      <c r="X307" s="63"/>
      <c r="Y307" s="63"/>
      <c r="Z307" s="63"/>
      <c r="AA307" s="6"/>
      <c r="AB307" s="6"/>
      <c r="AC307" s="6"/>
    </row>
    <row r="308" spans="1:29">
      <c r="A308" s="62"/>
      <c r="B308" s="62"/>
      <c r="C308" s="62"/>
      <c r="D308" s="62"/>
      <c r="E308" s="63"/>
      <c r="F308" s="63"/>
      <c r="G308" s="63"/>
      <c r="H308" s="63"/>
      <c r="I308" s="63"/>
      <c r="J308" s="6"/>
      <c r="K308" s="6"/>
      <c r="L308" s="6"/>
      <c r="M308" s="6"/>
      <c r="N308" s="6"/>
      <c r="O308" s="6"/>
      <c r="P308" s="6"/>
      <c r="Q308" s="6"/>
      <c r="R308" s="62"/>
      <c r="S308" s="62"/>
      <c r="T308" s="62"/>
      <c r="U308" s="62"/>
      <c r="V308" s="63"/>
      <c r="W308" s="63"/>
      <c r="X308" s="63"/>
      <c r="Y308" s="63"/>
      <c r="Z308" s="63"/>
      <c r="AA308" s="6"/>
      <c r="AB308" s="6"/>
      <c r="AC308" s="6"/>
    </row>
    <row r="309" spans="1:29">
      <c r="A309" s="62"/>
      <c r="B309" s="62"/>
      <c r="C309" s="62"/>
      <c r="D309" s="62"/>
      <c r="E309" s="63"/>
      <c r="F309" s="63"/>
      <c r="G309" s="63"/>
      <c r="H309" s="63"/>
      <c r="I309" s="63"/>
      <c r="J309" s="6"/>
      <c r="K309" s="6"/>
      <c r="L309" s="6"/>
      <c r="M309" s="6"/>
      <c r="N309" s="6"/>
      <c r="O309" s="6"/>
      <c r="P309" s="6"/>
      <c r="Q309" s="6"/>
      <c r="R309" s="62"/>
      <c r="S309" s="62"/>
      <c r="T309" s="62"/>
      <c r="U309" s="62"/>
      <c r="V309" s="63"/>
      <c r="W309" s="63"/>
      <c r="X309" s="63"/>
      <c r="Y309" s="63"/>
      <c r="Z309" s="63"/>
      <c r="AA309" s="6"/>
      <c r="AB309" s="6"/>
      <c r="AC309" s="6"/>
    </row>
    <row r="310" spans="1:29">
      <c r="A310" s="62"/>
      <c r="B310" s="62"/>
      <c r="C310" s="62"/>
      <c r="D310" s="62"/>
      <c r="E310" s="63"/>
      <c r="F310" s="63"/>
      <c r="G310" s="63"/>
      <c r="H310" s="63"/>
      <c r="I310" s="63"/>
      <c r="J310" s="6"/>
      <c r="K310" s="6"/>
      <c r="L310" s="6"/>
      <c r="M310" s="6"/>
      <c r="N310" s="6"/>
      <c r="O310" s="6"/>
      <c r="P310" s="6"/>
      <c r="Q310" s="6"/>
      <c r="R310" s="62"/>
      <c r="S310" s="62"/>
      <c r="T310" s="62"/>
      <c r="U310" s="62"/>
      <c r="V310" s="63"/>
      <c r="W310" s="63"/>
      <c r="X310" s="63"/>
      <c r="Y310" s="63"/>
      <c r="Z310" s="63"/>
      <c r="AA310" s="6"/>
      <c r="AB310" s="6"/>
      <c r="AC310" s="6"/>
    </row>
    <row r="311" spans="1:29">
      <c r="A311" s="62"/>
      <c r="B311" s="62"/>
      <c r="C311" s="62"/>
      <c r="D311" s="62"/>
      <c r="E311" s="63"/>
      <c r="F311" s="63"/>
      <c r="G311" s="63"/>
      <c r="H311" s="63"/>
      <c r="I311" s="63"/>
      <c r="J311" s="6"/>
      <c r="K311" s="6"/>
      <c r="L311" s="6"/>
      <c r="M311" s="6"/>
      <c r="N311" s="6"/>
      <c r="O311" s="6"/>
      <c r="P311" s="6"/>
      <c r="Q311" s="6"/>
      <c r="R311" s="62"/>
      <c r="S311" s="62"/>
      <c r="T311" s="62"/>
      <c r="U311" s="62"/>
      <c r="V311" s="63"/>
      <c r="W311" s="63"/>
      <c r="X311" s="63"/>
      <c r="Y311" s="63"/>
      <c r="Z311" s="63"/>
      <c r="AA311" s="6"/>
      <c r="AB311" s="6"/>
      <c r="AC311" s="6"/>
    </row>
    <row r="312" spans="1:29">
      <c r="A312" s="62"/>
      <c r="B312" s="62"/>
      <c r="C312" s="62"/>
      <c r="D312" s="62"/>
      <c r="E312" s="63"/>
      <c r="F312" s="63"/>
      <c r="G312" s="63"/>
      <c r="H312" s="63"/>
      <c r="I312" s="63"/>
      <c r="J312" s="6"/>
      <c r="K312" s="6"/>
      <c r="L312" s="6"/>
      <c r="M312" s="6"/>
      <c r="N312" s="6"/>
      <c r="O312" s="6"/>
      <c r="P312" s="6"/>
      <c r="Q312" s="6"/>
      <c r="R312" s="62"/>
      <c r="S312" s="62"/>
      <c r="T312" s="62"/>
      <c r="U312" s="62"/>
      <c r="V312" s="63"/>
      <c r="W312" s="63"/>
      <c r="X312" s="63"/>
      <c r="Y312" s="63"/>
      <c r="Z312" s="63"/>
      <c r="AA312" s="6"/>
      <c r="AB312" s="6"/>
      <c r="AC312" s="6"/>
    </row>
    <row r="313" spans="1:29">
      <c r="A313" s="62"/>
      <c r="B313" s="62"/>
      <c r="C313" s="62"/>
      <c r="D313" s="62"/>
      <c r="E313" s="63"/>
      <c r="F313" s="63"/>
      <c r="G313" s="63"/>
      <c r="H313" s="63"/>
      <c r="I313" s="63"/>
      <c r="J313" s="6"/>
      <c r="K313" s="6"/>
      <c r="L313" s="6"/>
      <c r="M313" s="6"/>
      <c r="N313" s="6"/>
      <c r="O313" s="6"/>
      <c r="P313" s="6"/>
      <c r="Q313" s="6"/>
      <c r="R313" s="62"/>
      <c r="S313" s="62"/>
      <c r="T313" s="62"/>
      <c r="U313" s="62"/>
      <c r="V313" s="63"/>
      <c r="W313" s="63"/>
      <c r="X313" s="63"/>
      <c r="Y313" s="63"/>
      <c r="Z313" s="63"/>
      <c r="AA313" s="6"/>
      <c r="AB313" s="6"/>
      <c r="AC313" s="6"/>
    </row>
    <row r="314" spans="1:29">
      <c r="A314" s="62"/>
      <c r="B314" s="62"/>
      <c r="C314" s="62"/>
      <c r="D314" s="62"/>
      <c r="E314" s="63"/>
      <c r="F314" s="63"/>
      <c r="G314" s="63"/>
      <c r="H314" s="63"/>
      <c r="I314" s="63"/>
      <c r="J314" s="6"/>
      <c r="K314" s="6"/>
      <c r="L314" s="6"/>
      <c r="M314" s="6"/>
      <c r="N314" s="6"/>
      <c r="O314" s="6"/>
      <c r="P314" s="6"/>
      <c r="Q314" s="6"/>
      <c r="R314" s="62"/>
      <c r="S314" s="62"/>
      <c r="T314" s="62"/>
      <c r="U314" s="62"/>
      <c r="V314" s="63"/>
      <c r="W314" s="63"/>
      <c r="X314" s="63"/>
      <c r="Y314" s="63"/>
      <c r="Z314" s="63"/>
      <c r="AA314" s="6"/>
      <c r="AB314" s="6"/>
      <c r="AC314" s="6"/>
    </row>
    <row r="315" spans="1:29">
      <c r="A315" s="62"/>
      <c r="B315" s="62"/>
      <c r="C315" s="62"/>
      <c r="D315" s="62"/>
      <c r="E315" s="63"/>
      <c r="F315" s="63"/>
      <c r="G315" s="63"/>
      <c r="H315" s="63"/>
      <c r="I315" s="63"/>
      <c r="J315" s="6"/>
      <c r="K315" s="6"/>
      <c r="L315" s="6"/>
      <c r="M315" s="6"/>
      <c r="N315" s="6"/>
      <c r="O315" s="6"/>
      <c r="P315" s="6"/>
      <c r="Q315" s="6"/>
      <c r="R315" s="62"/>
      <c r="S315" s="62"/>
      <c r="T315" s="62"/>
      <c r="U315" s="62"/>
      <c r="V315" s="63"/>
      <c r="W315" s="63"/>
      <c r="X315" s="63"/>
      <c r="Y315" s="63"/>
      <c r="Z315" s="63"/>
      <c r="AA315" s="6"/>
      <c r="AB315" s="6"/>
      <c r="AC315" s="6"/>
    </row>
    <row r="316" spans="1:29">
      <c r="A316" s="62"/>
      <c r="B316" s="62"/>
      <c r="C316" s="62"/>
      <c r="D316" s="62"/>
      <c r="E316" s="63"/>
      <c r="F316" s="63"/>
      <c r="G316" s="63"/>
      <c r="H316" s="63"/>
      <c r="I316" s="63"/>
      <c r="J316" s="6"/>
      <c r="K316" s="6"/>
      <c r="L316" s="6"/>
      <c r="M316" s="6"/>
      <c r="N316" s="6"/>
      <c r="O316" s="6"/>
      <c r="P316" s="6"/>
      <c r="Q316" s="6"/>
      <c r="R316" s="62"/>
      <c r="S316" s="62"/>
      <c r="T316" s="62"/>
      <c r="U316" s="62"/>
      <c r="V316" s="63"/>
      <c r="W316" s="63"/>
      <c r="X316" s="63"/>
      <c r="Y316" s="63"/>
      <c r="Z316" s="63"/>
      <c r="AA316" s="6"/>
      <c r="AB316" s="6"/>
      <c r="AC316" s="6"/>
    </row>
    <row r="317" spans="1:29">
      <c r="A317" s="62"/>
      <c r="B317" s="62"/>
      <c r="C317" s="62"/>
      <c r="D317" s="62"/>
      <c r="E317" s="63"/>
      <c r="F317" s="63"/>
      <c r="G317" s="63"/>
      <c r="H317" s="63"/>
      <c r="I317" s="63"/>
      <c r="J317" s="6"/>
      <c r="K317" s="6"/>
      <c r="L317" s="6"/>
      <c r="M317" s="6"/>
      <c r="N317" s="6"/>
      <c r="O317" s="6"/>
      <c r="P317" s="6"/>
      <c r="Q317" s="6"/>
      <c r="R317" s="62"/>
      <c r="S317" s="62"/>
      <c r="T317" s="62"/>
      <c r="U317" s="62"/>
      <c r="V317" s="63"/>
      <c r="W317" s="63"/>
      <c r="X317" s="63"/>
      <c r="Y317" s="63"/>
      <c r="Z317" s="63"/>
      <c r="AA317" s="6"/>
      <c r="AB317" s="6"/>
      <c r="AC317" s="6"/>
    </row>
    <row r="318" spans="1:29">
      <c r="A318" s="62"/>
      <c r="B318" s="62"/>
      <c r="C318" s="62"/>
      <c r="D318" s="62"/>
      <c r="E318" s="63"/>
      <c r="F318" s="63"/>
      <c r="G318" s="63"/>
      <c r="H318" s="63"/>
      <c r="I318" s="63"/>
      <c r="J318" s="6"/>
      <c r="K318" s="6"/>
      <c r="L318" s="6"/>
      <c r="M318" s="6"/>
      <c r="N318" s="6"/>
      <c r="O318" s="6"/>
      <c r="P318" s="6"/>
      <c r="Q318" s="6"/>
      <c r="R318" s="62"/>
      <c r="S318" s="62"/>
      <c r="T318" s="62"/>
      <c r="U318" s="62"/>
      <c r="V318" s="63"/>
      <c r="W318" s="63"/>
      <c r="X318" s="63"/>
      <c r="Y318" s="63"/>
      <c r="Z318" s="63"/>
      <c r="AA318" s="6"/>
      <c r="AB318" s="6"/>
      <c r="AC318" s="6"/>
    </row>
    <row r="319" spans="1:29">
      <c r="A319" s="62"/>
      <c r="B319" s="62"/>
      <c r="C319" s="62"/>
      <c r="D319" s="62"/>
      <c r="E319" s="63"/>
      <c r="F319" s="63"/>
      <c r="G319" s="63"/>
      <c r="H319" s="63"/>
      <c r="I319" s="63"/>
      <c r="J319" s="6"/>
      <c r="K319" s="6"/>
      <c r="L319" s="6"/>
      <c r="M319" s="6"/>
      <c r="N319" s="6"/>
      <c r="O319" s="6"/>
      <c r="P319" s="6"/>
      <c r="Q319" s="6"/>
      <c r="R319" s="62"/>
      <c r="S319" s="62"/>
      <c r="T319" s="62"/>
      <c r="U319" s="62"/>
      <c r="V319" s="63"/>
      <c r="W319" s="63"/>
      <c r="X319" s="63"/>
      <c r="Y319" s="63"/>
      <c r="Z319" s="63"/>
      <c r="AA319" s="6"/>
      <c r="AB319" s="6"/>
      <c r="AC319" s="6"/>
    </row>
    <row r="320" spans="1:29">
      <c r="A320" s="62"/>
      <c r="B320" s="62"/>
      <c r="C320" s="62"/>
      <c r="D320" s="62"/>
      <c r="E320" s="63"/>
      <c r="F320" s="63"/>
      <c r="G320" s="63"/>
      <c r="H320" s="63"/>
      <c r="I320" s="63"/>
      <c r="J320" s="6"/>
      <c r="K320" s="6"/>
      <c r="L320" s="6"/>
      <c r="M320" s="6"/>
      <c r="N320" s="6"/>
      <c r="O320" s="6"/>
      <c r="P320" s="6"/>
      <c r="Q320" s="6"/>
      <c r="R320" s="62"/>
      <c r="S320" s="62"/>
      <c r="T320" s="62"/>
      <c r="U320" s="62"/>
      <c r="V320" s="63"/>
      <c r="W320" s="63"/>
      <c r="X320" s="63"/>
      <c r="Y320" s="63"/>
      <c r="Z320" s="63"/>
      <c r="AA320" s="6"/>
      <c r="AB320" s="6"/>
      <c r="AC320" s="6"/>
    </row>
    <row r="321" spans="1:29">
      <c r="A321" s="62"/>
      <c r="B321" s="62"/>
      <c r="C321" s="62"/>
      <c r="D321" s="62"/>
      <c r="E321" s="63"/>
      <c r="F321" s="63"/>
      <c r="G321" s="63"/>
      <c r="H321" s="63"/>
      <c r="I321" s="63"/>
      <c r="J321" s="6"/>
      <c r="K321" s="6"/>
      <c r="L321" s="6"/>
      <c r="M321" s="6"/>
      <c r="N321" s="6"/>
      <c r="O321" s="6"/>
      <c r="P321" s="6"/>
      <c r="Q321" s="6"/>
      <c r="R321" s="62"/>
      <c r="S321" s="62"/>
      <c r="T321" s="62"/>
      <c r="U321" s="62"/>
      <c r="V321" s="63"/>
      <c r="W321" s="63"/>
      <c r="X321" s="63"/>
      <c r="Y321" s="63"/>
      <c r="Z321" s="63"/>
      <c r="AA321" s="6"/>
      <c r="AB321" s="6"/>
      <c r="AC321" s="6"/>
    </row>
    <row r="322" spans="1:29">
      <c r="A322" s="62"/>
      <c r="B322" s="62"/>
      <c r="C322" s="62"/>
      <c r="D322" s="62"/>
      <c r="E322" s="63"/>
      <c r="F322" s="63"/>
      <c r="G322" s="63"/>
      <c r="H322" s="63"/>
      <c r="I322" s="63"/>
      <c r="J322" s="6"/>
      <c r="K322" s="6"/>
      <c r="L322" s="6"/>
      <c r="M322" s="6"/>
      <c r="N322" s="6"/>
      <c r="O322" s="6"/>
      <c r="P322" s="6"/>
      <c r="Q322" s="6"/>
      <c r="R322" s="62"/>
      <c r="S322" s="62"/>
      <c r="T322" s="62"/>
      <c r="U322" s="62"/>
      <c r="V322" s="63"/>
      <c r="W322" s="63"/>
      <c r="X322" s="63"/>
      <c r="Y322" s="63"/>
      <c r="Z322" s="63"/>
      <c r="AA322" s="6"/>
      <c r="AB322" s="6"/>
      <c r="AC322" s="6"/>
    </row>
    <row r="323" spans="1:29">
      <c r="A323" s="62"/>
      <c r="B323" s="62"/>
      <c r="C323" s="62"/>
      <c r="D323" s="62"/>
      <c r="E323" s="63"/>
      <c r="F323" s="63"/>
      <c r="G323" s="63"/>
      <c r="H323" s="63"/>
      <c r="I323" s="63"/>
      <c r="J323" s="6"/>
      <c r="K323" s="6"/>
      <c r="L323" s="6"/>
      <c r="M323" s="6"/>
      <c r="N323" s="6"/>
      <c r="O323" s="6"/>
      <c r="P323" s="6"/>
      <c r="Q323" s="6"/>
      <c r="R323" s="62"/>
      <c r="S323" s="62"/>
      <c r="T323" s="62"/>
      <c r="U323" s="62"/>
      <c r="V323" s="63"/>
      <c r="W323" s="63"/>
      <c r="X323" s="63"/>
      <c r="Y323" s="63"/>
      <c r="Z323" s="63"/>
      <c r="AA323" s="6"/>
      <c r="AB323" s="6"/>
      <c r="AC323" s="6"/>
    </row>
    <row r="324" spans="1:29">
      <c r="A324" s="62"/>
      <c r="B324" s="62"/>
      <c r="C324" s="62"/>
      <c r="D324" s="62"/>
      <c r="E324" s="63"/>
      <c r="F324" s="63"/>
      <c r="G324" s="63"/>
      <c r="H324" s="63"/>
      <c r="I324" s="63"/>
      <c r="J324" s="6"/>
      <c r="K324" s="6"/>
      <c r="L324" s="6"/>
      <c r="M324" s="6"/>
      <c r="N324" s="6"/>
      <c r="O324" s="6"/>
      <c r="P324" s="6"/>
      <c r="Q324" s="6"/>
      <c r="R324" s="62"/>
      <c r="S324" s="62"/>
      <c r="T324" s="62"/>
      <c r="U324" s="62"/>
      <c r="V324" s="63"/>
      <c r="W324" s="63"/>
      <c r="X324" s="63"/>
      <c r="Y324" s="63"/>
      <c r="Z324" s="63"/>
      <c r="AA324" s="6"/>
      <c r="AB324" s="6"/>
      <c r="AC324" s="6"/>
    </row>
    <row r="325" spans="1:29">
      <c r="A325" s="62"/>
      <c r="B325" s="62"/>
      <c r="C325" s="62"/>
      <c r="D325" s="62"/>
      <c r="E325" s="63"/>
      <c r="F325" s="63"/>
      <c r="G325" s="63"/>
      <c r="H325" s="63"/>
      <c r="I325" s="63"/>
      <c r="J325" s="6"/>
      <c r="K325" s="6"/>
      <c r="L325" s="6"/>
      <c r="M325" s="6"/>
      <c r="N325" s="6"/>
      <c r="O325" s="6"/>
      <c r="P325" s="6"/>
      <c r="Q325" s="6"/>
      <c r="R325" s="62"/>
      <c r="S325" s="62"/>
      <c r="T325" s="62"/>
      <c r="U325" s="62"/>
      <c r="V325" s="63"/>
      <c r="W325" s="63"/>
      <c r="X325" s="63"/>
      <c r="Y325" s="63"/>
      <c r="Z325" s="63"/>
      <c r="AA325" s="6"/>
      <c r="AB325" s="6"/>
      <c r="AC325" s="6"/>
    </row>
    <row r="326" spans="1:29">
      <c r="A326" s="62"/>
      <c r="B326" s="62"/>
      <c r="C326" s="62"/>
      <c r="D326" s="62"/>
      <c r="E326" s="63"/>
      <c r="F326" s="63"/>
      <c r="G326" s="63"/>
      <c r="H326" s="63"/>
      <c r="I326" s="63"/>
      <c r="J326" s="6"/>
      <c r="K326" s="6"/>
      <c r="L326" s="6"/>
      <c r="M326" s="6"/>
      <c r="N326" s="6"/>
      <c r="O326" s="6"/>
      <c r="P326" s="6"/>
      <c r="Q326" s="6"/>
      <c r="R326" s="62"/>
      <c r="S326" s="62"/>
      <c r="T326" s="62"/>
      <c r="U326" s="62"/>
      <c r="V326" s="63"/>
      <c r="W326" s="63"/>
      <c r="X326" s="63"/>
      <c r="Y326" s="63"/>
      <c r="Z326" s="63"/>
      <c r="AA326" s="6"/>
      <c r="AB326" s="6"/>
      <c r="AC326" s="6"/>
    </row>
    <row r="327" spans="1:29">
      <c r="A327" s="62"/>
      <c r="B327" s="62"/>
      <c r="C327" s="62"/>
      <c r="D327" s="62"/>
      <c r="E327" s="63"/>
      <c r="F327" s="63"/>
      <c r="G327" s="63"/>
      <c r="H327" s="63"/>
      <c r="I327" s="63"/>
      <c r="J327" s="6"/>
      <c r="K327" s="6"/>
      <c r="L327" s="6"/>
      <c r="M327" s="6"/>
      <c r="N327" s="6"/>
      <c r="O327" s="6"/>
      <c r="P327" s="6"/>
      <c r="Q327" s="6"/>
      <c r="R327" s="62"/>
      <c r="S327" s="62"/>
      <c r="T327" s="62"/>
      <c r="U327" s="62"/>
      <c r="V327" s="63"/>
      <c r="W327" s="63"/>
      <c r="X327" s="63"/>
      <c r="Y327" s="63"/>
      <c r="Z327" s="63"/>
      <c r="AA327" s="6"/>
      <c r="AB327" s="6"/>
      <c r="AC327" s="6"/>
    </row>
    <row r="328" spans="1:29">
      <c r="A328" s="62"/>
      <c r="B328" s="62"/>
      <c r="C328" s="62"/>
      <c r="D328" s="62"/>
      <c r="E328" s="63"/>
      <c r="F328" s="63"/>
      <c r="G328" s="63"/>
      <c r="H328" s="63"/>
      <c r="I328" s="63"/>
      <c r="J328" s="6"/>
      <c r="K328" s="6"/>
      <c r="L328" s="6"/>
      <c r="M328" s="6"/>
      <c r="N328" s="6"/>
      <c r="O328" s="6"/>
      <c r="P328" s="6"/>
      <c r="Q328" s="6"/>
      <c r="R328" s="62"/>
      <c r="S328" s="62"/>
      <c r="T328" s="62"/>
      <c r="U328" s="62"/>
      <c r="V328" s="63"/>
      <c r="W328" s="63"/>
      <c r="X328" s="63"/>
      <c r="Y328" s="63"/>
      <c r="Z328" s="63"/>
      <c r="AA328" s="6"/>
      <c r="AB328" s="6"/>
      <c r="AC328" s="6"/>
    </row>
    <row r="329" spans="1:29">
      <c r="A329" s="62"/>
      <c r="B329" s="62"/>
      <c r="C329" s="62"/>
      <c r="D329" s="62"/>
      <c r="E329" s="63"/>
      <c r="F329" s="63"/>
      <c r="G329" s="63"/>
      <c r="H329" s="63"/>
      <c r="I329" s="63"/>
      <c r="J329" s="6"/>
      <c r="K329" s="6"/>
      <c r="L329" s="6"/>
      <c r="M329" s="6"/>
      <c r="N329" s="6"/>
      <c r="O329" s="6"/>
      <c r="P329" s="6"/>
      <c r="Q329" s="6"/>
      <c r="R329" s="62"/>
      <c r="S329" s="62"/>
      <c r="T329" s="62"/>
      <c r="U329" s="62"/>
      <c r="V329" s="63"/>
      <c r="W329" s="63"/>
      <c r="X329" s="63"/>
      <c r="Y329" s="63"/>
      <c r="Z329" s="63"/>
      <c r="AA329" s="6"/>
      <c r="AB329" s="6"/>
      <c r="AC329" s="6"/>
    </row>
    <row r="330" spans="1:29">
      <c r="A330" s="62"/>
      <c r="B330" s="62"/>
      <c r="C330" s="62"/>
      <c r="D330" s="62"/>
      <c r="E330" s="63"/>
      <c r="F330" s="63"/>
      <c r="G330" s="63"/>
      <c r="H330" s="63"/>
      <c r="I330" s="63"/>
      <c r="J330" s="6"/>
      <c r="K330" s="6"/>
      <c r="L330" s="6"/>
      <c r="M330" s="6"/>
      <c r="N330" s="6"/>
      <c r="O330" s="6"/>
      <c r="P330" s="6"/>
      <c r="Q330" s="6"/>
      <c r="R330" s="62"/>
      <c r="S330" s="62"/>
      <c r="T330" s="62"/>
      <c r="U330" s="62"/>
      <c r="V330" s="63"/>
      <c r="W330" s="63"/>
      <c r="X330" s="63"/>
      <c r="Y330" s="63"/>
      <c r="Z330" s="63"/>
      <c r="AA330" s="6"/>
      <c r="AB330" s="6"/>
      <c r="AC330" s="6"/>
    </row>
    <row r="331" spans="1:29">
      <c r="A331" s="62"/>
      <c r="B331" s="62"/>
      <c r="C331" s="62"/>
      <c r="D331" s="62"/>
      <c r="E331" s="63"/>
      <c r="F331" s="63"/>
      <c r="G331" s="63"/>
      <c r="H331" s="63"/>
      <c r="I331" s="63"/>
      <c r="J331" s="6"/>
      <c r="K331" s="6"/>
      <c r="L331" s="6"/>
      <c r="M331" s="6"/>
      <c r="N331" s="6"/>
      <c r="O331" s="6"/>
      <c r="P331" s="6"/>
      <c r="Q331" s="6"/>
      <c r="R331" s="62"/>
      <c r="S331" s="62"/>
      <c r="T331" s="62"/>
      <c r="U331" s="62"/>
      <c r="V331" s="63"/>
      <c r="W331" s="63"/>
      <c r="X331" s="63"/>
      <c r="Y331" s="63"/>
      <c r="Z331" s="63"/>
      <c r="AA331" s="6"/>
      <c r="AB331" s="6"/>
      <c r="AC331" s="6"/>
    </row>
    <row r="332" spans="1:29">
      <c r="A332" s="62"/>
      <c r="B332" s="62"/>
      <c r="C332" s="62"/>
      <c r="D332" s="62"/>
      <c r="E332" s="63"/>
      <c r="F332" s="63"/>
      <c r="G332" s="63"/>
      <c r="H332" s="63"/>
      <c r="I332" s="63"/>
      <c r="J332" s="6"/>
      <c r="K332" s="6"/>
      <c r="L332" s="6"/>
      <c r="M332" s="6"/>
      <c r="N332" s="6"/>
      <c r="O332" s="6"/>
      <c r="P332" s="6"/>
      <c r="Q332" s="6"/>
      <c r="R332" s="62"/>
      <c r="S332" s="62"/>
      <c r="T332" s="62"/>
      <c r="U332" s="62"/>
      <c r="V332" s="63"/>
      <c r="W332" s="63"/>
      <c r="X332" s="63"/>
      <c r="Y332" s="63"/>
      <c r="Z332" s="63"/>
      <c r="AA332" s="6"/>
      <c r="AB332" s="6"/>
      <c r="AC332" s="6"/>
    </row>
    <row r="333" spans="1:29">
      <c r="A333" s="62"/>
      <c r="B333" s="62"/>
      <c r="C333" s="62"/>
      <c r="D333" s="62"/>
      <c r="E333" s="63"/>
      <c r="F333" s="63"/>
      <c r="G333" s="63"/>
      <c r="H333" s="63"/>
      <c r="I333" s="63"/>
      <c r="J333" s="6"/>
      <c r="K333" s="6"/>
      <c r="L333" s="6"/>
      <c r="M333" s="6"/>
      <c r="N333" s="6"/>
      <c r="O333" s="6"/>
      <c r="P333" s="6"/>
      <c r="Q333" s="6"/>
      <c r="R333" s="62"/>
      <c r="S333" s="62"/>
      <c r="T333" s="62"/>
      <c r="U333" s="62"/>
      <c r="V333" s="63"/>
      <c r="W333" s="63"/>
      <c r="X333" s="63"/>
      <c r="Y333" s="63"/>
      <c r="Z333" s="63"/>
      <c r="AA333" s="6"/>
      <c r="AB333" s="6"/>
      <c r="AC333" s="6"/>
    </row>
    <row r="334" spans="1:29">
      <c r="A334" s="62"/>
      <c r="B334" s="62"/>
      <c r="C334" s="62"/>
      <c r="D334" s="62"/>
      <c r="E334" s="63"/>
      <c r="F334" s="63"/>
      <c r="G334" s="63"/>
      <c r="H334" s="63"/>
      <c r="I334" s="63"/>
      <c r="J334" s="6"/>
      <c r="K334" s="6"/>
      <c r="L334" s="6"/>
      <c r="M334" s="6"/>
      <c r="N334" s="6"/>
      <c r="O334" s="6"/>
      <c r="P334" s="6"/>
      <c r="Q334" s="6"/>
      <c r="R334" s="62"/>
      <c r="S334" s="62"/>
      <c r="T334" s="62"/>
      <c r="U334" s="62"/>
      <c r="V334" s="63"/>
      <c r="W334" s="63"/>
      <c r="X334" s="63"/>
      <c r="Y334" s="63"/>
      <c r="Z334" s="63"/>
      <c r="AA334" s="6"/>
      <c r="AB334" s="6"/>
      <c r="AC334" s="6"/>
    </row>
    <row r="335" spans="1:29">
      <c r="A335" s="62"/>
      <c r="B335" s="62"/>
      <c r="C335" s="62"/>
      <c r="D335" s="62"/>
      <c r="E335" s="63"/>
      <c r="F335" s="63"/>
      <c r="G335" s="63"/>
      <c r="H335" s="63"/>
      <c r="I335" s="63"/>
      <c r="J335" s="6"/>
      <c r="K335" s="6"/>
      <c r="L335" s="6"/>
      <c r="M335" s="6"/>
      <c r="N335" s="6"/>
      <c r="O335" s="6"/>
      <c r="P335" s="6"/>
      <c r="Q335" s="6"/>
      <c r="R335" s="62"/>
      <c r="S335" s="62"/>
      <c r="T335" s="62"/>
      <c r="U335" s="62"/>
      <c r="V335" s="63"/>
      <c r="W335" s="63"/>
      <c r="X335" s="63"/>
      <c r="Y335" s="63"/>
      <c r="Z335" s="63"/>
      <c r="AA335" s="6"/>
      <c r="AB335" s="6"/>
      <c r="AC335" s="6"/>
    </row>
    <row r="336" spans="1:29">
      <c r="A336" s="62"/>
      <c r="B336" s="62"/>
      <c r="C336" s="62"/>
      <c r="D336" s="62"/>
      <c r="E336" s="63"/>
      <c r="F336" s="63"/>
      <c r="G336" s="63"/>
      <c r="H336" s="63"/>
      <c r="I336" s="63"/>
      <c r="J336" s="6"/>
      <c r="K336" s="6"/>
      <c r="L336" s="6"/>
      <c r="M336" s="6"/>
      <c r="N336" s="6"/>
      <c r="O336" s="6"/>
      <c r="P336" s="6"/>
      <c r="Q336" s="6"/>
      <c r="R336" s="62"/>
      <c r="S336" s="62"/>
      <c r="T336" s="62"/>
      <c r="U336" s="62"/>
      <c r="V336" s="63"/>
      <c r="W336" s="63"/>
      <c r="X336" s="63"/>
      <c r="Y336" s="63"/>
      <c r="Z336" s="63"/>
      <c r="AA336" s="6"/>
      <c r="AB336" s="6"/>
      <c r="AC336" s="6"/>
    </row>
    <row r="337" spans="1:29">
      <c r="A337" s="62"/>
      <c r="B337" s="62"/>
      <c r="C337" s="62"/>
      <c r="D337" s="62"/>
      <c r="E337" s="63"/>
      <c r="F337" s="63"/>
      <c r="G337" s="63"/>
      <c r="H337" s="63"/>
      <c r="I337" s="63"/>
      <c r="J337" s="6"/>
      <c r="K337" s="6"/>
      <c r="L337" s="6"/>
      <c r="M337" s="6"/>
      <c r="N337" s="6"/>
      <c r="O337" s="6"/>
      <c r="P337" s="6"/>
      <c r="Q337" s="6"/>
      <c r="R337" s="62"/>
      <c r="S337" s="62"/>
      <c r="T337" s="62"/>
      <c r="U337" s="62"/>
      <c r="V337" s="63"/>
      <c r="W337" s="63"/>
      <c r="X337" s="63"/>
      <c r="Y337" s="63"/>
      <c r="Z337" s="63"/>
      <c r="AA337" s="6"/>
      <c r="AB337" s="6"/>
      <c r="AC337" s="6"/>
    </row>
    <row r="338" spans="1:29">
      <c r="A338" s="62"/>
      <c r="B338" s="62"/>
      <c r="C338" s="62"/>
      <c r="D338" s="62"/>
      <c r="E338" s="63"/>
      <c r="F338" s="63"/>
      <c r="G338" s="63"/>
      <c r="H338" s="63"/>
      <c r="I338" s="63"/>
      <c r="J338" s="6"/>
      <c r="K338" s="6"/>
      <c r="L338" s="6"/>
      <c r="M338" s="6"/>
      <c r="N338" s="6"/>
      <c r="O338" s="6"/>
      <c r="P338" s="6"/>
      <c r="Q338" s="6"/>
      <c r="R338" s="62"/>
      <c r="S338" s="62"/>
      <c r="T338" s="62"/>
      <c r="U338" s="62"/>
      <c r="V338" s="63"/>
      <c r="W338" s="63"/>
      <c r="X338" s="63"/>
      <c r="Y338" s="63"/>
      <c r="Z338" s="63"/>
      <c r="AA338" s="6"/>
      <c r="AB338" s="6"/>
      <c r="AC338" s="6"/>
    </row>
    <row r="339" spans="1:29">
      <c r="A339" s="62"/>
      <c r="B339" s="62"/>
      <c r="C339" s="62"/>
      <c r="D339" s="62"/>
      <c r="E339" s="63"/>
      <c r="F339" s="63"/>
      <c r="G339" s="63"/>
      <c r="H339" s="63"/>
      <c r="I339" s="63"/>
      <c r="J339" s="6"/>
      <c r="K339" s="6"/>
      <c r="L339" s="6"/>
      <c r="M339" s="6"/>
      <c r="N339" s="6"/>
      <c r="O339" s="6"/>
      <c r="P339" s="6"/>
      <c r="Q339" s="6"/>
      <c r="R339" s="62"/>
      <c r="S339" s="62"/>
      <c r="T339" s="62"/>
      <c r="U339" s="62"/>
      <c r="V339" s="63"/>
      <c r="W339" s="63"/>
      <c r="X339" s="63"/>
      <c r="Y339" s="63"/>
      <c r="Z339" s="63"/>
      <c r="AA339" s="6"/>
      <c r="AB339" s="6"/>
      <c r="AC339" s="6"/>
    </row>
    <row r="340" spans="1:29">
      <c r="A340" s="62"/>
      <c r="B340" s="62"/>
      <c r="C340" s="62"/>
      <c r="D340" s="62"/>
      <c r="E340" s="63"/>
      <c r="F340" s="63"/>
      <c r="G340" s="63"/>
      <c r="H340" s="63"/>
      <c r="I340" s="63"/>
      <c r="J340" s="6"/>
      <c r="K340" s="6"/>
      <c r="L340" s="6"/>
      <c r="M340" s="6"/>
      <c r="N340" s="6"/>
      <c r="O340" s="6"/>
      <c r="P340" s="6"/>
      <c r="Q340" s="6"/>
      <c r="R340" s="62"/>
      <c r="S340" s="62"/>
      <c r="T340" s="62"/>
      <c r="U340" s="62"/>
      <c r="V340" s="63"/>
      <c r="W340" s="63"/>
      <c r="X340" s="63"/>
      <c r="Y340" s="63"/>
      <c r="Z340" s="63"/>
      <c r="AA340" s="6"/>
      <c r="AB340" s="6"/>
      <c r="AC340" s="6"/>
    </row>
    <row r="341" spans="1:29">
      <c r="A341" s="62"/>
      <c r="B341" s="62"/>
      <c r="C341" s="62"/>
      <c r="D341" s="62"/>
      <c r="E341" s="63"/>
      <c r="F341" s="63"/>
      <c r="G341" s="63"/>
      <c r="H341" s="63"/>
      <c r="I341" s="63"/>
      <c r="J341" s="6"/>
      <c r="K341" s="6"/>
      <c r="L341" s="6"/>
      <c r="M341" s="6"/>
      <c r="N341" s="6"/>
      <c r="O341" s="6"/>
      <c r="P341" s="6"/>
      <c r="Q341" s="6"/>
      <c r="R341" s="62"/>
      <c r="S341" s="62"/>
      <c r="T341" s="62"/>
      <c r="U341" s="62"/>
      <c r="V341" s="63"/>
      <c r="W341" s="63"/>
      <c r="X341" s="63"/>
      <c r="Y341" s="63"/>
      <c r="Z341" s="63"/>
      <c r="AA341" s="6"/>
      <c r="AB341" s="6"/>
      <c r="AC341" s="6"/>
    </row>
    <row r="342" spans="1:29">
      <c r="A342" s="62"/>
      <c r="B342" s="62"/>
      <c r="C342" s="62"/>
      <c r="D342" s="62"/>
      <c r="E342" s="63"/>
      <c r="F342" s="63"/>
      <c r="G342" s="63"/>
      <c r="H342" s="63"/>
      <c r="I342" s="63"/>
      <c r="J342" s="6"/>
      <c r="K342" s="6"/>
      <c r="L342" s="6"/>
      <c r="M342" s="6"/>
      <c r="N342" s="6"/>
      <c r="O342" s="6"/>
      <c r="P342" s="6"/>
      <c r="Q342" s="6"/>
      <c r="R342" s="62"/>
      <c r="S342" s="62"/>
      <c r="T342" s="62"/>
      <c r="U342" s="62"/>
      <c r="V342" s="63"/>
      <c r="W342" s="63"/>
      <c r="X342" s="63"/>
      <c r="Y342" s="63"/>
      <c r="Z342" s="63"/>
      <c r="AA342" s="6"/>
      <c r="AB342" s="6"/>
      <c r="AC342" s="6"/>
    </row>
    <row r="343" spans="1:29">
      <c r="A343" s="62"/>
      <c r="B343" s="62"/>
      <c r="C343" s="62"/>
      <c r="D343" s="62"/>
      <c r="E343" s="63"/>
      <c r="F343" s="63"/>
      <c r="G343" s="63"/>
      <c r="H343" s="63"/>
      <c r="I343" s="63"/>
      <c r="J343" s="6"/>
      <c r="K343" s="6"/>
      <c r="L343" s="6"/>
      <c r="M343" s="6"/>
      <c r="N343" s="6"/>
      <c r="O343" s="6"/>
      <c r="P343" s="6"/>
      <c r="Q343" s="6"/>
      <c r="R343" s="62"/>
      <c r="S343" s="62"/>
      <c r="T343" s="62"/>
      <c r="U343" s="62"/>
      <c r="V343" s="63"/>
      <c r="W343" s="63"/>
      <c r="X343" s="63"/>
      <c r="Y343" s="63"/>
      <c r="Z343" s="63"/>
      <c r="AA343" s="6"/>
      <c r="AB343" s="6"/>
      <c r="AC343" s="6"/>
    </row>
    <row r="344" spans="1:29">
      <c r="A344" s="62"/>
      <c r="B344" s="62"/>
      <c r="C344" s="62"/>
      <c r="D344" s="62"/>
      <c r="E344" s="63"/>
      <c r="F344" s="63"/>
      <c r="G344" s="63"/>
      <c r="H344" s="63"/>
      <c r="I344" s="63"/>
      <c r="J344" s="6"/>
      <c r="K344" s="6"/>
      <c r="L344" s="6"/>
      <c r="M344" s="6"/>
      <c r="N344" s="6"/>
      <c r="O344" s="6"/>
      <c r="P344" s="6"/>
      <c r="Q344" s="6"/>
      <c r="R344" s="62"/>
      <c r="S344" s="62"/>
      <c r="T344" s="62"/>
      <c r="U344" s="62"/>
      <c r="V344" s="63"/>
      <c r="W344" s="63"/>
      <c r="X344" s="63"/>
      <c r="Y344" s="63"/>
      <c r="Z344" s="63"/>
      <c r="AA344" s="6"/>
      <c r="AB344" s="6"/>
      <c r="AC344" s="6"/>
    </row>
    <row r="345" spans="1:29">
      <c r="A345" s="62"/>
      <c r="B345" s="62"/>
      <c r="C345" s="62"/>
      <c r="D345" s="62"/>
      <c r="E345" s="63"/>
      <c r="F345" s="63"/>
      <c r="G345" s="63"/>
      <c r="H345" s="63"/>
      <c r="I345" s="63"/>
      <c r="J345" s="6"/>
      <c r="K345" s="6"/>
      <c r="L345" s="6"/>
      <c r="M345" s="6"/>
      <c r="N345" s="6"/>
      <c r="O345" s="6"/>
      <c r="P345" s="6"/>
      <c r="Q345" s="6"/>
      <c r="R345" s="62"/>
      <c r="S345" s="62"/>
      <c r="T345" s="62"/>
      <c r="U345" s="62"/>
      <c r="V345" s="63"/>
      <c r="W345" s="63"/>
      <c r="X345" s="63"/>
      <c r="Y345" s="63"/>
      <c r="Z345" s="63"/>
      <c r="AA345" s="6"/>
      <c r="AB345" s="6"/>
      <c r="AC345" s="6"/>
    </row>
    <row r="346" spans="1:29">
      <c r="A346" s="62"/>
      <c r="B346" s="62"/>
      <c r="C346" s="62"/>
      <c r="D346" s="62"/>
      <c r="E346" s="63"/>
      <c r="F346" s="63"/>
      <c r="G346" s="63"/>
      <c r="H346" s="63"/>
      <c r="I346" s="63"/>
      <c r="J346" s="6"/>
      <c r="K346" s="6"/>
      <c r="L346" s="6"/>
      <c r="M346" s="6"/>
      <c r="N346" s="6"/>
      <c r="O346" s="6"/>
      <c r="P346" s="6"/>
      <c r="Q346" s="6"/>
      <c r="R346" s="62"/>
      <c r="S346" s="62"/>
      <c r="T346" s="62"/>
      <c r="U346" s="62"/>
      <c r="V346" s="63"/>
      <c r="W346" s="63"/>
      <c r="X346" s="63"/>
      <c r="Y346" s="63"/>
      <c r="Z346" s="63"/>
      <c r="AA346" s="6"/>
      <c r="AB346" s="6"/>
      <c r="AC346" s="6"/>
    </row>
    <row r="347" spans="1:29">
      <c r="A347" s="62"/>
      <c r="B347" s="62"/>
      <c r="C347" s="62"/>
      <c r="D347" s="62"/>
      <c r="E347" s="63"/>
      <c r="F347" s="63"/>
      <c r="G347" s="63"/>
      <c r="H347" s="63"/>
      <c r="I347" s="63"/>
      <c r="J347" s="6"/>
      <c r="K347" s="6"/>
      <c r="L347" s="6"/>
      <c r="M347" s="6"/>
      <c r="N347" s="6"/>
      <c r="O347" s="6"/>
      <c r="P347" s="6"/>
      <c r="Q347" s="6"/>
      <c r="R347" s="62"/>
      <c r="S347" s="62"/>
      <c r="T347" s="62"/>
      <c r="U347" s="62"/>
      <c r="V347" s="63"/>
      <c r="W347" s="63"/>
      <c r="X347" s="63"/>
      <c r="Y347" s="63"/>
      <c r="Z347" s="63"/>
      <c r="AA347" s="6"/>
      <c r="AB347" s="6"/>
      <c r="AC347" s="6"/>
    </row>
    <row r="348" spans="1:29">
      <c r="A348" s="62"/>
      <c r="B348" s="62"/>
      <c r="C348" s="62"/>
      <c r="D348" s="62"/>
      <c r="E348" s="63"/>
      <c r="F348" s="63"/>
      <c r="G348" s="63"/>
      <c r="H348" s="63"/>
      <c r="I348" s="63"/>
      <c r="J348" s="6"/>
      <c r="K348" s="6"/>
      <c r="L348" s="6"/>
      <c r="M348" s="6"/>
      <c r="N348" s="6"/>
      <c r="O348" s="6"/>
      <c r="P348" s="6"/>
      <c r="Q348" s="6"/>
      <c r="R348" s="62"/>
      <c r="S348" s="62"/>
      <c r="T348" s="62"/>
      <c r="U348" s="62"/>
      <c r="V348" s="63"/>
      <c r="W348" s="63"/>
      <c r="X348" s="63"/>
      <c r="Y348" s="63"/>
      <c r="Z348" s="63"/>
      <c r="AA348" s="6"/>
      <c r="AB348" s="6"/>
      <c r="AC348" s="6"/>
    </row>
    <row r="349" spans="1:29">
      <c r="A349" s="62"/>
      <c r="B349" s="62"/>
      <c r="C349" s="62"/>
      <c r="D349" s="62"/>
      <c r="E349" s="63"/>
      <c r="F349" s="63"/>
      <c r="G349" s="63"/>
      <c r="H349" s="63"/>
      <c r="I349" s="63"/>
      <c r="J349" s="6"/>
      <c r="K349" s="6"/>
      <c r="L349" s="6"/>
      <c r="M349" s="6"/>
      <c r="N349" s="6"/>
      <c r="O349" s="6"/>
      <c r="P349" s="6"/>
      <c r="Q349" s="6"/>
      <c r="R349" s="62"/>
      <c r="S349" s="62"/>
      <c r="T349" s="62"/>
      <c r="U349" s="62"/>
      <c r="V349" s="63"/>
      <c r="W349" s="63"/>
      <c r="X349" s="63"/>
      <c r="Y349" s="63"/>
      <c r="Z349" s="63"/>
      <c r="AA349" s="6"/>
      <c r="AB349" s="6"/>
      <c r="AC349" s="6"/>
    </row>
    <row r="350" spans="1:29">
      <c r="A350" s="62"/>
      <c r="B350" s="62"/>
      <c r="C350" s="62"/>
      <c r="D350" s="62"/>
      <c r="E350" s="63"/>
      <c r="F350" s="63"/>
      <c r="G350" s="63"/>
      <c r="H350" s="63"/>
      <c r="I350" s="63"/>
      <c r="J350" s="6"/>
      <c r="K350" s="6"/>
      <c r="L350" s="6"/>
      <c r="M350" s="6"/>
      <c r="N350" s="6"/>
      <c r="O350" s="6"/>
      <c r="P350" s="6"/>
      <c r="Q350" s="6"/>
      <c r="R350" s="62"/>
      <c r="S350" s="62"/>
      <c r="T350" s="62"/>
      <c r="U350" s="62"/>
      <c r="V350" s="63"/>
      <c r="W350" s="63"/>
      <c r="X350" s="63"/>
      <c r="Y350" s="63"/>
      <c r="Z350" s="63"/>
      <c r="AA350" s="6"/>
      <c r="AB350" s="6"/>
      <c r="AC350" s="6"/>
    </row>
    <row r="351" spans="1:29">
      <c r="A351" s="62"/>
      <c r="B351" s="62"/>
      <c r="C351" s="62"/>
      <c r="D351" s="62"/>
      <c r="E351" s="63"/>
      <c r="F351" s="63"/>
      <c r="G351" s="63"/>
      <c r="H351" s="63"/>
      <c r="I351" s="63"/>
      <c r="J351" s="6"/>
      <c r="K351" s="6"/>
      <c r="L351" s="6"/>
      <c r="M351" s="6"/>
      <c r="N351" s="6"/>
      <c r="O351" s="6"/>
      <c r="P351" s="6"/>
      <c r="Q351" s="6"/>
      <c r="R351" s="62"/>
      <c r="S351" s="62"/>
      <c r="T351" s="62"/>
      <c r="U351" s="62"/>
      <c r="V351" s="63"/>
      <c r="W351" s="63"/>
      <c r="X351" s="63"/>
      <c r="Y351" s="63"/>
      <c r="Z351" s="63"/>
      <c r="AA351" s="6"/>
      <c r="AB351" s="6"/>
      <c r="AC351" s="6"/>
    </row>
    <row r="352" spans="1:29">
      <c r="A352" s="62"/>
      <c r="B352" s="62"/>
      <c r="C352" s="62"/>
      <c r="D352" s="62"/>
      <c r="E352" s="63"/>
      <c r="F352" s="63"/>
      <c r="G352" s="63"/>
      <c r="H352" s="63"/>
      <c r="I352" s="63"/>
      <c r="J352" s="6"/>
      <c r="K352" s="6"/>
      <c r="L352" s="6"/>
      <c r="M352" s="6"/>
      <c r="N352" s="6"/>
      <c r="O352" s="6"/>
      <c r="P352" s="6"/>
      <c r="Q352" s="6"/>
      <c r="R352" s="62"/>
      <c r="S352" s="62"/>
      <c r="T352" s="62"/>
      <c r="U352" s="62"/>
      <c r="V352" s="63"/>
      <c r="W352" s="63"/>
      <c r="X352" s="63"/>
      <c r="Y352" s="63"/>
      <c r="Z352" s="63"/>
      <c r="AA352" s="6"/>
      <c r="AB352" s="6"/>
      <c r="AC352" s="6"/>
    </row>
    <row r="353" spans="1:29">
      <c r="A353" s="62"/>
      <c r="B353" s="62"/>
      <c r="C353" s="62"/>
      <c r="D353" s="62"/>
      <c r="E353" s="63"/>
      <c r="F353" s="63"/>
      <c r="G353" s="63"/>
      <c r="H353" s="63"/>
      <c r="I353" s="63"/>
      <c r="J353" s="6"/>
      <c r="K353" s="6"/>
      <c r="L353" s="6"/>
      <c r="M353" s="6"/>
      <c r="N353" s="6"/>
      <c r="O353" s="6"/>
      <c r="P353" s="6"/>
      <c r="Q353" s="6"/>
      <c r="R353" s="62"/>
      <c r="S353" s="62"/>
      <c r="T353" s="62"/>
      <c r="U353" s="62"/>
      <c r="V353" s="63"/>
      <c r="W353" s="63"/>
      <c r="X353" s="63"/>
      <c r="Y353" s="63"/>
      <c r="Z353" s="63"/>
      <c r="AA353" s="6"/>
      <c r="AB353" s="6"/>
      <c r="AC353" s="6"/>
    </row>
    <row r="354" spans="1:29">
      <c r="A354" s="62"/>
      <c r="B354" s="62"/>
      <c r="C354" s="62"/>
      <c r="D354" s="62"/>
      <c r="E354" s="63"/>
      <c r="F354" s="63"/>
      <c r="G354" s="63"/>
      <c r="H354" s="63"/>
      <c r="I354" s="63"/>
      <c r="J354" s="6"/>
      <c r="K354" s="6"/>
      <c r="L354" s="6"/>
      <c r="M354" s="6"/>
      <c r="N354" s="6"/>
      <c r="O354" s="6"/>
      <c r="P354" s="6"/>
      <c r="Q354" s="6"/>
      <c r="R354" s="62"/>
      <c r="S354" s="62"/>
      <c r="T354" s="62"/>
      <c r="U354" s="62"/>
      <c r="V354" s="63"/>
      <c r="W354" s="63"/>
      <c r="X354" s="63"/>
      <c r="Y354" s="63"/>
      <c r="Z354" s="63"/>
      <c r="AA354" s="6"/>
      <c r="AB354" s="6"/>
      <c r="AC354" s="6"/>
    </row>
    <row r="355" spans="1:29">
      <c r="A355" s="62"/>
      <c r="B355" s="62"/>
      <c r="C355" s="62"/>
      <c r="D355" s="62"/>
      <c r="E355" s="63"/>
      <c r="F355" s="63"/>
      <c r="G355" s="63"/>
      <c r="H355" s="63"/>
      <c r="I355" s="63"/>
      <c r="J355" s="6"/>
      <c r="K355" s="6"/>
      <c r="L355" s="6"/>
      <c r="M355" s="6"/>
      <c r="N355" s="6"/>
      <c r="O355" s="6"/>
      <c r="P355" s="6"/>
      <c r="Q355" s="6"/>
      <c r="R355" s="62"/>
      <c r="S355" s="62"/>
      <c r="T355" s="62"/>
      <c r="U355" s="62"/>
      <c r="V355" s="63"/>
      <c r="W355" s="63"/>
      <c r="X355" s="63"/>
      <c r="Y355" s="63"/>
      <c r="Z355" s="63"/>
      <c r="AA355" s="6"/>
      <c r="AB355" s="6"/>
      <c r="AC355" s="6"/>
    </row>
    <row r="356" spans="1:29">
      <c r="A356" s="62"/>
      <c r="B356" s="62"/>
      <c r="C356" s="62"/>
      <c r="D356" s="62"/>
      <c r="E356" s="63"/>
      <c r="F356" s="63"/>
      <c r="G356" s="63"/>
      <c r="H356" s="63"/>
      <c r="I356" s="63"/>
      <c r="J356" s="6"/>
      <c r="K356" s="6"/>
      <c r="L356" s="6"/>
      <c r="M356" s="6"/>
      <c r="N356" s="6"/>
      <c r="O356" s="6"/>
      <c r="P356" s="6"/>
      <c r="Q356" s="6"/>
      <c r="R356" s="62"/>
      <c r="S356" s="62"/>
      <c r="T356" s="62"/>
      <c r="U356" s="62"/>
      <c r="V356" s="63"/>
      <c r="W356" s="63"/>
      <c r="X356" s="63"/>
      <c r="Y356" s="63"/>
      <c r="Z356" s="63"/>
      <c r="AA356" s="6"/>
      <c r="AB356" s="6"/>
      <c r="AC356" s="6"/>
    </row>
    <row r="357" spans="1:29">
      <c r="A357" s="62"/>
      <c r="B357" s="62"/>
      <c r="C357" s="62"/>
      <c r="D357" s="62"/>
      <c r="E357" s="63"/>
      <c r="F357" s="63"/>
      <c r="G357" s="63"/>
      <c r="H357" s="63"/>
      <c r="I357" s="63"/>
      <c r="J357" s="6"/>
      <c r="K357" s="6"/>
      <c r="L357" s="6"/>
      <c r="M357" s="6"/>
      <c r="N357" s="6"/>
      <c r="O357" s="6"/>
      <c r="P357" s="6"/>
      <c r="Q357" s="6"/>
      <c r="R357" s="62"/>
      <c r="S357" s="62"/>
      <c r="T357" s="62"/>
      <c r="U357" s="62"/>
      <c r="V357" s="63"/>
      <c r="W357" s="63"/>
      <c r="X357" s="63"/>
      <c r="Y357" s="63"/>
      <c r="Z357" s="63"/>
      <c r="AA357" s="6"/>
      <c r="AB357" s="6"/>
      <c r="AC357" s="6"/>
    </row>
    <row r="358" spans="1:29">
      <c r="A358" s="62"/>
      <c r="B358" s="62"/>
      <c r="C358" s="62"/>
      <c r="D358" s="62"/>
      <c r="E358" s="63"/>
      <c r="F358" s="63"/>
      <c r="G358" s="63"/>
      <c r="H358" s="63"/>
      <c r="I358" s="63"/>
      <c r="J358" s="6"/>
      <c r="K358" s="6"/>
      <c r="L358" s="6"/>
      <c r="M358" s="6"/>
      <c r="N358" s="6"/>
      <c r="O358" s="6"/>
      <c r="P358" s="6"/>
      <c r="Q358" s="6"/>
      <c r="R358" s="62"/>
      <c r="S358" s="62"/>
      <c r="T358" s="62"/>
      <c r="U358" s="62"/>
      <c r="V358" s="63"/>
      <c r="W358" s="63"/>
      <c r="X358" s="63"/>
      <c r="Y358" s="63"/>
      <c r="Z358" s="63"/>
      <c r="AA358" s="6"/>
      <c r="AB358" s="6"/>
      <c r="AC358" s="6"/>
    </row>
    <row r="359" spans="1:29">
      <c r="A359" s="62"/>
      <c r="B359" s="62"/>
      <c r="C359" s="62"/>
      <c r="D359" s="62"/>
      <c r="E359" s="63"/>
      <c r="F359" s="63"/>
      <c r="G359" s="63"/>
      <c r="H359" s="63"/>
      <c r="I359" s="63"/>
      <c r="J359" s="6"/>
      <c r="K359" s="6"/>
      <c r="L359" s="6"/>
      <c r="M359" s="6"/>
      <c r="N359" s="6"/>
      <c r="O359" s="6"/>
      <c r="P359" s="6"/>
      <c r="Q359" s="6"/>
      <c r="R359" s="62"/>
      <c r="S359" s="62"/>
      <c r="T359" s="62"/>
      <c r="U359" s="62"/>
      <c r="V359" s="63"/>
      <c r="W359" s="63"/>
      <c r="X359" s="63"/>
      <c r="Y359" s="63"/>
      <c r="Z359" s="63"/>
      <c r="AA359" s="6"/>
      <c r="AB359" s="6"/>
      <c r="AC359" s="6"/>
    </row>
    <row r="360" spans="1:29">
      <c r="A360" s="62"/>
      <c r="B360" s="62"/>
      <c r="C360" s="62"/>
      <c r="D360" s="62"/>
      <c r="E360" s="63"/>
      <c r="F360" s="63"/>
      <c r="G360" s="63"/>
      <c r="H360" s="63"/>
      <c r="I360" s="63"/>
      <c r="J360" s="6"/>
      <c r="K360" s="6"/>
      <c r="L360" s="6"/>
      <c r="M360" s="6"/>
      <c r="N360" s="6"/>
      <c r="O360" s="6"/>
      <c r="P360" s="6"/>
      <c r="Q360" s="6"/>
      <c r="R360" s="62"/>
      <c r="S360" s="62"/>
      <c r="T360" s="62"/>
      <c r="U360" s="62"/>
      <c r="V360" s="63"/>
      <c r="W360" s="63"/>
      <c r="X360" s="63"/>
      <c r="Y360" s="63"/>
      <c r="Z360" s="63"/>
      <c r="AA360" s="6"/>
      <c r="AB360" s="6"/>
      <c r="AC360" s="6"/>
    </row>
    <row r="361" spans="1:29">
      <c r="A361" s="62"/>
      <c r="B361" s="62"/>
      <c r="C361" s="62"/>
      <c r="D361" s="62"/>
      <c r="E361" s="63"/>
      <c r="F361" s="63"/>
      <c r="G361" s="63"/>
      <c r="H361" s="63"/>
      <c r="I361" s="63"/>
      <c r="J361" s="6"/>
      <c r="K361" s="6"/>
      <c r="L361" s="6"/>
      <c r="M361" s="6"/>
      <c r="N361" s="6"/>
      <c r="O361" s="6"/>
      <c r="P361" s="6"/>
      <c r="Q361" s="6"/>
      <c r="R361" s="62"/>
      <c r="S361" s="62"/>
      <c r="T361" s="62"/>
      <c r="U361" s="62"/>
      <c r="V361" s="63"/>
      <c r="W361" s="63"/>
      <c r="X361" s="63"/>
      <c r="Y361" s="63"/>
      <c r="Z361" s="63"/>
      <c r="AA361" s="6"/>
      <c r="AB361" s="6"/>
      <c r="AC361" s="6"/>
    </row>
    <row r="362" spans="1:29">
      <c r="A362" s="62"/>
      <c r="B362" s="62"/>
      <c r="C362" s="62"/>
      <c r="D362" s="62"/>
      <c r="E362" s="63"/>
      <c r="F362" s="63"/>
      <c r="G362" s="63"/>
      <c r="H362" s="63"/>
      <c r="I362" s="63"/>
      <c r="J362" s="6"/>
      <c r="K362" s="6"/>
      <c r="L362" s="6"/>
      <c r="M362" s="6"/>
      <c r="N362" s="6"/>
      <c r="O362" s="6"/>
      <c r="P362" s="6"/>
      <c r="Q362" s="6"/>
      <c r="R362" s="62"/>
      <c r="S362" s="62"/>
      <c r="T362" s="62"/>
      <c r="U362" s="62"/>
      <c r="V362" s="63"/>
      <c r="W362" s="63"/>
      <c r="X362" s="63"/>
      <c r="Y362" s="63"/>
      <c r="Z362" s="63"/>
      <c r="AA362" s="6"/>
      <c r="AB362" s="6"/>
      <c r="AC362" s="6"/>
    </row>
    <row r="363" spans="1:29">
      <c r="A363" s="62"/>
      <c r="B363" s="62"/>
      <c r="C363" s="62"/>
      <c r="D363" s="62"/>
      <c r="E363" s="63"/>
      <c r="F363" s="63"/>
      <c r="G363" s="63"/>
      <c r="H363" s="63"/>
      <c r="I363" s="63"/>
      <c r="J363" s="6"/>
      <c r="K363" s="6"/>
      <c r="L363" s="6"/>
      <c r="M363" s="6"/>
      <c r="N363" s="6"/>
      <c r="O363" s="6"/>
      <c r="P363" s="6"/>
      <c r="Q363" s="6"/>
      <c r="R363" s="62"/>
      <c r="S363" s="62"/>
      <c r="T363" s="62"/>
      <c r="U363" s="62"/>
      <c r="V363" s="63"/>
      <c r="W363" s="63"/>
      <c r="X363" s="63"/>
      <c r="Y363" s="63"/>
      <c r="Z363" s="63"/>
      <c r="AA363" s="6"/>
      <c r="AB363" s="6"/>
      <c r="AC363" s="6"/>
    </row>
    <row r="364" spans="1:29">
      <c r="A364" s="62"/>
      <c r="B364" s="62"/>
      <c r="C364" s="62"/>
      <c r="D364" s="62"/>
      <c r="E364" s="63"/>
      <c r="F364" s="63"/>
      <c r="G364" s="63"/>
      <c r="H364" s="63"/>
      <c r="I364" s="63"/>
      <c r="J364" s="6"/>
      <c r="K364" s="6"/>
      <c r="L364" s="6"/>
      <c r="M364" s="6"/>
      <c r="N364" s="6"/>
      <c r="O364" s="6"/>
      <c r="P364" s="6"/>
      <c r="Q364" s="6"/>
      <c r="R364" s="62"/>
      <c r="S364" s="62"/>
      <c r="T364" s="62"/>
      <c r="U364" s="62"/>
      <c r="V364" s="63"/>
      <c r="W364" s="63"/>
      <c r="X364" s="63"/>
      <c r="Y364" s="63"/>
      <c r="Z364" s="63"/>
      <c r="AA364" s="6"/>
      <c r="AB364" s="6"/>
      <c r="AC364" s="6"/>
    </row>
    <row r="365" spans="1:29">
      <c r="A365" s="62"/>
      <c r="B365" s="62"/>
      <c r="C365" s="62"/>
      <c r="D365" s="62"/>
      <c r="E365" s="63"/>
      <c r="F365" s="63"/>
      <c r="G365" s="63"/>
      <c r="H365" s="63"/>
      <c r="I365" s="63"/>
      <c r="J365" s="6"/>
      <c r="K365" s="6"/>
      <c r="L365" s="6"/>
      <c r="M365" s="6"/>
      <c r="N365" s="6"/>
      <c r="O365" s="6"/>
      <c r="P365" s="6"/>
      <c r="Q365" s="6"/>
      <c r="R365" s="62"/>
      <c r="S365" s="62"/>
      <c r="T365" s="62"/>
      <c r="U365" s="62"/>
      <c r="V365" s="63"/>
      <c r="W365" s="63"/>
      <c r="X365" s="63"/>
      <c r="Y365" s="63"/>
      <c r="Z365" s="63"/>
      <c r="AA365" s="6"/>
      <c r="AB365" s="6"/>
      <c r="AC365" s="6"/>
    </row>
    <row r="366" spans="1:29">
      <c r="A366" s="62"/>
      <c r="B366" s="62"/>
      <c r="C366" s="62"/>
      <c r="D366" s="62"/>
      <c r="E366" s="63"/>
      <c r="F366" s="63"/>
      <c r="G366" s="63"/>
      <c r="H366" s="63"/>
      <c r="I366" s="63"/>
      <c r="J366" s="6"/>
      <c r="K366" s="6"/>
      <c r="L366" s="6"/>
      <c r="M366" s="6"/>
      <c r="N366" s="6"/>
      <c r="O366" s="6"/>
      <c r="P366" s="6"/>
      <c r="Q366" s="6"/>
      <c r="R366" s="62"/>
      <c r="S366" s="62"/>
      <c r="T366" s="62"/>
      <c r="U366" s="62"/>
      <c r="V366" s="63"/>
      <c r="W366" s="63"/>
      <c r="X366" s="63"/>
      <c r="Y366" s="63"/>
      <c r="Z366" s="63"/>
      <c r="AA366" s="6"/>
      <c r="AB366" s="6"/>
      <c r="AC366" s="6"/>
    </row>
    <row r="367" spans="1:29">
      <c r="A367" s="62"/>
      <c r="B367" s="62"/>
      <c r="C367" s="62"/>
      <c r="D367" s="62"/>
      <c r="E367" s="63"/>
      <c r="F367" s="63"/>
      <c r="G367" s="63"/>
      <c r="H367" s="63"/>
      <c r="I367" s="63"/>
      <c r="J367" s="6"/>
      <c r="K367" s="6"/>
      <c r="L367" s="6"/>
      <c r="M367" s="6"/>
      <c r="N367" s="6"/>
      <c r="O367" s="6"/>
      <c r="P367" s="6"/>
      <c r="Q367" s="6"/>
      <c r="R367" s="62"/>
      <c r="S367" s="62"/>
      <c r="T367" s="62"/>
      <c r="U367" s="62"/>
      <c r="V367" s="63"/>
      <c r="W367" s="63"/>
      <c r="X367" s="63"/>
      <c r="Y367" s="63"/>
      <c r="Z367" s="63"/>
      <c r="AA367" s="6"/>
      <c r="AB367" s="6"/>
      <c r="AC367" s="6"/>
    </row>
    <row r="368" spans="1:29">
      <c r="A368" s="62"/>
      <c r="B368" s="62"/>
      <c r="C368" s="62"/>
      <c r="D368" s="62"/>
      <c r="E368" s="63"/>
      <c r="F368" s="63"/>
      <c r="G368" s="63"/>
      <c r="H368" s="63"/>
      <c r="I368" s="63"/>
      <c r="J368" s="6"/>
      <c r="K368" s="6"/>
      <c r="L368" s="6"/>
      <c r="M368" s="6"/>
      <c r="N368" s="6"/>
      <c r="O368" s="6"/>
      <c r="P368" s="6"/>
      <c r="Q368" s="6"/>
      <c r="R368" s="62"/>
      <c r="S368" s="62"/>
      <c r="T368" s="62"/>
      <c r="U368" s="62"/>
      <c r="V368" s="63"/>
      <c r="W368" s="63"/>
      <c r="X368" s="63"/>
      <c r="Y368" s="63"/>
      <c r="Z368" s="63"/>
      <c r="AA368" s="6"/>
      <c r="AB368" s="6"/>
      <c r="AC368" s="6"/>
    </row>
    <row r="369" spans="1:29">
      <c r="A369" s="62"/>
      <c r="B369" s="62"/>
      <c r="C369" s="62"/>
      <c r="D369" s="62"/>
      <c r="E369" s="63"/>
      <c r="F369" s="63"/>
      <c r="G369" s="63"/>
      <c r="H369" s="63"/>
      <c r="I369" s="63"/>
      <c r="J369" s="6"/>
      <c r="K369" s="6"/>
      <c r="L369" s="6"/>
      <c r="M369" s="6"/>
      <c r="N369" s="6"/>
      <c r="O369" s="6"/>
      <c r="P369" s="6"/>
      <c r="Q369" s="6"/>
      <c r="R369" s="62"/>
      <c r="S369" s="62"/>
      <c r="T369" s="62"/>
      <c r="U369" s="62"/>
      <c r="V369" s="63"/>
      <c r="W369" s="63"/>
      <c r="X369" s="63"/>
      <c r="Y369" s="63"/>
      <c r="Z369" s="63"/>
      <c r="AA369" s="6"/>
      <c r="AB369" s="6"/>
      <c r="AC369" s="6"/>
    </row>
    <row r="370" spans="1:29">
      <c r="A370" s="62"/>
      <c r="B370" s="62"/>
      <c r="C370" s="62"/>
      <c r="D370" s="62"/>
      <c r="E370" s="63"/>
      <c r="F370" s="63"/>
      <c r="G370" s="63"/>
      <c r="H370" s="63"/>
      <c r="I370" s="63"/>
      <c r="J370" s="6"/>
      <c r="K370" s="6"/>
      <c r="L370" s="6"/>
      <c r="M370" s="6"/>
      <c r="N370" s="6"/>
      <c r="O370" s="6"/>
      <c r="P370" s="6"/>
      <c r="Q370" s="6"/>
      <c r="R370" s="62"/>
      <c r="S370" s="62"/>
      <c r="T370" s="62"/>
      <c r="U370" s="62"/>
      <c r="V370" s="63"/>
      <c r="W370" s="63"/>
      <c r="X370" s="63"/>
      <c r="Y370" s="63"/>
      <c r="Z370" s="63"/>
      <c r="AA370" s="6"/>
      <c r="AB370" s="6"/>
      <c r="AC370" s="6"/>
    </row>
    <row r="371" spans="1:29">
      <c r="A371" s="62"/>
      <c r="B371" s="62"/>
      <c r="C371" s="62"/>
      <c r="D371" s="62"/>
      <c r="E371" s="63"/>
      <c r="F371" s="63"/>
      <c r="G371" s="63"/>
      <c r="H371" s="63"/>
      <c r="I371" s="63"/>
      <c r="J371" s="6"/>
      <c r="K371" s="6"/>
      <c r="L371" s="6"/>
      <c r="M371" s="6"/>
      <c r="N371" s="6"/>
      <c r="O371" s="6"/>
      <c r="P371" s="6"/>
      <c r="Q371" s="6"/>
      <c r="R371" s="62"/>
      <c r="S371" s="62"/>
      <c r="T371" s="62"/>
      <c r="U371" s="62"/>
      <c r="V371" s="63"/>
      <c r="W371" s="63"/>
      <c r="X371" s="63"/>
      <c r="Y371" s="63"/>
      <c r="Z371" s="63"/>
      <c r="AA371" s="6"/>
      <c r="AB371" s="6"/>
      <c r="AC371" s="6"/>
    </row>
    <row r="372" spans="1:29">
      <c r="A372" s="62"/>
      <c r="B372" s="62"/>
      <c r="C372" s="62"/>
      <c r="D372" s="62"/>
      <c r="E372" s="63"/>
      <c r="F372" s="63"/>
      <c r="G372" s="63"/>
      <c r="H372" s="63"/>
      <c r="I372" s="63"/>
      <c r="J372" s="6"/>
      <c r="K372" s="6"/>
      <c r="L372" s="6"/>
      <c r="M372" s="6"/>
      <c r="N372" s="6"/>
      <c r="O372" s="6"/>
      <c r="P372" s="6"/>
      <c r="Q372" s="6"/>
      <c r="R372" s="62"/>
      <c r="S372" s="62"/>
      <c r="T372" s="62"/>
      <c r="U372" s="62"/>
      <c r="V372" s="63"/>
      <c r="W372" s="63"/>
      <c r="X372" s="63"/>
      <c r="Y372" s="63"/>
      <c r="Z372" s="63"/>
      <c r="AA372" s="6"/>
      <c r="AB372" s="6"/>
      <c r="AC372" s="6"/>
    </row>
    <row r="373" spans="1:29">
      <c r="A373" s="62"/>
      <c r="B373" s="62"/>
      <c r="C373" s="62"/>
      <c r="D373" s="62"/>
      <c r="E373" s="63"/>
      <c r="F373" s="63"/>
      <c r="G373" s="63"/>
      <c r="H373" s="63"/>
      <c r="I373" s="63"/>
      <c r="J373" s="6"/>
      <c r="K373" s="6"/>
      <c r="L373" s="6"/>
      <c r="M373" s="6"/>
      <c r="N373" s="6"/>
      <c r="O373" s="6"/>
      <c r="P373" s="6"/>
      <c r="Q373" s="6"/>
      <c r="R373" s="62"/>
      <c r="S373" s="62"/>
      <c r="T373" s="62"/>
      <c r="U373" s="62"/>
      <c r="V373" s="63"/>
      <c r="W373" s="63"/>
      <c r="X373" s="63"/>
      <c r="Y373" s="63"/>
      <c r="Z373" s="63"/>
      <c r="AA373" s="6"/>
      <c r="AB373" s="6"/>
      <c r="AC373" s="6"/>
    </row>
    <row r="374" spans="1:29">
      <c r="A374" s="62"/>
      <c r="B374" s="62"/>
      <c r="C374" s="62"/>
      <c r="D374" s="62"/>
      <c r="E374" s="63"/>
      <c r="F374" s="63"/>
      <c r="G374" s="63"/>
      <c r="H374" s="63"/>
      <c r="I374" s="63"/>
      <c r="J374" s="6"/>
      <c r="K374" s="6"/>
      <c r="L374" s="6"/>
      <c r="M374" s="6"/>
      <c r="N374" s="6"/>
      <c r="O374" s="6"/>
      <c r="P374" s="6"/>
      <c r="Q374" s="6"/>
      <c r="R374" s="62"/>
      <c r="S374" s="62"/>
      <c r="T374" s="62"/>
      <c r="U374" s="62"/>
      <c r="V374" s="63"/>
      <c r="W374" s="63"/>
      <c r="X374" s="63"/>
      <c r="Y374" s="63"/>
      <c r="Z374" s="63"/>
      <c r="AA374" s="6"/>
      <c r="AB374" s="6"/>
      <c r="AC374" s="6"/>
    </row>
    <row r="375" spans="1:29">
      <c r="A375" s="62"/>
      <c r="B375" s="62"/>
      <c r="C375" s="62"/>
      <c r="D375" s="62"/>
      <c r="E375" s="63"/>
      <c r="F375" s="63"/>
      <c r="G375" s="63"/>
      <c r="H375" s="63"/>
      <c r="I375" s="63"/>
      <c r="J375" s="6"/>
      <c r="K375" s="6"/>
      <c r="L375" s="6"/>
      <c r="M375" s="6"/>
      <c r="N375" s="6"/>
      <c r="O375" s="6"/>
      <c r="P375" s="6"/>
      <c r="Q375" s="6"/>
      <c r="R375" s="62"/>
      <c r="S375" s="62"/>
      <c r="T375" s="62"/>
      <c r="U375" s="62"/>
      <c r="V375" s="63"/>
      <c r="W375" s="63"/>
      <c r="X375" s="63"/>
      <c r="Y375" s="63"/>
      <c r="Z375" s="63"/>
      <c r="AA375" s="6"/>
      <c r="AB375" s="6"/>
      <c r="AC375" s="6"/>
    </row>
    <row r="376" spans="1:29">
      <c r="A376" s="62"/>
      <c r="B376" s="62"/>
      <c r="C376" s="62"/>
      <c r="D376" s="62"/>
      <c r="E376" s="63"/>
      <c r="F376" s="63"/>
      <c r="G376" s="63"/>
      <c r="H376" s="63"/>
      <c r="I376" s="63"/>
      <c r="J376" s="6"/>
      <c r="K376" s="6"/>
      <c r="L376" s="6"/>
      <c r="M376" s="6"/>
      <c r="N376" s="6"/>
      <c r="O376" s="6"/>
      <c r="P376" s="6"/>
      <c r="Q376" s="6"/>
      <c r="R376" s="62"/>
      <c r="S376" s="62"/>
      <c r="T376" s="62"/>
      <c r="U376" s="62"/>
      <c r="V376" s="63"/>
      <c r="W376" s="63"/>
      <c r="X376" s="63"/>
      <c r="Y376" s="63"/>
      <c r="Z376" s="63"/>
      <c r="AA376" s="6"/>
      <c r="AB376" s="6"/>
      <c r="AC376" s="6"/>
    </row>
    <row r="377" spans="1:29">
      <c r="A377" s="62"/>
      <c r="B377" s="62"/>
      <c r="C377" s="62"/>
      <c r="D377" s="62"/>
      <c r="E377" s="63"/>
      <c r="F377" s="63"/>
      <c r="G377" s="63"/>
      <c r="H377" s="63"/>
      <c r="I377" s="63"/>
      <c r="J377" s="6"/>
      <c r="K377" s="6"/>
      <c r="L377" s="6"/>
      <c r="M377" s="6"/>
      <c r="N377" s="6"/>
      <c r="O377" s="6"/>
      <c r="P377" s="6"/>
      <c r="Q377" s="6"/>
      <c r="R377" s="62"/>
      <c r="S377" s="62"/>
      <c r="T377" s="62"/>
      <c r="U377" s="62"/>
      <c r="V377" s="63"/>
      <c r="W377" s="63"/>
      <c r="X377" s="63"/>
      <c r="Y377" s="63"/>
      <c r="Z377" s="63"/>
      <c r="AA377" s="6"/>
      <c r="AB377" s="6"/>
      <c r="AC377" s="6"/>
    </row>
    <row r="378" spans="1:29">
      <c r="A378" s="62"/>
      <c r="B378" s="62"/>
      <c r="C378" s="62"/>
      <c r="D378" s="62"/>
      <c r="E378" s="63"/>
      <c r="F378" s="63"/>
      <c r="G378" s="63"/>
      <c r="H378" s="63"/>
      <c r="I378" s="63"/>
      <c r="J378" s="6"/>
      <c r="K378" s="6"/>
      <c r="L378" s="6"/>
      <c r="M378" s="6"/>
      <c r="N378" s="6"/>
      <c r="O378" s="6"/>
      <c r="P378" s="6"/>
      <c r="Q378" s="6"/>
      <c r="R378" s="62"/>
      <c r="S378" s="62"/>
      <c r="T378" s="62"/>
      <c r="U378" s="62"/>
      <c r="V378" s="63"/>
      <c r="W378" s="63"/>
      <c r="X378" s="63"/>
      <c r="Y378" s="63"/>
      <c r="Z378" s="63"/>
      <c r="AA378" s="6"/>
      <c r="AB378" s="6"/>
      <c r="AC378" s="6"/>
    </row>
    <row r="379" spans="1:29">
      <c r="A379" s="62"/>
      <c r="B379" s="62"/>
      <c r="C379" s="62"/>
      <c r="D379" s="62"/>
      <c r="E379" s="63"/>
      <c r="F379" s="63"/>
      <c r="G379" s="63"/>
      <c r="H379" s="63"/>
      <c r="I379" s="63"/>
      <c r="J379" s="6"/>
      <c r="K379" s="6"/>
      <c r="L379" s="6"/>
      <c r="M379" s="6"/>
      <c r="N379" s="6"/>
      <c r="O379" s="6"/>
      <c r="P379" s="6"/>
      <c r="Q379" s="6"/>
      <c r="R379" s="62"/>
      <c r="S379" s="62"/>
      <c r="T379" s="62"/>
      <c r="U379" s="62"/>
      <c r="V379" s="63"/>
      <c r="W379" s="63"/>
      <c r="X379" s="63"/>
      <c r="Y379" s="63"/>
      <c r="Z379" s="63"/>
      <c r="AA379" s="6"/>
      <c r="AB379" s="6"/>
      <c r="AC379" s="6"/>
    </row>
    <row r="380" spans="1:29">
      <c r="A380" s="62"/>
      <c r="B380" s="62"/>
      <c r="C380" s="62"/>
      <c r="D380" s="62"/>
      <c r="E380" s="63"/>
      <c r="F380" s="63"/>
      <c r="G380" s="63"/>
      <c r="H380" s="63"/>
      <c r="I380" s="63"/>
      <c r="J380" s="6"/>
      <c r="K380" s="6"/>
      <c r="L380" s="6"/>
      <c r="M380" s="6"/>
      <c r="N380" s="6"/>
      <c r="O380" s="6"/>
      <c r="P380" s="6"/>
      <c r="Q380" s="6"/>
      <c r="R380" s="62"/>
      <c r="S380" s="62"/>
      <c r="T380" s="62"/>
      <c r="U380" s="62"/>
      <c r="V380" s="63"/>
      <c r="W380" s="63"/>
      <c r="X380" s="63"/>
      <c r="Y380" s="63"/>
      <c r="Z380" s="63"/>
      <c r="AA380" s="6"/>
      <c r="AB380" s="6"/>
      <c r="AC380" s="6"/>
    </row>
    <row r="381" spans="1:29">
      <c r="A381" s="62"/>
      <c r="B381" s="62"/>
      <c r="C381" s="62"/>
      <c r="D381" s="62"/>
      <c r="E381" s="63"/>
      <c r="F381" s="63"/>
      <c r="G381" s="63"/>
      <c r="H381" s="63"/>
      <c r="I381" s="63"/>
      <c r="J381" s="6"/>
      <c r="K381" s="6"/>
      <c r="L381" s="6"/>
      <c r="M381" s="6"/>
      <c r="N381" s="6"/>
      <c r="O381" s="6"/>
      <c r="P381" s="6"/>
      <c r="Q381" s="6"/>
      <c r="R381" s="62"/>
      <c r="S381" s="62"/>
      <c r="T381" s="62"/>
      <c r="U381" s="62"/>
      <c r="V381" s="63"/>
      <c r="W381" s="63"/>
      <c r="X381" s="63"/>
      <c r="Y381" s="63"/>
      <c r="Z381" s="63"/>
      <c r="AA381" s="6"/>
      <c r="AB381" s="6"/>
      <c r="AC381" s="6"/>
    </row>
    <row r="382" spans="1:29">
      <c r="A382" s="62"/>
      <c r="B382" s="62"/>
      <c r="C382" s="62"/>
      <c r="D382" s="62"/>
      <c r="E382" s="63"/>
      <c r="F382" s="63"/>
      <c r="G382" s="63"/>
      <c r="H382" s="63"/>
      <c r="I382" s="63"/>
      <c r="J382" s="6"/>
      <c r="K382" s="6"/>
      <c r="L382" s="6"/>
      <c r="M382" s="6"/>
      <c r="N382" s="6"/>
      <c r="O382" s="6"/>
      <c r="P382" s="6"/>
      <c r="Q382" s="6"/>
      <c r="R382" s="62"/>
      <c r="S382" s="62"/>
      <c r="T382" s="62"/>
      <c r="U382" s="62"/>
      <c r="V382" s="63"/>
      <c r="W382" s="63"/>
      <c r="X382" s="63"/>
      <c r="Y382" s="63"/>
      <c r="Z382" s="63"/>
      <c r="AA382" s="6"/>
      <c r="AB382" s="6"/>
      <c r="AC382" s="6"/>
    </row>
    <row r="383" spans="1:29">
      <c r="A383" s="62"/>
      <c r="B383" s="62"/>
      <c r="C383" s="62"/>
      <c r="D383" s="62"/>
      <c r="E383" s="63"/>
      <c r="F383" s="63"/>
      <c r="G383" s="63"/>
      <c r="H383" s="63"/>
      <c r="I383" s="63"/>
      <c r="J383" s="6"/>
      <c r="K383" s="6"/>
      <c r="L383" s="6"/>
      <c r="M383" s="6"/>
      <c r="N383" s="6"/>
      <c r="O383" s="6"/>
      <c r="P383" s="6"/>
      <c r="Q383" s="6"/>
      <c r="R383" s="62"/>
      <c r="S383" s="62"/>
      <c r="T383" s="62"/>
      <c r="U383" s="62"/>
      <c r="V383" s="63"/>
      <c r="W383" s="63"/>
      <c r="X383" s="63"/>
      <c r="Y383" s="63"/>
      <c r="Z383" s="63"/>
      <c r="AA383" s="6"/>
      <c r="AB383" s="6"/>
      <c r="AC383" s="6"/>
    </row>
    <row r="384" spans="1:29">
      <c r="A384" s="62"/>
      <c r="B384" s="62"/>
      <c r="C384" s="62"/>
      <c r="D384" s="62"/>
      <c r="E384" s="63"/>
      <c r="F384" s="63"/>
      <c r="G384" s="63"/>
      <c r="H384" s="63"/>
      <c r="I384" s="63"/>
      <c r="J384" s="6"/>
      <c r="K384" s="6"/>
      <c r="L384" s="6"/>
      <c r="M384" s="6"/>
      <c r="N384" s="6"/>
      <c r="O384" s="6"/>
      <c r="P384" s="6"/>
      <c r="Q384" s="6"/>
      <c r="R384" s="62"/>
      <c r="S384" s="62"/>
      <c r="T384" s="62"/>
      <c r="U384" s="62"/>
      <c r="V384" s="63"/>
      <c r="W384" s="63"/>
      <c r="X384" s="63"/>
      <c r="Y384" s="63"/>
      <c r="Z384" s="63"/>
      <c r="AA384" s="6"/>
      <c r="AB384" s="6"/>
      <c r="AC384" s="6"/>
    </row>
    <row r="385" spans="1:29">
      <c r="A385" s="62"/>
      <c r="B385" s="62"/>
      <c r="C385" s="62"/>
      <c r="D385" s="62"/>
      <c r="E385" s="63"/>
      <c r="F385" s="63"/>
      <c r="G385" s="63"/>
      <c r="H385" s="63"/>
      <c r="I385" s="63"/>
      <c r="J385" s="6"/>
      <c r="K385" s="6"/>
      <c r="L385" s="6"/>
      <c r="M385" s="6"/>
      <c r="N385" s="6"/>
      <c r="O385" s="6"/>
      <c r="P385" s="6"/>
      <c r="Q385" s="6"/>
      <c r="R385" s="62"/>
      <c r="S385" s="62"/>
      <c r="T385" s="62"/>
      <c r="U385" s="62"/>
      <c r="V385" s="63"/>
      <c r="W385" s="63"/>
      <c r="X385" s="63"/>
      <c r="Y385" s="63"/>
      <c r="Z385" s="63"/>
      <c r="AA385" s="6"/>
      <c r="AB385" s="6"/>
      <c r="AC385" s="6"/>
    </row>
    <row r="386" spans="1:29">
      <c r="A386" s="62"/>
      <c r="B386" s="62"/>
      <c r="C386" s="62"/>
      <c r="D386" s="62"/>
      <c r="E386" s="63"/>
      <c r="F386" s="63"/>
      <c r="G386" s="63"/>
      <c r="H386" s="63"/>
      <c r="I386" s="63"/>
      <c r="J386" s="6"/>
      <c r="K386" s="6"/>
      <c r="L386" s="6"/>
      <c r="M386" s="6"/>
      <c r="N386" s="6"/>
      <c r="O386" s="6"/>
      <c r="P386" s="6"/>
      <c r="Q386" s="6"/>
      <c r="R386" s="62"/>
      <c r="S386" s="62"/>
      <c r="T386" s="62"/>
      <c r="U386" s="62"/>
      <c r="V386" s="63"/>
      <c r="W386" s="63"/>
      <c r="X386" s="63"/>
      <c r="Y386" s="63"/>
      <c r="Z386" s="63"/>
      <c r="AA386" s="6"/>
      <c r="AB386" s="6"/>
      <c r="AC386" s="6"/>
    </row>
    <row r="387" spans="1:29">
      <c r="A387" s="62"/>
      <c r="B387" s="62"/>
      <c r="C387" s="62"/>
      <c r="D387" s="62"/>
      <c r="E387" s="63"/>
      <c r="F387" s="63"/>
      <c r="G387" s="63"/>
      <c r="H387" s="63"/>
      <c r="I387" s="63"/>
      <c r="J387" s="6"/>
      <c r="K387" s="6"/>
      <c r="L387" s="6"/>
      <c r="M387" s="6"/>
      <c r="N387" s="6"/>
      <c r="O387" s="6"/>
      <c r="P387" s="6"/>
      <c r="Q387" s="6"/>
      <c r="R387" s="62"/>
      <c r="S387" s="62"/>
      <c r="T387" s="62"/>
      <c r="U387" s="62"/>
      <c r="V387" s="63"/>
      <c r="W387" s="63"/>
      <c r="X387" s="63"/>
      <c r="Y387" s="63"/>
      <c r="Z387" s="63"/>
      <c r="AA387" s="6"/>
      <c r="AB387" s="6"/>
      <c r="AC387" s="6"/>
    </row>
    <row r="388" spans="1:29">
      <c r="A388" s="62"/>
      <c r="B388" s="62"/>
      <c r="C388" s="62"/>
      <c r="D388" s="62"/>
      <c r="E388" s="63"/>
      <c r="F388" s="63"/>
      <c r="G388" s="63"/>
      <c r="H388" s="63"/>
      <c r="I388" s="63"/>
      <c r="J388" s="6"/>
      <c r="K388" s="6"/>
      <c r="L388" s="6"/>
      <c r="M388" s="6"/>
      <c r="N388" s="6"/>
      <c r="O388" s="6"/>
      <c r="P388" s="6"/>
      <c r="Q388" s="6"/>
      <c r="R388" s="62"/>
      <c r="S388" s="62"/>
      <c r="T388" s="62"/>
      <c r="U388" s="62"/>
      <c r="V388" s="63"/>
      <c r="W388" s="63"/>
      <c r="X388" s="63"/>
      <c r="Y388" s="63"/>
      <c r="Z388" s="63"/>
      <c r="AA388" s="6"/>
      <c r="AB388" s="6"/>
      <c r="AC388" s="6"/>
    </row>
    <row r="389" spans="1:29">
      <c r="A389" s="62"/>
      <c r="B389" s="62"/>
      <c r="C389" s="62"/>
      <c r="D389" s="62"/>
      <c r="E389" s="63"/>
      <c r="F389" s="63"/>
      <c r="G389" s="63"/>
      <c r="H389" s="63"/>
      <c r="I389" s="63"/>
      <c r="J389" s="6"/>
      <c r="K389" s="6"/>
      <c r="L389" s="6"/>
      <c r="M389" s="6"/>
      <c r="N389" s="6"/>
      <c r="O389" s="6"/>
      <c r="P389" s="6"/>
      <c r="Q389" s="6"/>
      <c r="R389" s="62"/>
      <c r="S389" s="62"/>
      <c r="T389" s="62"/>
      <c r="U389" s="62"/>
      <c r="V389" s="63"/>
      <c r="W389" s="63"/>
      <c r="X389" s="63"/>
      <c r="Y389" s="63"/>
      <c r="Z389" s="63"/>
      <c r="AA389" s="6"/>
      <c r="AB389" s="6"/>
      <c r="AC389" s="6"/>
    </row>
    <row r="390" spans="1:29">
      <c r="A390" s="62"/>
      <c r="B390" s="62"/>
      <c r="C390" s="62"/>
      <c r="D390" s="62"/>
      <c r="E390" s="63"/>
      <c r="F390" s="63"/>
      <c r="G390" s="63"/>
      <c r="H390" s="63"/>
      <c r="I390" s="63"/>
      <c r="J390" s="6"/>
      <c r="K390" s="6"/>
      <c r="L390" s="6"/>
      <c r="M390" s="6"/>
      <c r="N390" s="6"/>
      <c r="O390" s="6"/>
      <c r="P390" s="6"/>
      <c r="Q390" s="6"/>
      <c r="R390" s="62"/>
      <c r="S390" s="62"/>
      <c r="T390" s="62"/>
      <c r="U390" s="62"/>
      <c r="V390" s="63"/>
      <c r="W390" s="63"/>
      <c r="X390" s="63"/>
      <c r="Y390" s="63"/>
      <c r="Z390" s="63"/>
      <c r="AA390" s="6"/>
      <c r="AB390" s="6"/>
      <c r="AC390" s="6"/>
    </row>
    <row r="391" spans="1:29">
      <c r="A391" s="62"/>
      <c r="B391" s="62"/>
      <c r="C391" s="62"/>
      <c r="D391" s="62"/>
      <c r="E391" s="63"/>
      <c r="F391" s="63"/>
      <c r="G391" s="63"/>
      <c r="H391" s="63"/>
      <c r="I391" s="63"/>
      <c r="J391" s="6"/>
      <c r="K391" s="6"/>
      <c r="L391" s="6"/>
      <c r="M391" s="6"/>
      <c r="N391" s="6"/>
      <c r="O391" s="6"/>
      <c r="P391" s="6"/>
      <c r="Q391" s="6"/>
      <c r="R391" s="62"/>
      <c r="S391" s="62"/>
      <c r="T391" s="62"/>
      <c r="U391" s="62"/>
      <c r="V391" s="63"/>
      <c r="W391" s="63"/>
      <c r="X391" s="63"/>
      <c r="Y391" s="63"/>
      <c r="Z391" s="63"/>
      <c r="AA391" s="6"/>
      <c r="AB391" s="6"/>
      <c r="AC391" s="6"/>
    </row>
    <row r="392" spans="1:29">
      <c r="A392" s="62"/>
      <c r="B392" s="62"/>
      <c r="C392" s="62"/>
      <c r="D392" s="62"/>
      <c r="E392" s="63"/>
      <c r="F392" s="63"/>
      <c r="G392" s="63"/>
      <c r="H392" s="63"/>
      <c r="I392" s="63"/>
      <c r="J392" s="6"/>
      <c r="K392" s="6"/>
      <c r="L392" s="6"/>
      <c r="M392" s="6"/>
      <c r="N392" s="6"/>
      <c r="O392" s="6"/>
      <c r="P392" s="6"/>
      <c r="Q392" s="6"/>
      <c r="R392" s="62"/>
      <c r="S392" s="62"/>
      <c r="T392" s="62"/>
      <c r="U392" s="62"/>
      <c r="V392" s="63"/>
      <c r="W392" s="63"/>
      <c r="X392" s="63"/>
      <c r="Y392" s="63"/>
      <c r="Z392" s="63"/>
      <c r="AA392" s="6"/>
      <c r="AB392" s="6"/>
      <c r="AC392" s="6"/>
    </row>
    <row r="393" spans="1:29">
      <c r="A393" s="62"/>
      <c r="B393" s="62"/>
      <c r="C393" s="62"/>
      <c r="D393" s="62"/>
      <c r="E393" s="63"/>
      <c r="F393" s="63"/>
      <c r="G393" s="63"/>
      <c r="H393" s="63"/>
      <c r="I393" s="63"/>
      <c r="J393" s="6"/>
      <c r="K393" s="6"/>
      <c r="L393" s="6"/>
      <c r="M393" s="6"/>
      <c r="N393" s="6"/>
      <c r="O393" s="6"/>
      <c r="P393" s="6"/>
      <c r="Q393" s="6"/>
      <c r="R393" s="62"/>
      <c r="S393" s="62"/>
      <c r="T393" s="62"/>
      <c r="U393" s="62"/>
      <c r="V393" s="63"/>
      <c r="W393" s="63"/>
      <c r="X393" s="63"/>
      <c r="Y393" s="63"/>
      <c r="Z393" s="63"/>
      <c r="AA393" s="6"/>
      <c r="AB393" s="6"/>
      <c r="AC393" s="6"/>
    </row>
    <row r="394" spans="1:29">
      <c r="A394" s="62"/>
      <c r="B394" s="62"/>
      <c r="C394" s="62"/>
      <c r="D394" s="62"/>
      <c r="E394" s="63"/>
      <c r="F394" s="63"/>
      <c r="G394" s="63"/>
      <c r="H394" s="63"/>
      <c r="I394" s="63"/>
      <c r="J394" s="6"/>
      <c r="K394" s="6"/>
      <c r="L394" s="6"/>
      <c r="M394" s="6"/>
      <c r="N394" s="6"/>
      <c r="O394" s="6"/>
      <c r="P394" s="6"/>
      <c r="Q394" s="6"/>
      <c r="R394" s="62"/>
      <c r="S394" s="62"/>
      <c r="T394" s="62"/>
      <c r="U394" s="62"/>
      <c r="V394" s="63"/>
      <c r="W394" s="63"/>
      <c r="X394" s="63"/>
      <c r="Y394" s="63"/>
      <c r="Z394" s="63"/>
      <c r="AA394" s="6"/>
      <c r="AB394" s="6"/>
      <c r="AC394" s="6"/>
    </row>
    <row r="395" spans="1:29">
      <c r="A395" s="62"/>
      <c r="B395" s="62"/>
      <c r="C395" s="62"/>
      <c r="D395" s="62"/>
      <c r="E395" s="63"/>
      <c r="F395" s="63"/>
      <c r="G395" s="63"/>
      <c r="H395" s="63"/>
      <c r="I395" s="63"/>
      <c r="J395" s="6"/>
      <c r="K395" s="6"/>
      <c r="L395" s="6"/>
      <c r="M395" s="6"/>
      <c r="N395" s="6"/>
      <c r="O395" s="6"/>
      <c r="P395" s="6"/>
      <c r="Q395" s="6"/>
      <c r="R395" s="62"/>
      <c r="S395" s="62"/>
      <c r="T395" s="62"/>
      <c r="U395" s="62"/>
      <c r="V395" s="63"/>
      <c r="W395" s="63"/>
      <c r="X395" s="63"/>
      <c r="Y395" s="63"/>
      <c r="Z395" s="63"/>
      <c r="AA395" s="6"/>
      <c r="AB395" s="6"/>
      <c r="AC395" s="6"/>
    </row>
    <row r="396" spans="1:29">
      <c r="A396" s="62"/>
      <c r="B396" s="62"/>
      <c r="C396" s="62"/>
      <c r="D396" s="62"/>
      <c r="E396" s="63"/>
      <c r="F396" s="63"/>
      <c r="G396" s="63"/>
      <c r="H396" s="63"/>
      <c r="I396" s="63"/>
      <c r="J396" s="6"/>
      <c r="K396" s="6"/>
      <c r="L396" s="6"/>
      <c r="M396" s="6"/>
      <c r="N396" s="6"/>
      <c r="O396" s="6"/>
      <c r="P396" s="6"/>
      <c r="Q396" s="6"/>
      <c r="R396" s="62"/>
      <c r="S396" s="62"/>
      <c r="T396" s="62"/>
      <c r="U396" s="62"/>
      <c r="V396" s="63"/>
      <c r="W396" s="63"/>
      <c r="X396" s="63"/>
      <c r="Y396" s="63"/>
      <c r="Z396" s="63"/>
      <c r="AA396" s="6"/>
      <c r="AB396" s="6"/>
      <c r="AC396" s="6"/>
    </row>
    <row r="397" spans="1:29">
      <c r="A397" s="62"/>
      <c r="B397" s="62"/>
      <c r="C397" s="62"/>
      <c r="D397" s="62"/>
      <c r="E397" s="63"/>
      <c r="F397" s="63"/>
      <c r="G397" s="63"/>
      <c r="H397" s="63"/>
      <c r="I397" s="63"/>
      <c r="J397" s="6"/>
      <c r="K397" s="6"/>
      <c r="L397" s="6"/>
      <c r="M397" s="6"/>
      <c r="N397" s="6"/>
      <c r="O397" s="6"/>
      <c r="P397" s="6"/>
      <c r="Q397" s="6"/>
      <c r="R397" s="62"/>
      <c r="S397" s="62"/>
      <c r="T397" s="62"/>
      <c r="U397" s="62"/>
      <c r="V397" s="63"/>
      <c r="W397" s="63"/>
      <c r="X397" s="63"/>
      <c r="Y397" s="63"/>
      <c r="Z397" s="63"/>
      <c r="AA397" s="6"/>
      <c r="AB397" s="6"/>
      <c r="AC397" s="6"/>
    </row>
    <row r="398" spans="1:29">
      <c r="A398" s="62"/>
      <c r="B398" s="62"/>
      <c r="C398" s="62"/>
      <c r="D398" s="62"/>
      <c r="E398" s="63"/>
      <c r="F398" s="63"/>
      <c r="G398" s="63"/>
      <c r="H398" s="63"/>
      <c r="I398" s="63"/>
      <c r="J398" s="6"/>
      <c r="K398" s="6"/>
      <c r="L398" s="6"/>
      <c r="M398" s="6"/>
      <c r="N398" s="6"/>
      <c r="O398" s="6"/>
      <c r="P398" s="6"/>
      <c r="Q398" s="6"/>
      <c r="R398" s="62"/>
      <c r="S398" s="62"/>
      <c r="T398" s="62"/>
      <c r="U398" s="62"/>
      <c r="V398" s="63"/>
      <c r="W398" s="63"/>
      <c r="X398" s="63"/>
      <c r="Y398" s="63"/>
      <c r="Z398" s="63"/>
      <c r="AA398" s="6"/>
      <c r="AB398" s="6"/>
      <c r="AC398" s="6"/>
    </row>
    <row r="399" spans="1:29">
      <c r="A399" s="62"/>
      <c r="B399" s="62"/>
      <c r="C399" s="62"/>
      <c r="D399" s="62"/>
      <c r="E399" s="63"/>
      <c r="F399" s="63"/>
      <c r="G399" s="63"/>
      <c r="H399" s="63"/>
      <c r="I399" s="63"/>
      <c r="J399" s="6"/>
      <c r="K399" s="6"/>
      <c r="L399" s="6"/>
      <c r="M399" s="6"/>
      <c r="N399" s="6"/>
      <c r="O399" s="6"/>
      <c r="P399" s="6"/>
      <c r="Q399" s="6"/>
      <c r="R399" s="62"/>
      <c r="S399" s="62"/>
      <c r="T399" s="62"/>
      <c r="U399" s="62"/>
      <c r="V399" s="63"/>
      <c r="W399" s="63"/>
      <c r="X399" s="63"/>
      <c r="Y399" s="63"/>
      <c r="Z399" s="63"/>
      <c r="AA399" s="6"/>
      <c r="AB399" s="6"/>
      <c r="AC399" s="6"/>
    </row>
    <row r="400" spans="1:29">
      <c r="A400" s="62"/>
      <c r="B400" s="62"/>
      <c r="C400" s="62"/>
      <c r="D400" s="62"/>
      <c r="E400" s="63"/>
      <c r="F400" s="63"/>
      <c r="G400" s="63"/>
      <c r="H400" s="63"/>
      <c r="I400" s="63"/>
      <c r="J400" s="6"/>
      <c r="K400" s="6"/>
      <c r="L400" s="6"/>
      <c r="M400" s="6"/>
      <c r="N400" s="6"/>
      <c r="O400" s="6"/>
      <c r="P400" s="6"/>
      <c r="Q400" s="6"/>
      <c r="R400" s="62"/>
      <c r="S400" s="62"/>
      <c r="T400" s="62"/>
      <c r="U400" s="62"/>
      <c r="V400" s="63"/>
      <c r="W400" s="63"/>
      <c r="X400" s="63"/>
      <c r="Y400" s="63"/>
      <c r="Z400" s="63"/>
      <c r="AA400" s="6"/>
      <c r="AB400" s="6"/>
      <c r="AC400" s="6"/>
    </row>
    <row r="401" spans="1:29">
      <c r="A401" s="62"/>
      <c r="B401" s="62"/>
      <c r="C401" s="62"/>
      <c r="D401" s="62"/>
      <c r="E401" s="63"/>
      <c r="F401" s="63"/>
      <c r="G401" s="63"/>
      <c r="H401" s="63"/>
      <c r="I401" s="63"/>
      <c r="J401" s="6"/>
      <c r="K401" s="6"/>
      <c r="L401" s="6"/>
      <c r="M401" s="6"/>
      <c r="N401" s="6"/>
      <c r="O401" s="6"/>
      <c r="P401" s="6"/>
      <c r="Q401" s="6"/>
      <c r="R401" s="62"/>
      <c r="S401" s="62"/>
      <c r="T401" s="62"/>
      <c r="U401" s="62"/>
      <c r="V401" s="63"/>
      <c r="W401" s="63"/>
      <c r="X401" s="63"/>
      <c r="Y401" s="63"/>
      <c r="Z401" s="63"/>
      <c r="AA401" s="6"/>
      <c r="AB401" s="6"/>
      <c r="AC401" s="6"/>
    </row>
    <row r="402" spans="1:29">
      <c r="A402" s="62"/>
      <c r="B402" s="62"/>
      <c r="C402" s="62"/>
      <c r="D402" s="62"/>
      <c r="E402" s="63"/>
      <c r="F402" s="63"/>
      <c r="G402" s="63"/>
      <c r="H402" s="63"/>
      <c r="I402" s="63"/>
      <c r="J402" s="6"/>
      <c r="K402" s="6"/>
      <c r="L402" s="6"/>
      <c r="M402" s="6"/>
      <c r="N402" s="6"/>
      <c r="O402" s="6"/>
      <c r="P402" s="6"/>
      <c r="Q402" s="6"/>
      <c r="R402" s="62"/>
      <c r="S402" s="62"/>
      <c r="T402" s="62"/>
      <c r="U402" s="62"/>
      <c r="V402" s="63"/>
      <c r="W402" s="63"/>
      <c r="X402" s="63"/>
      <c r="Y402" s="63"/>
      <c r="Z402" s="63"/>
      <c r="AA402" s="6"/>
      <c r="AB402" s="6"/>
      <c r="AC402" s="6"/>
    </row>
    <row r="403" spans="1:29">
      <c r="A403" s="62"/>
      <c r="B403" s="62"/>
      <c r="C403" s="62"/>
      <c r="D403" s="62"/>
      <c r="E403" s="63"/>
      <c r="F403" s="63"/>
      <c r="G403" s="63"/>
      <c r="H403" s="63"/>
      <c r="I403" s="63"/>
      <c r="J403" s="6"/>
      <c r="K403" s="6"/>
      <c r="L403" s="6"/>
      <c r="M403" s="6"/>
      <c r="N403" s="6"/>
      <c r="O403" s="6"/>
      <c r="P403" s="6"/>
      <c r="Q403" s="6"/>
      <c r="R403" s="62"/>
      <c r="S403" s="62"/>
      <c r="T403" s="62"/>
      <c r="U403" s="62"/>
      <c r="V403" s="63"/>
      <c r="W403" s="63"/>
      <c r="X403" s="63"/>
      <c r="Y403" s="63"/>
      <c r="Z403" s="63"/>
      <c r="AA403" s="6"/>
      <c r="AB403" s="6"/>
      <c r="AC403" s="6"/>
    </row>
    <row r="404" spans="1:29">
      <c r="A404" s="62"/>
      <c r="B404" s="62"/>
      <c r="C404" s="62"/>
      <c r="D404" s="62"/>
      <c r="E404" s="63"/>
      <c r="F404" s="63"/>
      <c r="G404" s="63"/>
      <c r="H404" s="63"/>
      <c r="I404" s="63"/>
      <c r="J404" s="6"/>
      <c r="K404" s="6"/>
      <c r="L404" s="6"/>
      <c r="M404" s="6"/>
      <c r="N404" s="6"/>
      <c r="O404" s="6"/>
      <c r="P404" s="6"/>
      <c r="Q404" s="6"/>
      <c r="R404" s="62"/>
      <c r="S404" s="62"/>
      <c r="T404" s="62"/>
      <c r="U404" s="62"/>
      <c r="V404" s="63"/>
      <c r="W404" s="63"/>
      <c r="X404" s="63"/>
      <c r="Y404" s="63"/>
      <c r="Z404" s="63"/>
      <c r="AA404" s="6"/>
      <c r="AB404" s="6"/>
      <c r="AC404" s="6"/>
    </row>
    <row r="405" spans="1:29">
      <c r="A405" s="62"/>
      <c r="B405" s="62"/>
      <c r="C405" s="62"/>
      <c r="D405" s="62"/>
      <c r="E405" s="63"/>
      <c r="F405" s="63"/>
      <c r="G405" s="63"/>
      <c r="H405" s="63"/>
      <c r="I405" s="63"/>
      <c r="J405" s="6"/>
      <c r="K405" s="6"/>
      <c r="L405" s="6"/>
      <c r="M405" s="6"/>
      <c r="N405" s="6"/>
      <c r="O405" s="6"/>
      <c r="P405" s="6"/>
      <c r="Q405" s="6"/>
      <c r="R405" s="62"/>
      <c r="S405" s="62"/>
      <c r="T405" s="62"/>
      <c r="U405" s="62"/>
      <c r="V405" s="63"/>
      <c r="W405" s="63"/>
      <c r="X405" s="63"/>
      <c r="Y405" s="63"/>
      <c r="Z405" s="63"/>
      <c r="AA405" s="6"/>
      <c r="AB405" s="6"/>
      <c r="AC405" s="6"/>
    </row>
    <row r="406" spans="1:29">
      <c r="A406" s="62"/>
      <c r="B406" s="62"/>
      <c r="C406" s="62"/>
      <c r="D406" s="62"/>
      <c r="E406" s="63"/>
      <c r="F406" s="63"/>
      <c r="G406" s="63"/>
      <c r="H406" s="63"/>
      <c r="I406" s="63"/>
      <c r="J406" s="6"/>
      <c r="K406" s="6"/>
      <c r="L406" s="6"/>
      <c r="M406" s="6"/>
      <c r="N406" s="6"/>
      <c r="O406" s="6"/>
      <c r="P406" s="6"/>
      <c r="Q406" s="6"/>
      <c r="R406" s="62"/>
      <c r="S406" s="62"/>
      <c r="T406" s="62"/>
      <c r="U406" s="62"/>
      <c r="V406" s="63"/>
      <c r="W406" s="63"/>
      <c r="X406" s="63"/>
      <c r="Y406" s="63"/>
      <c r="Z406" s="63"/>
      <c r="AA406" s="6"/>
      <c r="AB406" s="6"/>
      <c r="AC406" s="6"/>
    </row>
  </sheetData>
  <autoFilter ref="A1:AC406" xr:uid="{D8B39275-0DD8-436C-88F7-F23C5AB6D84C}"/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phoneticPr fontId="26" type="noConversion"/>
  <conditionalFormatting sqref="J3:P406 AA48:AC406">
    <cfRule type="cellIs" dxfId="68" priority="1" operator="equal">
      <formula>"SI"</formula>
    </cfRule>
    <cfRule type="cellIs" dxfId="67" priority="2" operator="equal">
      <formula>"NO"</formula>
    </cfRule>
  </conditionalFormatting>
  <conditionalFormatting sqref="Q3:Q406">
    <cfRule type="cellIs" dxfId="66" priority="3" operator="equal">
      <formula>"Aplicar identificación avanzada-condición aceptable para cada tipo de factor de riesgo identificado"</formula>
    </cfRule>
    <cfRule type="cellIs" dxfId="65" priority="4" operator="equal">
      <formula>"Ausencia total del riesgo, reevaluar cada 3 años con nueva identificación inicial"</formula>
    </cfRule>
  </conditionalFormatting>
  <dataValidations count="1">
    <dataValidation type="list" allowBlank="1" showInputMessage="1" showErrorMessage="1" sqref="J3:P134" xr:uid="{6DDFD870-F0C8-495C-8C08-B53A7C78A5C3}">
      <formula1>"SI,NO"</formula1>
    </dataValidation>
  </dataValidations>
  <hyperlinks>
    <hyperlink ref="J1" location="'Mov. Rep.'!A1" display="Trabajo repetitivo de miembros superiores." xr:uid="{3CDB5ED2-8AAD-466F-A929-83AA0B82CF27}"/>
    <hyperlink ref="K1" location="'Postura estatica'!A1" display="Postura de trabajo estática" xr:uid="{9575FEAC-B375-41FB-BB56-9C2BD0252557}"/>
    <hyperlink ref="L1" location="'MMC Levantamiento-Descenso'!A1" display="MMC Levantamiento/Descenso" xr:uid="{BE889A4C-9C8F-49A5-9138-903164A0C8F8}"/>
    <hyperlink ref="M1" location="'MMC Empuje-Arrastre '!A1" display="MMC Empuje/Arrastre" xr:uid="{1C19BA96-F978-47FA-A84D-D459C5A6A95F}"/>
    <hyperlink ref="N1" location="'Manejo manual PCTS'!A1" display="Manejo manual de pacientes / personas" xr:uid="{B7E6099C-FAC0-4BEC-9D38-BCA9E3497355}"/>
    <hyperlink ref="O1" location="'Vibración Cuerpo completo'!A1" display="Vibración de cuerpo completo" xr:uid="{9C84EFD3-DBBF-49D8-91E2-E065E75B7605}"/>
    <hyperlink ref="P1" location="'Vibración Mano-Brazo'!A1" display="Vibración segmento mano – brazo" xr:uid="{ACDC2766-AAA0-4282-B50D-150694D2F6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dimension ref="A1:AC300"/>
  <sheetViews>
    <sheetView zoomScaleNormal="100" workbookViewId="0">
      <pane xSplit="4" ySplit="2" topLeftCell="S41" activePane="bottomRight" state="frozen"/>
      <selection pane="bottomRight" activeCell="W3" sqref="W3:W107"/>
      <selection pane="bottomLeft" activeCell="A3" sqref="A3"/>
      <selection pane="topRight" activeCell="E1" sqref="E1"/>
    </sheetView>
  </sheetViews>
  <sheetFormatPr defaultColWidth="11.42578125" defaultRowHeight="15"/>
  <cols>
    <col min="1" max="1" width="8.28515625" style="56" customWidth="1"/>
    <col min="2" max="2" width="11.5703125" style="57" customWidth="1"/>
    <col min="3" max="3" width="22.5703125" style="57" customWidth="1"/>
    <col min="4" max="4" width="41.140625" style="59" customWidth="1"/>
    <col min="5" max="5" width="32.42578125" style="60" customWidth="1"/>
    <col min="6" max="6" width="11.5703125" style="57"/>
    <col min="7" max="8" width="11.5703125" style="58"/>
    <col min="9" max="9" width="11.5703125" style="61" customWidth="1"/>
    <col min="10" max="10" width="23.28515625" style="45" customWidth="1"/>
    <col min="11" max="11" width="28.7109375" style="38" customWidth="1"/>
    <col min="12" max="12" width="32" style="38" customWidth="1"/>
    <col min="13" max="13" width="18.85546875" style="38" customWidth="1"/>
    <col min="14" max="14" width="18.140625" style="38" customWidth="1"/>
    <col min="15" max="15" width="12.140625" style="38" customWidth="1"/>
    <col min="16" max="16" width="10.42578125" style="38" customWidth="1"/>
    <col min="17" max="17" width="22" style="38" customWidth="1"/>
    <col min="18" max="18" width="25.42578125" style="38" customWidth="1"/>
    <col min="19" max="19" width="20.28515625" style="38" customWidth="1"/>
    <col min="20" max="20" width="29.28515625" style="38" customWidth="1"/>
    <col min="21" max="21" width="16.85546875" style="38" customWidth="1"/>
    <col min="22" max="22" width="17.28515625" style="38" customWidth="1"/>
    <col min="23" max="28" width="11.5703125" style="38"/>
    <col min="29" max="29" width="11.5703125" style="1"/>
  </cols>
  <sheetData>
    <row r="1" spans="1:29" ht="21" customHeight="1" thickBot="1">
      <c r="A1" s="143" t="s">
        <v>320</v>
      </c>
      <c r="B1" s="144"/>
      <c r="C1" s="144"/>
      <c r="D1" s="144"/>
      <c r="E1" s="144"/>
      <c r="F1" s="147" t="s">
        <v>321</v>
      </c>
      <c r="G1" s="147"/>
      <c r="H1" s="147" t="s">
        <v>322</v>
      </c>
      <c r="I1" s="148"/>
      <c r="J1" s="145" t="s">
        <v>323</v>
      </c>
      <c r="K1" s="145"/>
      <c r="L1" s="145"/>
      <c r="M1" s="145"/>
      <c r="N1" s="145"/>
      <c r="O1" s="145"/>
      <c r="P1" s="145"/>
      <c r="Q1" s="146" t="s">
        <v>324</v>
      </c>
      <c r="R1" s="146"/>
      <c r="S1" s="146"/>
      <c r="T1" s="146"/>
      <c r="U1" s="146"/>
      <c r="V1" s="146"/>
      <c r="W1" s="146"/>
      <c r="X1" s="146" t="s">
        <v>325</v>
      </c>
      <c r="Y1" s="146"/>
      <c r="Z1" s="146"/>
      <c r="AA1" s="146"/>
      <c r="AB1" s="146"/>
    </row>
    <row r="2" spans="1:29" ht="88.15" customHeight="1">
      <c r="A2" s="41" t="s">
        <v>35</v>
      </c>
      <c r="B2" s="42" t="s">
        <v>36</v>
      </c>
      <c r="C2" s="42" t="s">
        <v>37</v>
      </c>
      <c r="D2" s="47" t="s">
        <v>38</v>
      </c>
      <c r="E2" s="46" t="s">
        <v>40</v>
      </c>
      <c r="F2" s="42" t="s">
        <v>326</v>
      </c>
      <c r="G2" s="42" t="s">
        <v>327</v>
      </c>
      <c r="H2" s="42" t="s">
        <v>328</v>
      </c>
      <c r="I2" s="43" t="s">
        <v>329</v>
      </c>
      <c r="J2" s="40" t="s">
        <v>330</v>
      </c>
      <c r="K2" s="39" t="s">
        <v>331</v>
      </c>
      <c r="L2" s="39" t="s">
        <v>332</v>
      </c>
      <c r="M2" s="39" t="s">
        <v>333</v>
      </c>
      <c r="N2" s="39" t="s">
        <v>334</v>
      </c>
      <c r="O2" s="39" t="s">
        <v>335</v>
      </c>
      <c r="P2" s="39" t="s">
        <v>336</v>
      </c>
      <c r="Q2" s="39" t="s">
        <v>337</v>
      </c>
      <c r="R2" s="39" t="s">
        <v>338</v>
      </c>
      <c r="S2" s="39" t="s">
        <v>339</v>
      </c>
      <c r="T2" s="39" t="s">
        <v>340</v>
      </c>
      <c r="U2" s="39" t="s">
        <v>341</v>
      </c>
      <c r="V2" s="39" t="s">
        <v>342</v>
      </c>
      <c r="W2" s="39" t="s">
        <v>343</v>
      </c>
      <c r="X2" s="39" t="s">
        <v>344</v>
      </c>
      <c r="Y2" s="39" t="s">
        <v>345</v>
      </c>
      <c r="Z2" s="39" t="s">
        <v>346</v>
      </c>
      <c r="AA2" s="39" t="s">
        <v>347</v>
      </c>
      <c r="AB2" s="39" t="s">
        <v>348</v>
      </c>
      <c r="AC2" s="39" t="s">
        <v>349</v>
      </c>
    </row>
    <row r="3" spans="1:29" s="5" customFormat="1" ht="39.6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IF(Inicial!J3="SI",Inicial!E3,"N/A")</f>
        <v>Am 07:40 a 15:30       Pm 18:10 a 03:30</v>
      </c>
      <c r="F3" s="53">
        <f>IF(Inicial!J3="SI",Inicial!F3,"N/A")</f>
        <v>1</v>
      </c>
      <c r="G3" s="53">
        <f>IF(Inicial!J3="SI",Inicial!G3,"N/A")</f>
        <v>6</v>
      </c>
      <c r="H3" s="53">
        <f>IF(Inicial!J3="SI",Inicial!H3,"N/A")</f>
        <v>11</v>
      </c>
      <c r="I3" s="55">
        <f>IF(Inicial!J3="SI",Inicial!I3,"N/A")</f>
        <v>5</v>
      </c>
      <c r="J3" s="44" t="s">
        <v>64</v>
      </c>
      <c r="K3" s="6" t="s">
        <v>63</v>
      </c>
      <c r="L3" s="6" t="s">
        <v>63</v>
      </c>
      <c r="M3" s="6" t="s">
        <v>63</v>
      </c>
      <c r="N3" s="6" t="s">
        <v>63</v>
      </c>
      <c r="O3" s="6" t="s">
        <v>63</v>
      </c>
      <c r="P3" s="6" t="str">
        <f>IF(OR(J3="NO",K3="NO",L3="NO",M3="NO",N3="NO",O3="NO"),"No Aceptable","Aceptable")</f>
        <v>No Aceptable</v>
      </c>
      <c r="Q3" s="6" t="s">
        <v>64</v>
      </c>
      <c r="R3" s="6" t="s">
        <v>64</v>
      </c>
      <c r="S3" s="6" t="s">
        <v>64</v>
      </c>
      <c r="T3" s="6" t="s">
        <v>64</v>
      </c>
      <c r="U3" s="6" t="s">
        <v>64</v>
      </c>
      <c r="V3" s="6" t="s">
        <v>64</v>
      </c>
      <c r="W3" s="6" t="str">
        <f>IF(AND(Q3="NO",R3="NO",S3="NO",T3="NO",U3="NO",V3="NO"),"No Critico","Critico")</f>
        <v>No Critico</v>
      </c>
      <c r="X3" s="6"/>
      <c r="Y3" s="6"/>
      <c r="Z3" s="6"/>
      <c r="AA3" s="6"/>
      <c r="AB3" s="6"/>
      <c r="AC3" s="2"/>
    </row>
    <row r="4" spans="1:29" ht="31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IF(Inicial!J4="SI",Inicial!E4,"N/A")</f>
        <v>Am 07:40 a 15:30       Pm 18:10 a 03:31</v>
      </c>
      <c r="F4" s="53">
        <f>IF(Inicial!J4="SI",Inicial!F4,"N/A")</f>
        <v>1</v>
      </c>
      <c r="G4" s="53">
        <f>IF(Inicial!J4="SI",Inicial!G4,"N/A")</f>
        <v>6</v>
      </c>
      <c r="H4" s="53">
        <f>IF(Inicial!J4="SI",Inicial!H4,"N/A")</f>
        <v>11</v>
      </c>
      <c r="I4" s="55">
        <f>IF(Inicial!J4="SI",Inicial!I4,"N/A")</f>
        <v>5</v>
      </c>
      <c r="J4" s="44" t="s">
        <v>64</v>
      </c>
      <c r="K4" s="6" t="s">
        <v>63</v>
      </c>
      <c r="L4" s="6" t="s">
        <v>63</v>
      </c>
      <c r="M4" s="6" t="s">
        <v>63</v>
      </c>
      <c r="N4" s="6" t="s">
        <v>63</v>
      </c>
      <c r="O4" s="6" t="s">
        <v>63</v>
      </c>
      <c r="P4" s="6" t="str">
        <f t="shared" ref="P4:P47" si="0">IF(OR(J4="NO",K4="NO",L4="NO",M4="NO",N4="NO",O4="NO"),"No Aceptable","Aceptable")</f>
        <v>No Aceptable</v>
      </c>
      <c r="Q4" s="6" t="s">
        <v>64</v>
      </c>
      <c r="R4" s="6" t="s">
        <v>64</v>
      </c>
      <c r="S4" s="6" t="s">
        <v>64</v>
      </c>
      <c r="T4" s="6" t="s">
        <v>64</v>
      </c>
      <c r="U4" s="6" t="s">
        <v>64</v>
      </c>
      <c r="V4" s="6" t="s">
        <v>64</v>
      </c>
      <c r="W4" s="6" t="str">
        <f t="shared" ref="W4:W47" si="1">IF(AND(Q4="NO",R4="NO",S4="NO",T4="NO",U4="NO",V4="NO"),"No Critico","Critico")</f>
        <v>No Critico</v>
      </c>
    </row>
    <row r="5" spans="1:29" ht="30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IF(Inicial!J5="SI",Inicial!E5,"N/A")</f>
        <v>Am 07:40 a 15:30       Pm 18:10 a 03:32</v>
      </c>
      <c r="F5" s="53">
        <f>IF(Inicial!J5="SI",Inicial!F5,"N/A")</f>
        <v>1</v>
      </c>
      <c r="G5" s="53">
        <f>IF(Inicial!J5="SI",Inicial!G5,"N/A")</f>
        <v>6</v>
      </c>
      <c r="H5" s="53">
        <f>IF(Inicial!J5="SI",Inicial!H5,"N/A")</f>
        <v>11</v>
      </c>
      <c r="I5" s="55">
        <f>IF(Inicial!J5="SI",Inicial!I5,"N/A")</f>
        <v>5</v>
      </c>
      <c r="J5" s="44" t="s">
        <v>64</v>
      </c>
      <c r="K5" s="6" t="s">
        <v>63</v>
      </c>
      <c r="L5" s="6" t="s">
        <v>63</v>
      </c>
      <c r="M5" s="6" t="s">
        <v>63</v>
      </c>
      <c r="N5" s="6" t="s">
        <v>63</v>
      </c>
      <c r="O5" s="6" t="s">
        <v>63</v>
      </c>
      <c r="P5" s="6" t="str">
        <f t="shared" si="0"/>
        <v>No Aceptable</v>
      </c>
      <c r="Q5" s="6" t="s">
        <v>64</v>
      </c>
      <c r="R5" s="6" t="s">
        <v>64</v>
      </c>
      <c r="S5" s="6" t="s">
        <v>64</v>
      </c>
      <c r="T5" s="6" t="s">
        <v>64</v>
      </c>
      <c r="U5" s="6" t="s">
        <v>64</v>
      </c>
      <c r="V5" s="6" t="s">
        <v>64</v>
      </c>
      <c r="W5" s="6" t="str">
        <f t="shared" si="1"/>
        <v>No Critico</v>
      </c>
    </row>
    <row r="6" spans="1:29" ht="30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IF(Inicial!J6="SI",Inicial!E6,"N/A")</f>
        <v>Am 07:40 a 15:30       Pm 18:10 a 03:33</v>
      </c>
      <c r="F6" s="53">
        <f>IF(Inicial!J6="SI",Inicial!F6,"N/A")</f>
        <v>1</v>
      </c>
      <c r="G6" s="53">
        <f>IF(Inicial!J6="SI",Inicial!G6,"N/A")</f>
        <v>6</v>
      </c>
      <c r="H6" s="53">
        <f>IF(Inicial!J6="SI",Inicial!H6,"N/A")</f>
        <v>11</v>
      </c>
      <c r="I6" s="55">
        <f>IF(Inicial!J6="SI",Inicial!I6,"N/A")</f>
        <v>5</v>
      </c>
      <c r="J6" s="44" t="s">
        <v>64</v>
      </c>
      <c r="K6" s="6" t="s">
        <v>63</v>
      </c>
      <c r="L6" s="6" t="s">
        <v>63</v>
      </c>
      <c r="M6" s="6" t="s">
        <v>63</v>
      </c>
      <c r="N6" s="6" t="s">
        <v>63</v>
      </c>
      <c r="O6" s="6" t="s">
        <v>63</v>
      </c>
      <c r="P6" s="6" t="str">
        <f t="shared" si="0"/>
        <v>No Aceptable</v>
      </c>
      <c r="Q6" s="6" t="s">
        <v>64</v>
      </c>
      <c r="R6" s="6" t="s">
        <v>64</v>
      </c>
      <c r="S6" s="6" t="s">
        <v>64</v>
      </c>
      <c r="T6" s="6" t="s">
        <v>64</v>
      </c>
      <c r="U6" s="6" t="s">
        <v>64</v>
      </c>
      <c r="V6" s="6" t="s">
        <v>64</v>
      </c>
      <c r="W6" s="6" t="str">
        <f t="shared" si="1"/>
        <v>No Critico</v>
      </c>
    </row>
    <row r="7" spans="1:29" ht="30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IF(Inicial!J7="SI",Inicial!E7,"N/A")</f>
        <v>Am 07:40 a 15:30       Pm 18:10 a 03:34</v>
      </c>
      <c r="F7" s="53">
        <f>IF(Inicial!J7="SI",Inicial!F7,"N/A")</f>
        <v>1</v>
      </c>
      <c r="G7" s="53">
        <f>IF(Inicial!J7="SI",Inicial!G7,"N/A")</f>
        <v>6</v>
      </c>
      <c r="H7" s="53">
        <f>IF(Inicial!J7="SI",Inicial!H7,"N/A")</f>
        <v>11</v>
      </c>
      <c r="I7" s="55">
        <f>IF(Inicial!J7="SI",Inicial!I7,"N/A")</f>
        <v>5</v>
      </c>
      <c r="J7" s="44" t="s">
        <v>64</v>
      </c>
      <c r="K7" s="6" t="s">
        <v>63</v>
      </c>
      <c r="L7" s="6" t="s">
        <v>63</v>
      </c>
      <c r="M7" s="6" t="s">
        <v>63</v>
      </c>
      <c r="N7" s="6" t="s">
        <v>63</v>
      </c>
      <c r="O7" s="6" t="s">
        <v>63</v>
      </c>
      <c r="P7" s="6" t="str">
        <f t="shared" si="0"/>
        <v>No Aceptable</v>
      </c>
      <c r="Q7" s="6" t="s">
        <v>64</v>
      </c>
      <c r="R7" s="6" t="s">
        <v>64</v>
      </c>
      <c r="S7" s="6" t="s">
        <v>64</v>
      </c>
      <c r="T7" s="6" t="s">
        <v>64</v>
      </c>
      <c r="U7" s="6" t="s">
        <v>64</v>
      </c>
      <c r="V7" s="6" t="s">
        <v>64</v>
      </c>
      <c r="W7" s="6" t="str">
        <f t="shared" si="1"/>
        <v>No Critico</v>
      </c>
    </row>
    <row r="8" spans="1:29" ht="30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IF(Inicial!J8="SI",Inicial!E8,"N/A")</f>
        <v>Am 07:40 a 15:30       Pm 18:10 a 03:35</v>
      </c>
      <c r="F8" s="53">
        <f>IF(Inicial!J8="SI",Inicial!F8,"N/A")</f>
        <v>1</v>
      </c>
      <c r="G8" s="53">
        <f>IF(Inicial!J8="SI",Inicial!G8,"N/A")</f>
        <v>6</v>
      </c>
      <c r="H8" s="53">
        <f>IF(Inicial!J8="SI",Inicial!H8,"N/A")</f>
        <v>11</v>
      </c>
      <c r="I8" s="55">
        <f>IF(Inicial!J8="SI",Inicial!I8,"N/A")</f>
        <v>5</v>
      </c>
      <c r="J8" s="44" t="s">
        <v>64</v>
      </c>
      <c r="K8" s="6" t="s">
        <v>63</v>
      </c>
      <c r="L8" s="6" t="s">
        <v>63</v>
      </c>
      <c r="M8" s="6" t="s">
        <v>63</v>
      </c>
      <c r="N8" s="6" t="s">
        <v>63</v>
      </c>
      <c r="O8" s="6" t="s">
        <v>63</v>
      </c>
      <c r="P8" s="6" t="str">
        <f t="shared" si="0"/>
        <v>No Aceptable</v>
      </c>
      <c r="Q8" s="6" t="s">
        <v>64</v>
      </c>
      <c r="R8" s="6" t="s">
        <v>64</v>
      </c>
      <c r="S8" s="6" t="s">
        <v>64</v>
      </c>
      <c r="T8" s="6" t="s">
        <v>64</v>
      </c>
      <c r="U8" s="6" t="s">
        <v>64</v>
      </c>
      <c r="V8" s="6" t="s">
        <v>64</v>
      </c>
      <c r="W8" s="6" t="str">
        <f t="shared" si="1"/>
        <v>No Critico</v>
      </c>
    </row>
    <row r="9" spans="1:29" ht="30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IF(Inicial!J9="SI",Inicial!E9,"N/A")</f>
        <v>Am 07:40 a 15:30       Pm 18:10 a 03:36</v>
      </c>
      <c r="F9" s="53">
        <f>IF(Inicial!J9="SI",Inicial!F9,"N/A")</f>
        <v>1</v>
      </c>
      <c r="G9" s="53">
        <f>IF(Inicial!J9="SI",Inicial!G9,"N/A")</f>
        <v>6</v>
      </c>
      <c r="H9" s="53">
        <f>IF(Inicial!J9="SI",Inicial!H9,"N/A")</f>
        <v>11</v>
      </c>
      <c r="I9" s="55">
        <f>IF(Inicial!J9="SI",Inicial!I9,"N/A")</f>
        <v>5</v>
      </c>
      <c r="J9" s="44" t="s">
        <v>64</v>
      </c>
      <c r="K9" s="6" t="s">
        <v>63</v>
      </c>
      <c r="L9" s="6" t="s">
        <v>63</v>
      </c>
      <c r="M9" s="6" t="s">
        <v>63</v>
      </c>
      <c r="N9" s="6" t="s">
        <v>63</v>
      </c>
      <c r="O9" s="6" t="s">
        <v>63</v>
      </c>
      <c r="P9" s="6" t="str">
        <f t="shared" si="0"/>
        <v>No Aceptable</v>
      </c>
      <c r="Q9" s="6" t="s">
        <v>64</v>
      </c>
      <c r="R9" s="6" t="s">
        <v>64</v>
      </c>
      <c r="S9" s="6" t="s">
        <v>64</v>
      </c>
      <c r="T9" s="6" t="s">
        <v>64</v>
      </c>
      <c r="U9" s="6" t="s">
        <v>64</v>
      </c>
      <c r="V9" s="6" t="s">
        <v>64</v>
      </c>
      <c r="W9" s="6" t="str">
        <f t="shared" si="1"/>
        <v>No Critico</v>
      </c>
    </row>
    <row r="10" spans="1:29" ht="30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IF(Inicial!J10="SI",Inicial!E10,"N/A")</f>
        <v>Am 07:40 a 15:30       Pm 18:10 a 03:37</v>
      </c>
      <c r="F10" s="53">
        <f>IF(Inicial!J10="SI",Inicial!F10,"N/A")</f>
        <v>1</v>
      </c>
      <c r="G10" s="53">
        <f>IF(Inicial!J10="SI",Inicial!G10,"N/A")</f>
        <v>6</v>
      </c>
      <c r="H10" s="53">
        <f>IF(Inicial!J10="SI",Inicial!H10,"N/A")</f>
        <v>11</v>
      </c>
      <c r="I10" s="55">
        <f>IF(Inicial!J10="SI",Inicial!I10,"N/A")</f>
        <v>5</v>
      </c>
      <c r="J10" s="44" t="s">
        <v>64</v>
      </c>
      <c r="K10" s="6" t="s">
        <v>63</v>
      </c>
      <c r="L10" s="6" t="s">
        <v>63</v>
      </c>
      <c r="M10" s="6" t="s">
        <v>63</v>
      </c>
      <c r="N10" s="6" t="s">
        <v>63</v>
      </c>
      <c r="O10" s="6" t="s">
        <v>63</v>
      </c>
      <c r="P10" s="6" t="str">
        <f t="shared" si="0"/>
        <v>No Aceptable</v>
      </c>
      <c r="Q10" s="6" t="s">
        <v>64</v>
      </c>
      <c r="R10" s="6" t="s">
        <v>64</v>
      </c>
      <c r="S10" s="6" t="s">
        <v>64</v>
      </c>
      <c r="T10" s="6" t="s">
        <v>64</v>
      </c>
      <c r="U10" s="6" t="s">
        <v>64</v>
      </c>
      <c r="V10" s="6" t="s">
        <v>64</v>
      </c>
      <c r="W10" s="6" t="str">
        <f t="shared" si="1"/>
        <v>No Critico</v>
      </c>
    </row>
    <row r="11" spans="1:29" ht="30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IF(Inicial!J11="SI",Inicial!E11,"N/A")</f>
        <v>Am 07:40 a 15:30       Pm 18:10 a 03:38</v>
      </c>
      <c r="F11" s="53">
        <f>IF(Inicial!J11="SI",Inicial!F11,"N/A")</f>
        <v>1</v>
      </c>
      <c r="G11" s="53">
        <f>IF(Inicial!J11="SI",Inicial!G11,"N/A")</f>
        <v>6</v>
      </c>
      <c r="H11" s="53">
        <f>IF(Inicial!J11="SI",Inicial!H11,"N/A")</f>
        <v>11</v>
      </c>
      <c r="I11" s="55">
        <f>IF(Inicial!J11="SI",Inicial!I11,"N/A")</f>
        <v>5</v>
      </c>
      <c r="J11" s="44" t="s">
        <v>64</v>
      </c>
      <c r="K11" s="6" t="s">
        <v>63</v>
      </c>
      <c r="L11" s="6" t="s">
        <v>63</v>
      </c>
      <c r="M11" s="6" t="s">
        <v>63</v>
      </c>
      <c r="N11" s="6" t="s">
        <v>63</v>
      </c>
      <c r="O11" s="6" t="s">
        <v>63</v>
      </c>
      <c r="P11" s="6" t="str">
        <f t="shared" si="0"/>
        <v>No Aceptable</v>
      </c>
      <c r="Q11" s="6" t="s">
        <v>64</v>
      </c>
      <c r="R11" s="6" t="s">
        <v>64</v>
      </c>
      <c r="S11" s="6" t="s">
        <v>64</v>
      </c>
      <c r="T11" s="6" t="s">
        <v>64</v>
      </c>
      <c r="U11" s="6" t="s">
        <v>64</v>
      </c>
      <c r="V11" s="6" t="s">
        <v>64</v>
      </c>
      <c r="W11" s="6" t="str">
        <f t="shared" si="1"/>
        <v>No Critico</v>
      </c>
    </row>
    <row r="12" spans="1:29" ht="30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IF(Inicial!J12="SI",Inicial!E12,"N/A")</f>
        <v>Am 07:40 a 15:30       Pm 18:10 a 03:39</v>
      </c>
      <c r="F12" s="53">
        <f>IF(Inicial!J12="SI",Inicial!F12,"N/A")</f>
        <v>1</v>
      </c>
      <c r="G12" s="53">
        <f>IF(Inicial!J12="SI",Inicial!G12,"N/A")</f>
        <v>6</v>
      </c>
      <c r="H12" s="53">
        <f>IF(Inicial!J12="SI",Inicial!H12,"N/A")</f>
        <v>11</v>
      </c>
      <c r="I12" s="55">
        <f>IF(Inicial!J12="SI",Inicial!I12,"N/A")</f>
        <v>5</v>
      </c>
      <c r="J12" s="44" t="s">
        <v>64</v>
      </c>
      <c r="K12" s="6" t="s">
        <v>63</v>
      </c>
      <c r="L12" s="6" t="s">
        <v>63</v>
      </c>
      <c r="M12" s="6" t="s">
        <v>63</v>
      </c>
      <c r="N12" s="6" t="s">
        <v>63</v>
      </c>
      <c r="O12" s="6" t="s">
        <v>63</v>
      </c>
      <c r="P12" s="6" t="str">
        <f t="shared" si="0"/>
        <v>No Aceptable</v>
      </c>
      <c r="Q12" s="6" t="s">
        <v>64</v>
      </c>
      <c r="R12" s="6" t="s">
        <v>64</v>
      </c>
      <c r="S12" s="6" t="s">
        <v>64</v>
      </c>
      <c r="T12" s="6" t="s">
        <v>64</v>
      </c>
      <c r="U12" s="6" t="s">
        <v>64</v>
      </c>
      <c r="V12" s="6" t="s">
        <v>64</v>
      </c>
      <c r="W12" s="6" t="str">
        <f t="shared" si="1"/>
        <v>No Critico</v>
      </c>
    </row>
    <row r="13" spans="1:29" ht="30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IF(Inicial!J13="SI",Inicial!E13,"N/A")</f>
        <v>Am 07:40 a 15:30       Pm 18:10 a 03:40</v>
      </c>
      <c r="F13" s="53">
        <f>IF(Inicial!J13="SI",Inicial!F13,"N/A")</f>
        <v>1</v>
      </c>
      <c r="G13" s="53">
        <f>IF(Inicial!J13="SI",Inicial!G13,"N/A")</f>
        <v>6</v>
      </c>
      <c r="H13" s="53">
        <f>IF(Inicial!J13="SI",Inicial!H13,"N/A")</f>
        <v>11</v>
      </c>
      <c r="I13" s="55">
        <f>IF(Inicial!J13="SI",Inicial!I13,"N/A")</f>
        <v>5</v>
      </c>
      <c r="J13" s="44" t="s">
        <v>64</v>
      </c>
      <c r="K13" s="6" t="s">
        <v>63</v>
      </c>
      <c r="L13" s="6" t="s">
        <v>63</v>
      </c>
      <c r="M13" s="6" t="s">
        <v>63</v>
      </c>
      <c r="N13" s="6" t="s">
        <v>63</v>
      </c>
      <c r="O13" s="6" t="s">
        <v>63</v>
      </c>
      <c r="P13" s="6" t="str">
        <f t="shared" si="0"/>
        <v>No Aceptable</v>
      </c>
      <c r="Q13" s="6" t="s">
        <v>64</v>
      </c>
      <c r="R13" s="6" t="s">
        <v>64</v>
      </c>
      <c r="S13" s="6" t="s">
        <v>64</v>
      </c>
      <c r="T13" s="6" t="s">
        <v>64</v>
      </c>
      <c r="U13" s="6" t="s">
        <v>64</v>
      </c>
      <c r="V13" s="6" t="s">
        <v>64</v>
      </c>
      <c r="W13" s="6" t="str">
        <f t="shared" si="1"/>
        <v>No Critico</v>
      </c>
    </row>
    <row r="14" spans="1:29" ht="30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IF(Inicial!J14="SI",Inicial!E14,"N/A")</f>
        <v xml:space="preserve">Am 07:40 a 15:30      Pm 18:10 a 03:30 </v>
      </c>
      <c r="F14" s="53">
        <f>IF(Inicial!J14="SI",Inicial!F14,"N/A")</f>
        <v>1</v>
      </c>
      <c r="G14" s="53">
        <f>IF(Inicial!J14="SI",Inicial!G14,"N/A")</f>
        <v>6</v>
      </c>
      <c r="H14" s="53">
        <f>IF(Inicial!J14="SI",Inicial!H14,"N/A")</f>
        <v>24</v>
      </c>
      <c r="I14" s="55">
        <f>IF(Inicial!J14="SI",Inicial!I14,"N/A")</f>
        <v>0</v>
      </c>
      <c r="J14" s="44" t="s">
        <v>64</v>
      </c>
      <c r="K14" s="6" t="s">
        <v>63</v>
      </c>
      <c r="L14" s="6" t="s">
        <v>63</v>
      </c>
      <c r="M14" s="6" t="s">
        <v>63</v>
      </c>
      <c r="N14" s="6" t="s">
        <v>63</v>
      </c>
      <c r="O14" s="6" t="s">
        <v>63</v>
      </c>
      <c r="P14" s="6" t="str">
        <f t="shared" si="0"/>
        <v>No Aceptable</v>
      </c>
      <c r="Q14" s="6" t="s">
        <v>64</v>
      </c>
      <c r="R14" s="6" t="s">
        <v>64</v>
      </c>
      <c r="S14" s="6" t="s">
        <v>64</v>
      </c>
      <c r="T14" s="6" t="s">
        <v>64</v>
      </c>
      <c r="U14" s="6" t="s">
        <v>64</v>
      </c>
      <c r="V14" s="6" t="s">
        <v>64</v>
      </c>
      <c r="W14" s="6" t="str">
        <f t="shared" si="1"/>
        <v>No Critico</v>
      </c>
    </row>
    <row r="15" spans="1:29" ht="30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IF(Inicial!J15="SI",Inicial!E15,"N/A")</f>
        <v>Am 07:40 a 15:30       Pm 18:10 a 03:30 Puente: 13:10 a 22:30</v>
      </c>
      <c r="F15" s="53">
        <f>IF(Inicial!J15="SI",Inicial!F15,"N/A")</f>
        <v>1</v>
      </c>
      <c r="G15" s="53">
        <f>IF(Inicial!J15="SI",Inicial!G15,"N/A")</f>
        <v>6</v>
      </c>
      <c r="H15" s="53">
        <f>IF(Inicial!J15="SI",Inicial!H15,"N/A")</f>
        <v>24</v>
      </c>
      <c r="I15" s="55">
        <f>IF(Inicial!J15="SI",Inicial!I15,"N/A")</f>
        <v>0</v>
      </c>
      <c r="J15" s="44" t="s">
        <v>64</v>
      </c>
      <c r="K15" s="6" t="s">
        <v>63</v>
      </c>
      <c r="L15" s="6" t="s">
        <v>63</v>
      </c>
      <c r="M15" s="6" t="s">
        <v>63</v>
      </c>
      <c r="N15" s="6" t="s">
        <v>63</v>
      </c>
      <c r="O15" s="6" t="s">
        <v>63</v>
      </c>
      <c r="P15" s="6" t="str">
        <f t="shared" si="0"/>
        <v>No Aceptable</v>
      </c>
      <c r="Q15" s="6" t="s">
        <v>64</v>
      </c>
      <c r="R15" s="6" t="s">
        <v>64</v>
      </c>
      <c r="S15" s="6" t="s">
        <v>64</v>
      </c>
      <c r="T15" s="6" t="s">
        <v>64</v>
      </c>
      <c r="U15" s="6" t="s">
        <v>64</v>
      </c>
      <c r="V15" s="6" t="s">
        <v>64</v>
      </c>
      <c r="W15" s="6" t="str">
        <f t="shared" si="1"/>
        <v>No Critico</v>
      </c>
    </row>
    <row r="16" spans="1:29" ht="30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IF(Inicial!J16="SI",Inicial!E16,"N/A")</f>
        <v>Am 07:40 a 15:30       Pm 18:10 a 03:30</v>
      </c>
      <c r="F16" s="53">
        <f>IF(Inicial!J16="SI",Inicial!F16,"N/A")</f>
        <v>1</v>
      </c>
      <c r="G16" s="53">
        <f>IF(Inicial!J16="SI",Inicial!G16,"N/A")</f>
        <v>6</v>
      </c>
      <c r="H16" s="53">
        <f>IF(Inicial!J16="SI",Inicial!H16,"N/A")</f>
        <v>10</v>
      </c>
      <c r="I16" s="55">
        <f>IF(Inicial!J16="SI",Inicial!I16,"N/A")</f>
        <v>0</v>
      </c>
      <c r="J16" s="44" t="s">
        <v>64</v>
      </c>
      <c r="K16" s="6" t="s">
        <v>63</v>
      </c>
      <c r="L16" s="6" t="s">
        <v>63</v>
      </c>
      <c r="M16" s="6" t="s">
        <v>63</v>
      </c>
      <c r="N16" s="6" t="s">
        <v>63</v>
      </c>
      <c r="O16" s="6" t="s">
        <v>63</v>
      </c>
      <c r="P16" s="6" t="str">
        <f t="shared" si="0"/>
        <v>No Aceptable</v>
      </c>
      <c r="Q16" s="6" t="s">
        <v>64</v>
      </c>
      <c r="R16" s="6" t="s">
        <v>64</v>
      </c>
      <c r="S16" s="6" t="s">
        <v>64</v>
      </c>
      <c r="T16" s="6" t="s">
        <v>64</v>
      </c>
      <c r="U16" s="6" t="s">
        <v>64</v>
      </c>
      <c r="V16" s="6" t="s">
        <v>64</v>
      </c>
      <c r="W16" s="6" t="str">
        <f t="shared" si="1"/>
        <v>No Critico</v>
      </c>
    </row>
    <row r="17" spans="1:23" ht="30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IF(Inicial!J17="SI",Inicial!E17,"N/A")</f>
        <v>Am 07:40 a 15:30       Pm 18:10 a 03:30</v>
      </c>
      <c r="F17" s="53">
        <f>IF(Inicial!J17="SI",Inicial!F17,"N/A")</f>
        <v>1</v>
      </c>
      <c r="G17" s="53">
        <f>IF(Inicial!J17="SI",Inicial!G17,"N/A")</f>
        <v>6</v>
      </c>
      <c r="H17" s="53">
        <f>IF(Inicial!J17="SI",Inicial!H17,"N/A")</f>
        <v>8</v>
      </c>
      <c r="I17" s="55">
        <f>IF(Inicial!J17="SI",Inicial!I17,"N/A")</f>
        <v>0</v>
      </c>
      <c r="J17" s="44" t="s">
        <v>64</v>
      </c>
      <c r="K17" s="6" t="s">
        <v>63</v>
      </c>
      <c r="L17" s="6" t="s">
        <v>63</v>
      </c>
      <c r="M17" s="6" t="s">
        <v>63</v>
      </c>
      <c r="N17" s="6" t="s">
        <v>63</v>
      </c>
      <c r="O17" s="6" t="s">
        <v>63</v>
      </c>
      <c r="P17" s="6" t="str">
        <f t="shared" si="0"/>
        <v>No Aceptable</v>
      </c>
      <c r="Q17" s="6" t="s">
        <v>64</v>
      </c>
      <c r="R17" s="6" t="s">
        <v>64</v>
      </c>
      <c r="S17" s="6" t="s">
        <v>64</v>
      </c>
      <c r="T17" s="6" t="s">
        <v>64</v>
      </c>
      <c r="U17" s="6" t="s">
        <v>64</v>
      </c>
      <c r="V17" s="6" t="s">
        <v>64</v>
      </c>
      <c r="W17" s="6" t="str">
        <f t="shared" si="1"/>
        <v>No Critico</v>
      </c>
    </row>
    <row r="18" spans="1:23" ht="30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IF(Inicial!J18="SI",Inicial!E18,"N/A")</f>
        <v>Am 07:40 a 15:30       Pm 18:10 a 03:30</v>
      </c>
      <c r="F18" s="53">
        <f>IF(Inicial!J18="SI",Inicial!F18,"N/A")</f>
        <v>1</v>
      </c>
      <c r="G18" s="53">
        <f>IF(Inicial!J18="SI",Inicial!G18,"N/A")</f>
        <v>6</v>
      </c>
      <c r="H18" s="53">
        <f>IF(Inicial!J18="SI",Inicial!H18,"N/A")</f>
        <v>2</v>
      </c>
      <c r="I18" s="55">
        <f>IF(Inicial!J18="SI",Inicial!I18,"N/A")</f>
        <v>0</v>
      </c>
      <c r="J18" s="44" t="s">
        <v>64</v>
      </c>
      <c r="K18" s="6" t="s">
        <v>63</v>
      </c>
      <c r="L18" s="6" t="s">
        <v>63</v>
      </c>
      <c r="M18" s="6" t="s">
        <v>63</v>
      </c>
      <c r="N18" s="6" t="s">
        <v>63</v>
      </c>
      <c r="O18" s="6" t="s">
        <v>63</v>
      </c>
      <c r="P18" s="6" t="str">
        <f t="shared" si="0"/>
        <v>No Aceptable</v>
      </c>
      <c r="Q18" s="6" t="s">
        <v>64</v>
      </c>
      <c r="R18" s="6" t="s">
        <v>64</v>
      </c>
      <c r="S18" s="6" t="s">
        <v>64</v>
      </c>
      <c r="T18" s="6" t="s">
        <v>64</v>
      </c>
      <c r="U18" s="6" t="s">
        <v>64</v>
      </c>
      <c r="V18" s="6" t="s">
        <v>64</v>
      </c>
      <c r="W18" s="6" t="str">
        <f t="shared" si="1"/>
        <v>No Critico</v>
      </c>
    </row>
    <row r="19" spans="1:23" ht="30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IF(Inicial!J19="SI",Inicial!E19,"N/A")</f>
        <v>Am 07:40 a 15:30       Pm 18:10 a 03:30</v>
      </c>
      <c r="F19" s="53">
        <f>IF(Inicial!J19="SI",Inicial!F19,"N/A")</f>
        <v>1</v>
      </c>
      <c r="G19" s="53">
        <f>IF(Inicial!J19="SI",Inicial!G19,"N/A")</f>
        <v>6</v>
      </c>
      <c r="H19" s="53">
        <f>IF(Inicial!J19="SI",Inicial!H19,"N/A")</f>
        <v>2</v>
      </c>
      <c r="I19" s="55">
        <f>IF(Inicial!J19="SI",Inicial!I19,"N/A")</f>
        <v>0</v>
      </c>
      <c r="J19" s="44" t="s">
        <v>64</v>
      </c>
      <c r="K19" s="6" t="s">
        <v>63</v>
      </c>
      <c r="L19" s="6" t="s">
        <v>63</v>
      </c>
      <c r="M19" s="6" t="s">
        <v>63</v>
      </c>
      <c r="N19" s="6" t="s">
        <v>63</v>
      </c>
      <c r="O19" s="6" t="s">
        <v>63</v>
      </c>
      <c r="P19" s="6" t="str">
        <f t="shared" si="0"/>
        <v>No Aceptable</v>
      </c>
      <c r="Q19" s="6" t="s">
        <v>64</v>
      </c>
      <c r="R19" s="6" t="s">
        <v>64</v>
      </c>
      <c r="S19" s="6" t="s">
        <v>64</v>
      </c>
      <c r="T19" s="6" t="s">
        <v>64</v>
      </c>
      <c r="U19" s="6" t="s">
        <v>64</v>
      </c>
      <c r="V19" s="6" t="s">
        <v>64</v>
      </c>
      <c r="W19" s="6" t="str">
        <f t="shared" si="1"/>
        <v>No Critico</v>
      </c>
    </row>
    <row r="20" spans="1:23" ht="30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IF(Inicial!J20="SI",Inicial!E20,"N/A")</f>
        <v>Am 07:40 a 15:30       Pm 18:10 a 03:30</v>
      </c>
      <c r="F20" s="53">
        <f>IF(Inicial!J20="SI",Inicial!F20,"N/A")</f>
        <v>1</v>
      </c>
      <c r="G20" s="53">
        <f>IF(Inicial!J20="SI",Inicial!G20,"N/A")</f>
        <v>6</v>
      </c>
      <c r="H20" s="53">
        <f>IF(Inicial!J20="SI",Inicial!H20,"N/A")</f>
        <v>0</v>
      </c>
      <c r="I20" s="55">
        <f>IF(Inicial!J20="SI",Inicial!I20,"N/A")</f>
        <v>12</v>
      </c>
      <c r="J20" s="44" t="s">
        <v>64</v>
      </c>
      <c r="K20" s="6" t="s">
        <v>63</v>
      </c>
      <c r="L20" s="6" t="s">
        <v>63</v>
      </c>
      <c r="M20" s="6" t="s">
        <v>63</v>
      </c>
      <c r="N20" s="6" t="s">
        <v>63</v>
      </c>
      <c r="O20" s="6" t="s">
        <v>63</v>
      </c>
      <c r="P20" s="6" t="str">
        <f t="shared" si="0"/>
        <v>No Aceptable</v>
      </c>
      <c r="Q20" s="6" t="s">
        <v>64</v>
      </c>
      <c r="R20" s="6" t="s">
        <v>64</v>
      </c>
      <c r="S20" s="6" t="s">
        <v>64</v>
      </c>
      <c r="T20" s="6" t="s">
        <v>64</v>
      </c>
      <c r="U20" s="6" t="s">
        <v>64</v>
      </c>
      <c r="V20" s="6" t="s">
        <v>64</v>
      </c>
      <c r="W20" s="6" t="str">
        <f t="shared" si="1"/>
        <v>No Critico</v>
      </c>
    </row>
    <row r="21" spans="1:23" ht="30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IF(Inicial!J21="SI",Inicial!E21,"N/A")</f>
        <v>Am 07:40 a 15:30       Pm 18:10 a 03:30</v>
      </c>
      <c r="F21" s="53">
        <f>IF(Inicial!J21="SI",Inicial!F21,"N/A")</f>
        <v>1</v>
      </c>
      <c r="G21" s="53">
        <f>IF(Inicial!J21="SI",Inicial!G21,"N/A")</f>
        <v>6</v>
      </c>
      <c r="H21" s="53">
        <f>IF(Inicial!J21="SI",Inicial!H21,"N/A")</f>
        <v>0</v>
      </c>
      <c r="I21" s="55">
        <f>IF(Inicial!J21="SI",Inicial!I21,"N/A")</f>
        <v>12</v>
      </c>
      <c r="J21" s="44" t="s">
        <v>64</v>
      </c>
      <c r="K21" s="6" t="s">
        <v>63</v>
      </c>
      <c r="L21" s="6" t="s">
        <v>63</v>
      </c>
      <c r="M21" s="6" t="s">
        <v>63</v>
      </c>
      <c r="N21" s="6" t="s">
        <v>63</v>
      </c>
      <c r="O21" s="6" t="s">
        <v>63</v>
      </c>
      <c r="P21" s="6" t="str">
        <f t="shared" si="0"/>
        <v>No Aceptable</v>
      </c>
      <c r="Q21" s="6" t="s">
        <v>64</v>
      </c>
      <c r="R21" s="6" t="s">
        <v>64</v>
      </c>
      <c r="S21" s="6" t="s">
        <v>64</v>
      </c>
      <c r="T21" s="6" t="s">
        <v>64</v>
      </c>
      <c r="U21" s="6" t="s">
        <v>64</v>
      </c>
      <c r="V21" s="6" t="s">
        <v>64</v>
      </c>
      <c r="W21" s="6" t="str">
        <f t="shared" si="1"/>
        <v>No Critico</v>
      </c>
    </row>
    <row r="22" spans="1:23" ht="30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IF(Inicial!J22="SI",Inicial!E22,"N/A")</f>
        <v>Am 07:40 a 15:30       Pm 18:10 a 03:30</v>
      </c>
      <c r="F22" s="53">
        <f>IF(Inicial!J22="SI",Inicial!F22,"N/A")</f>
        <v>1</v>
      </c>
      <c r="G22" s="53">
        <f>IF(Inicial!J22="SI",Inicial!G22,"N/A")</f>
        <v>6</v>
      </c>
      <c r="H22" s="53">
        <f>IF(Inicial!J22="SI",Inicial!H22,"N/A")</f>
        <v>0</v>
      </c>
      <c r="I22" s="55">
        <f>IF(Inicial!J22="SI",Inicial!I22,"N/A")</f>
        <v>12</v>
      </c>
      <c r="J22" s="44" t="s">
        <v>64</v>
      </c>
      <c r="K22" s="6" t="s">
        <v>63</v>
      </c>
      <c r="L22" s="6" t="s">
        <v>63</v>
      </c>
      <c r="M22" s="6" t="s">
        <v>63</v>
      </c>
      <c r="N22" s="6" t="s">
        <v>63</v>
      </c>
      <c r="O22" s="6" t="s">
        <v>63</v>
      </c>
      <c r="P22" s="6" t="str">
        <f t="shared" si="0"/>
        <v>No Aceptable</v>
      </c>
      <c r="Q22" s="6" t="s">
        <v>64</v>
      </c>
      <c r="R22" s="6" t="s">
        <v>64</v>
      </c>
      <c r="S22" s="6" t="s">
        <v>64</v>
      </c>
      <c r="T22" s="6" t="s">
        <v>64</v>
      </c>
      <c r="U22" s="6" t="s">
        <v>64</v>
      </c>
      <c r="V22" s="6" t="s">
        <v>64</v>
      </c>
      <c r="W22" s="6" t="str">
        <f t="shared" si="1"/>
        <v>No Critico</v>
      </c>
    </row>
    <row r="23" spans="1:23" ht="30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IF(Inicial!J23="SI",Inicial!E23,"N/A")</f>
        <v>Am 07:40 a 15:30       Pm 18:10 a 03:30</v>
      </c>
      <c r="F23" s="53">
        <f>IF(Inicial!J23="SI",Inicial!F23,"N/A")</f>
        <v>1</v>
      </c>
      <c r="G23" s="53">
        <f>IF(Inicial!J23="SI",Inicial!G23,"N/A")</f>
        <v>6</v>
      </c>
      <c r="H23" s="53">
        <f>IF(Inicial!J23="SI",Inicial!H23,"N/A")</f>
        <v>0</v>
      </c>
      <c r="I23" s="55">
        <f>IF(Inicial!J23="SI",Inicial!I23,"N/A")</f>
        <v>12</v>
      </c>
      <c r="J23" s="44" t="s">
        <v>64</v>
      </c>
      <c r="K23" s="6" t="s">
        <v>63</v>
      </c>
      <c r="L23" s="6" t="s">
        <v>63</v>
      </c>
      <c r="M23" s="6" t="s">
        <v>63</v>
      </c>
      <c r="N23" s="6" t="s">
        <v>63</v>
      </c>
      <c r="O23" s="6" t="s">
        <v>63</v>
      </c>
      <c r="P23" s="6" t="str">
        <f t="shared" si="0"/>
        <v>No Aceptable</v>
      </c>
      <c r="Q23" s="6" t="s">
        <v>64</v>
      </c>
      <c r="R23" s="6" t="s">
        <v>64</v>
      </c>
      <c r="S23" s="6" t="s">
        <v>64</v>
      </c>
      <c r="T23" s="6" t="s">
        <v>64</v>
      </c>
      <c r="U23" s="6" t="s">
        <v>64</v>
      </c>
      <c r="V23" s="6" t="s">
        <v>64</v>
      </c>
      <c r="W23" s="6" t="str">
        <f t="shared" si="1"/>
        <v>No Critico</v>
      </c>
    </row>
    <row r="24" spans="1:23" ht="30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IF(Inicial!J24="SI",Inicial!E24,"N/A")</f>
        <v>Am 07:40 a 15:30       Pm 18:10 a 03:30</v>
      </c>
      <c r="F24" s="53">
        <f>IF(Inicial!J24="SI",Inicial!F24,"N/A")</f>
        <v>1</v>
      </c>
      <c r="G24" s="53">
        <f>IF(Inicial!J24="SI",Inicial!G24,"N/A")</f>
        <v>6</v>
      </c>
      <c r="H24" s="53">
        <f>IF(Inicial!J24="SI",Inicial!H24,"N/A")</f>
        <v>0</v>
      </c>
      <c r="I24" s="55">
        <f>IF(Inicial!J24="SI",Inicial!I24,"N/A")</f>
        <v>4</v>
      </c>
      <c r="J24" s="44" t="s">
        <v>64</v>
      </c>
      <c r="K24" s="6" t="s">
        <v>63</v>
      </c>
      <c r="L24" s="6" t="s">
        <v>63</v>
      </c>
      <c r="M24" s="6" t="s">
        <v>63</v>
      </c>
      <c r="N24" s="6" t="s">
        <v>63</v>
      </c>
      <c r="O24" s="6" t="s">
        <v>63</v>
      </c>
      <c r="P24" s="6" t="str">
        <f t="shared" si="0"/>
        <v>No Aceptable</v>
      </c>
      <c r="Q24" s="6" t="s">
        <v>64</v>
      </c>
      <c r="R24" s="6" t="s">
        <v>64</v>
      </c>
      <c r="S24" s="6" t="s">
        <v>64</v>
      </c>
      <c r="T24" s="6" t="s">
        <v>64</v>
      </c>
      <c r="U24" s="6" t="s">
        <v>64</v>
      </c>
      <c r="V24" s="6" t="s">
        <v>64</v>
      </c>
      <c r="W24" s="6" t="str">
        <f t="shared" si="1"/>
        <v>No Critico</v>
      </c>
    </row>
    <row r="25" spans="1:23" ht="30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>
        <f>IF(Inicial!J25="SI",Inicial!E25,"N/A")</f>
        <v>0</v>
      </c>
      <c r="F25" s="53">
        <f>IF(Inicial!J25="SI",Inicial!F25,"N/A")</f>
        <v>1</v>
      </c>
      <c r="G25" s="53">
        <f>IF(Inicial!J25="SI",Inicial!G25,"N/A")</f>
        <v>6</v>
      </c>
      <c r="H25" s="53">
        <f>IF(Inicial!J25="SI",Inicial!H25,"N/A")</f>
        <v>48</v>
      </c>
      <c r="I25" s="55">
        <f>IF(Inicial!J25="SI",Inicial!I25,"N/A")</f>
        <v>0</v>
      </c>
      <c r="J25" s="44" t="s">
        <v>64</v>
      </c>
      <c r="K25" s="6" t="s">
        <v>63</v>
      </c>
      <c r="L25" s="6" t="s">
        <v>63</v>
      </c>
      <c r="M25" s="6" t="s">
        <v>63</v>
      </c>
      <c r="N25" s="6" t="s">
        <v>63</v>
      </c>
      <c r="O25" s="6" t="s">
        <v>63</v>
      </c>
      <c r="P25" s="6" t="str">
        <f t="shared" si="0"/>
        <v>No Aceptable</v>
      </c>
      <c r="Q25" s="6" t="s">
        <v>64</v>
      </c>
      <c r="R25" s="6" t="s">
        <v>64</v>
      </c>
      <c r="S25" s="6" t="s">
        <v>64</v>
      </c>
      <c r="T25" s="6" t="s">
        <v>64</v>
      </c>
      <c r="U25" s="6" t="s">
        <v>64</v>
      </c>
      <c r="V25" s="6" t="s">
        <v>64</v>
      </c>
      <c r="W25" s="6" t="str">
        <f t="shared" si="1"/>
        <v>No Critico</v>
      </c>
    </row>
    <row r="26" spans="1:23" ht="30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>
        <f>IF(Inicial!J26="SI",Inicial!E26,"N/A")</f>
        <v>0</v>
      </c>
      <c r="F26" s="53">
        <f>IF(Inicial!J26="SI",Inicial!F26,"N/A")</f>
        <v>1</v>
      </c>
      <c r="G26" s="53">
        <f>IF(Inicial!J26="SI",Inicial!G26,"N/A")</f>
        <v>6</v>
      </c>
      <c r="H26" s="53">
        <f>IF(Inicial!J26="SI",Inicial!H26,"N/A")</f>
        <v>48</v>
      </c>
      <c r="I26" s="55">
        <f>IF(Inicial!J26="SI",Inicial!I26,"N/A")</f>
        <v>0</v>
      </c>
      <c r="J26" s="44" t="s">
        <v>64</v>
      </c>
      <c r="K26" s="6" t="s">
        <v>63</v>
      </c>
      <c r="L26" s="6" t="s">
        <v>63</v>
      </c>
      <c r="M26" s="6" t="s">
        <v>63</v>
      </c>
      <c r="N26" s="6" t="s">
        <v>63</v>
      </c>
      <c r="O26" s="6" t="s">
        <v>63</v>
      </c>
      <c r="P26" s="6" t="str">
        <f t="shared" si="0"/>
        <v>No Aceptable</v>
      </c>
      <c r="Q26" s="6" t="s">
        <v>64</v>
      </c>
      <c r="R26" s="6" t="s">
        <v>64</v>
      </c>
      <c r="S26" s="6" t="s">
        <v>64</v>
      </c>
      <c r="T26" s="6" t="s">
        <v>64</v>
      </c>
      <c r="U26" s="6" t="s">
        <v>64</v>
      </c>
      <c r="V26" s="6" t="s">
        <v>64</v>
      </c>
      <c r="W26" s="6" t="str">
        <f t="shared" si="1"/>
        <v>No Critico</v>
      </c>
    </row>
    <row r="27" spans="1:23" ht="30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IF(Inicial!J27="SI",Inicial!E27,"N/A")</f>
        <v>06:30 14:50 / 17:30 a 02:50</v>
      </c>
      <c r="F27" s="53">
        <f>IF(Inicial!J27="SI",Inicial!F27,"N/A")</f>
        <v>1</v>
      </c>
      <c r="G27" s="53">
        <f>IF(Inicial!J27="SI",Inicial!G27,"N/A")</f>
        <v>6</v>
      </c>
      <c r="H27" s="53">
        <f>IF(Inicial!J27="SI",Inicial!H27,"N/A")</f>
        <v>24</v>
      </c>
      <c r="I27" s="55">
        <f>IF(Inicial!J27="SI",Inicial!I27,"N/A")</f>
        <v>3</v>
      </c>
      <c r="J27" s="44" t="s">
        <v>64</v>
      </c>
      <c r="K27" s="6" t="s">
        <v>63</v>
      </c>
      <c r="L27" s="6" t="s">
        <v>63</v>
      </c>
      <c r="M27" s="6" t="s">
        <v>63</v>
      </c>
      <c r="N27" s="6" t="s">
        <v>63</v>
      </c>
      <c r="O27" s="6" t="s">
        <v>63</v>
      </c>
      <c r="P27" s="6" t="str">
        <f t="shared" si="0"/>
        <v>No Aceptable</v>
      </c>
      <c r="Q27" s="6" t="s">
        <v>64</v>
      </c>
      <c r="R27" s="6" t="s">
        <v>64</v>
      </c>
      <c r="S27" s="6" t="s">
        <v>64</v>
      </c>
      <c r="T27" s="6" t="s">
        <v>64</v>
      </c>
      <c r="U27" s="6" t="s">
        <v>64</v>
      </c>
      <c r="V27" s="6" t="s">
        <v>64</v>
      </c>
      <c r="W27" s="6" t="str">
        <f t="shared" si="1"/>
        <v>No Critico</v>
      </c>
    </row>
    <row r="28" spans="1:23" ht="30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IF(Inicial!J28="SI",Inicial!E28,"N/A")</f>
        <v>06:30 14:50 / 17:30 a 02:50</v>
      </c>
      <c r="F28" s="53">
        <f>IF(Inicial!J28="SI",Inicial!F28,"N/A")</f>
        <v>1</v>
      </c>
      <c r="G28" s="53">
        <f>IF(Inicial!J28="SI",Inicial!G28,"N/A")</f>
        <v>6</v>
      </c>
      <c r="H28" s="53">
        <f>IF(Inicial!J28="SI",Inicial!H28,"N/A")</f>
        <v>24</v>
      </c>
      <c r="I28" s="55">
        <f>IF(Inicial!J28="SI",Inicial!I28,"N/A")</f>
        <v>3</v>
      </c>
      <c r="J28" s="44" t="s">
        <v>64</v>
      </c>
      <c r="K28" s="6" t="s">
        <v>63</v>
      </c>
      <c r="L28" s="6" t="s">
        <v>63</v>
      </c>
      <c r="M28" s="6" t="s">
        <v>63</v>
      </c>
      <c r="N28" s="6" t="s">
        <v>63</v>
      </c>
      <c r="O28" s="6" t="s">
        <v>63</v>
      </c>
      <c r="P28" s="6" t="str">
        <f t="shared" si="0"/>
        <v>No Aceptable</v>
      </c>
      <c r="Q28" s="6" t="s">
        <v>64</v>
      </c>
      <c r="R28" s="6" t="s">
        <v>64</v>
      </c>
      <c r="S28" s="6" t="s">
        <v>64</v>
      </c>
      <c r="T28" s="6" t="s">
        <v>64</v>
      </c>
      <c r="U28" s="6" t="s">
        <v>64</v>
      </c>
      <c r="V28" s="6" t="s">
        <v>64</v>
      </c>
      <c r="W28" s="6" t="str">
        <f t="shared" si="1"/>
        <v>No Critico</v>
      </c>
    </row>
    <row r="29" spans="1:23" ht="30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IF(Inicial!J29="SI",Inicial!E29,"N/A")</f>
        <v>06:30 14:50 / 17:30 a 02:50</v>
      </c>
      <c r="F29" s="53">
        <f>IF(Inicial!J29="SI",Inicial!F29,"N/A")</f>
        <v>1</v>
      </c>
      <c r="G29" s="53">
        <f>IF(Inicial!J29="SI",Inicial!G29,"N/A")</f>
        <v>6</v>
      </c>
      <c r="H29" s="53">
        <f>IF(Inicial!J29="SI",Inicial!H29,"N/A")</f>
        <v>24</v>
      </c>
      <c r="I29" s="55">
        <f>IF(Inicial!J29="SI",Inicial!I29,"N/A")</f>
        <v>3</v>
      </c>
      <c r="J29" s="44" t="s">
        <v>64</v>
      </c>
      <c r="K29" s="6" t="s">
        <v>63</v>
      </c>
      <c r="L29" s="6" t="s">
        <v>63</v>
      </c>
      <c r="M29" s="6" t="s">
        <v>63</v>
      </c>
      <c r="N29" s="6" t="s">
        <v>63</v>
      </c>
      <c r="O29" s="6" t="s">
        <v>63</v>
      </c>
      <c r="P29" s="6" t="str">
        <f t="shared" si="0"/>
        <v>No Aceptable</v>
      </c>
      <c r="Q29" s="6" t="s">
        <v>64</v>
      </c>
      <c r="R29" s="6" t="s">
        <v>64</v>
      </c>
      <c r="S29" s="6" t="s">
        <v>64</v>
      </c>
      <c r="T29" s="6" t="s">
        <v>64</v>
      </c>
      <c r="U29" s="6" t="s">
        <v>64</v>
      </c>
      <c r="V29" s="6" t="s">
        <v>64</v>
      </c>
      <c r="W29" s="6" t="str">
        <f t="shared" si="1"/>
        <v>No Critico</v>
      </c>
    </row>
    <row r="30" spans="1:23" ht="30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IF(Inicial!J30="SI",Inicial!E30,"N/A")</f>
        <v>06:30 14:50 / 17:30 a 02:50</v>
      </c>
      <c r="F30" s="53">
        <f>IF(Inicial!J30="SI",Inicial!F30,"N/A")</f>
        <v>1</v>
      </c>
      <c r="G30" s="53">
        <f>IF(Inicial!J30="SI",Inicial!G30,"N/A")</f>
        <v>6</v>
      </c>
      <c r="H30" s="53">
        <f>IF(Inicial!J30="SI",Inicial!H30,"N/A")</f>
        <v>24</v>
      </c>
      <c r="I30" s="55">
        <f>IF(Inicial!J30="SI",Inicial!I30,"N/A")</f>
        <v>3</v>
      </c>
      <c r="J30" s="44" t="s">
        <v>64</v>
      </c>
      <c r="K30" s="6" t="s">
        <v>63</v>
      </c>
      <c r="L30" s="6" t="s">
        <v>63</v>
      </c>
      <c r="M30" s="6" t="s">
        <v>63</v>
      </c>
      <c r="N30" s="6" t="s">
        <v>63</v>
      </c>
      <c r="O30" s="6" t="s">
        <v>63</v>
      </c>
      <c r="P30" s="6" t="str">
        <f t="shared" si="0"/>
        <v>No Aceptable</v>
      </c>
      <c r="Q30" s="6" t="s">
        <v>64</v>
      </c>
      <c r="R30" s="6" t="s">
        <v>64</v>
      </c>
      <c r="S30" s="6" t="s">
        <v>64</v>
      </c>
      <c r="T30" s="6" t="s">
        <v>64</v>
      </c>
      <c r="U30" s="6" t="s">
        <v>64</v>
      </c>
      <c r="V30" s="6" t="s">
        <v>64</v>
      </c>
      <c r="W30" s="6" t="str">
        <f t="shared" si="1"/>
        <v>No Critico</v>
      </c>
    </row>
    <row r="31" spans="1:23" ht="30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IF(Inicial!J31="SI",Inicial!E31,"N/A")</f>
        <v>06:30 14:50 / 17:30 a 02:50</v>
      </c>
      <c r="F31" s="53">
        <f>IF(Inicial!J31="SI",Inicial!F31,"N/A")</f>
        <v>1</v>
      </c>
      <c r="G31" s="53">
        <f>IF(Inicial!J31="SI",Inicial!G31,"N/A")</f>
        <v>6</v>
      </c>
      <c r="H31" s="53">
        <f>IF(Inicial!J31="SI",Inicial!H31,"N/A")</f>
        <v>24</v>
      </c>
      <c r="I31" s="55">
        <f>IF(Inicial!J31="SI",Inicial!I31,"N/A")</f>
        <v>3</v>
      </c>
      <c r="J31" s="44" t="s">
        <v>64</v>
      </c>
      <c r="K31" s="6" t="s">
        <v>63</v>
      </c>
      <c r="L31" s="6" t="s">
        <v>63</v>
      </c>
      <c r="M31" s="6" t="s">
        <v>63</v>
      </c>
      <c r="N31" s="6" t="s">
        <v>63</v>
      </c>
      <c r="O31" s="6" t="s">
        <v>63</v>
      </c>
      <c r="P31" s="6" t="str">
        <f t="shared" si="0"/>
        <v>No Aceptable</v>
      </c>
      <c r="Q31" s="6" t="s">
        <v>64</v>
      </c>
      <c r="R31" s="6" t="s">
        <v>64</v>
      </c>
      <c r="S31" s="6" t="s">
        <v>64</v>
      </c>
      <c r="T31" s="6" t="s">
        <v>64</v>
      </c>
      <c r="U31" s="6" t="s">
        <v>64</v>
      </c>
      <c r="V31" s="6" t="s">
        <v>64</v>
      </c>
      <c r="W31" s="6" t="str">
        <f t="shared" si="1"/>
        <v>No Critico</v>
      </c>
    </row>
    <row r="32" spans="1:23" ht="30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IF(Inicial!J32="SI",Inicial!E32,"N/A")</f>
        <v>06:30 14:50 / 17:30 a 02:50</v>
      </c>
      <c r="F32" s="53">
        <f>IF(Inicial!J32="SI",Inicial!F32,"N/A")</f>
        <v>1</v>
      </c>
      <c r="G32" s="53">
        <f>IF(Inicial!J32="SI",Inicial!G32,"N/A")</f>
        <v>6</v>
      </c>
      <c r="H32" s="53">
        <f>IF(Inicial!J32="SI",Inicial!H32,"N/A")</f>
        <v>24</v>
      </c>
      <c r="I32" s="55">
        <f>IF(Inicial!J32="SI",Inicial!I32,"N/A")</f>
        <v>3</v>
      </c>
      <c r="J32" s="44" t="s">
        <v>64</v>
      </c>
      <c r="K32" s="6" t="s">
        <v>63</v>
      </c>
      <c r="L32" s="6" t="s">
        <v>63</v>
      </c>
      <c r="M32" s="6" t="s">
        <v>63</v>
      </c>
      <c r="N32" s="6" t="s">
        <v>63</v>
      </c>
      <c r="O32" s="6" t="s">
        <v>63</v>
      </c>
      <c r="P32" s="6" t="str">
        <f t="shared" si="0"/>
        <v>No Aceptable</v>
      </c>
      <c r="Q32" s="6" t="s">
        <v>64</v>
      </c>
      <c r="R32" s="6" t="s">
        <v>64</v>
      </c>
      <c r="S32" s="6" t="s">
        <v>64</v>
      </c>
      <c r="T32" s="6" t="s">
        <v>64</v>
      </c>
      <c r="U32" s="6" t="s">
        <v>64</v>
      </c>
      <c r="V32" s="6" t="s">
        <v>64</v>
      </c>
      <c r="W32" s="6" t="str">
        <f t="shared" si="1"/>
        <v>No Critico</v>
      </c>
    </row>
    <row r="33" spans="1:23" ht="30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IF(Inicial!J33="SI",Inicial!E33,"N/A")</f>
        <v>06:30 14:50 / 17:30 a 02:50</v>
      </c>
      <c r="F33" s="53">
        <f>IF(Inicial!J33="SI",Inicial!F33,"N/A")</f>
        <v>1</v>
      </c>
      <c r="G33" s="53">
        <f>IF(Inicial!J33="SI",Inicial!G33,"N/A")</f>
        <v>6</v>
      </c>
      <c r="H33" s="53">
        <f>IF(Inicial!J33="SI",Inicial!H33,"N/A")</f>
        <v>24</v>
      </c>
      <c r="I33" s="55">
        <f>IF(Inicial!J33="SI",Inicial!I33,"N/A")</f>
        <v>3</v>
      </c>
      <c r="J33" s="44" t="s">
        <v>64</v>
      </c>
      <c r="K33" s="6" t="s">
        <v>63</v>
      </c>
      <c r="L33" s="6" t="s">
        <v>63</v>
      </c>
      <c r="M33" s="6" t="s">
        <v>63</v>
      </c>
      <c r="N33" s="6" t="s">
        <v>63</v>
      </c>
      <c r="O33" s="6" t="s">
        <v>63</v>
      </c>
      <c r="P33" s="6" t="str">
        <f t="shared" si="0"/>
        <v>No Aceptable</v>
      </c>
      <c r="Q33" s="6" t="s">
        <v>64</v>
      </c>
      <c r="R33" s="6" t="s">
        <v>64</v>
      </c>
      <c r="S33" s="6" t="s">
        <v>64</v>
      </c>
      <c r="T33" s="6" t="s">
        <v>64</v>
      </c>
      <c r="U33" s="6" t="s">
        <v>64</v>
      </c>
      <c r="V33" s="6" t="s">
        <v>64</v>
      </c>
      <c r="W33" s="6" t="str">
        <f t="shared" si="1"/>
        <v>No Critico</v>
      </c>
    </row>
    <row r="34" spans="1:23" ht="30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IF(Inicial!J34="SI",Inicial!E34,"N/A")</f>
        <v>06:30 14:50 / 17:30 a 02:50</v>
      </c>
      <c r="F34" s="53">
        <f>IF(Inicial!J34="SI",Inicial!F34,"N/A")</f>
        <v>1</v>
      </c>
      <c r="G34" s="53">
        <f>IF(Inicial!J34="SI",Inicial!G34,"N/A")</f>
        <v>6</v>
      </c>
      <c r="H34" s="53">
        <f>IF(Inicial!J34="SI",Inicial!H34,"N/A")</f>
        <v>24</v>
      </c>
      <c r="I34" s="55">
        <f>IF(Inicial!J34="SI",Inicial!I34,"N/A")</f>
        <v>3</v>
      </c>
      <c r="J34" s="44" t="s">
        <v>64</v>
      </c>
      <c r="K34" s="6" t="s">
        <v>63</v>
      </c>
      <c r="L34" s="6" t="s">
        <v>63</v>
      </c>
      <c r="M34" s="6" t="s">
        <v>63</v>
      </c>
      <c r="N34" s="6" t="s">
        <v>63</v>
      </c>
      <c r="O34" s="6" t="s">
        <v>63</v>
      </c>
      <c r="P34" s="6" t="str">
        <f t="shared" si="0"/>
        <v>No Aceptable</v>
      </c>
      <c r="Q34" s="6" t="s">
        <v>64</v>
      </c>
      <c r="R34" s="6" t="s">
        <v>64</v>
      </c>
      <c r="S34" s="6" t="s">
        <v>64</v>
      </c>
      <c r="T34" s="6" t="s">
        <v>64</v>
      </c>
      <c r="U34" s="6" t="s">
        <v>64</v>
      </c>
      <c r="V34" s="6" t="s">
        <v>64</v>
      </c>
      <c r="W34" s="6" t="str">
        <f t="shared" si="1"/>
        <v>No Critico</v>
      </c>
    </row>
    <row r="35" spans="1:23" ht="30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IF(Inicial!J35="SI",Inicial!E35,"N/A")</f>
        <v>06:30 14:50 / 17:30 a 02:50</v>
      </c>
      <c r="F35" s="53">
        <f>IF(Inicial!J35="SI",Inicial!F35,"N/A")</f>
        <v>1</v>
      </c>
      <c r="G35" s="53">
        <f>IF(Inicial!J35="SI",Inicial!G35,"N/A")</f>
        <v>6</v>
      </c>
      <c r="H35" s="53">
        <f>IF(Inicial!J35="SI",Inicial!H35,"N/A")</f>
        <v>24</v>
      </c>
      <c r="I35" s="55">
        <f>IF(Inicial!J35="SI",Inicial!I35,"N/A")</f>
        <v>3</v>
      </c>
      <c r="J35" s="44" t="s">
        <v>64</v>
      </c>
      <c r="K35" s="6" t="s">
        <v>63</v>
      </c>
      <c r="L35" s="6" t="s">
        <v>63</v>
      </c>
      <c r="M35" s="6" t="s">
        <v>63</v>
      </c>
      <c r="N35" s="6" t="s">
        <v>63</v>
      </c>
      <c r="O35" s="6" t="s">
        <v>63</v>
      </c>
      <c r="P35" s="6" t="str">
        <f t="shared" si="0"/>
        <v>No Aceptable</v>
      </c>
      <c r="Q35" s="6" t="s">
        <v>64</v>
      </c>
      <c r="R35" s="6" t="s">
        <v>64</v>
      </c>
      <c r="S35" s="6" t="s">
        <v>64</v>
      </c>
      <c r="T35" s="6" t="s">
        <v>64</v>
      </c>
      <c r="U35" s="6" t="s">
        <v>64</v>
      </c>
      <c r="V35" s="6" t="s">
        <v>64</v>
      </c>
      <c r="W35" s="6" t="str">
        <f t="shared" si="1"/>
        <v>No Critico</v>
      </c>
    </row>
    <row r="36" spans="1:23" ht="30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IF(Inicial!J36="SI",Inicial!E36,"N/A")</f>
        <v>06:30 14:50 / 17:30 a 02:50</v>
      </c>
      <c r="F36" s="53">
        <f>IF(Inicial!J36="SI",Inicial!F36,"N/A")</f>
        <v>1</v>
      </c>
      <c r="G36" s="53">
        <f>IF(Inicial!J36="SI",Inicial!G36,"N/A")</f>
        <v>6</v>
      </c>
      <c r="H36" s="53">
        <f>IF(Inicial!J36="SI",Inicial!H36,"N/A")</f>
        <v>0</v>
      </c>
      <c r="I36" s="55">
        <f>IF(Inicial!J36="SI",Inicial!I36,"N/A")</f>
        <v>50</v>
      </c>
      <c r="J36" s="44" t="s">
        <v>64</v>
      </c>
      <c r="K36" s="6" t="s">
        <v>63</v>
      </c>
      <c r="L36" s="6" t="s">
        <v>63</v>
      </c>
      <c r="M36" s="6" t="s">
        <v>63</v>
      </c>
      <c r="N36" s="6" t="s">
        <v>63</v>
      </c>
      <c r="O36" s="6" t="s">
        <v>63</v>
      </c>
      <c r="P36" s="6" t="str">
        <f t="shared" si="0"/>
        <v>No Aceptable</v>
      </c>
      <c r="Q36" s="6" t="s">
        <v>64</v>
      </c>
      <c r="R36" s="6" t="s">
        <v>64</v>
      </c>
      <c r="S36" s="6" t="s">
        <v>64</v>
      </c>
      <c r="T36" s="6" t="s">
        <v>64</v>
      </c>
      <c r="U36" s="6" t="s">
        <v>64</v>
      </c>
      <c r="V36" s="6" t="s">
        <v>64</v>
      </c>
      <c r="W36" s="6" t="str">
        <f t="shared" si="1"/>
        <v>No Critico</v>
      </c>
    </row>
    <row r="37" spans="1:23" ht="30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IF(Inicial!J37="SI",Inicial!E37,"N/A")</f>
        <v>06:30 14:50 / 17:30 a 02:50</v>
      </c>
      <c r="F37" s="53">
        <f>IF(Inicial!J37="SI",Inicial!F37,"N/A")</f>
        <v>1</v>
      </c>
      <c r="G37" s="53">
        <f>IF(Inicial!J37="SI",Inicial!G37,"N/A")</f>
        <v>6</v>
      </c>
      <c r="H37" s="53">
        <f>IF(Inicial!J37="SI",Inicial!H37,"N/A")</f>
        <v>0</v>
      </c>
      <c r="I37" s="55">
        <f>IF(Inicial!J37="SI",Inicial!I37,"N/A")</f>
        <v>50</v>
      </c>
      <c r="J37" s="44" t="s">
        <v>64</v>
      </c>
      <c r="K37" s="6" t="s">
        <v>63</v>
      </c>
      <c r="L37" s="6" t="s">
        <v>63</v>
      </c>
      <c r="M37" s="6" t="s">
        <v>63</v>
      </c>
      <c r="N37" s="6" t="s">
        <v>63</v>
      </c>
      <c r="O37" s="6" t="s">
        <v>63</v>
      </c>
      <c r="P37" s="6" t="str">
        <f t="shared" si="0"/>
        <v>No Aceptable</v>
      </c>
      <c r="Q37" s="6" t="s">
        <v>64</v>
      </c>
      <c r="R37" s="6" t="s">
        <v>64</v>
      </c>
      <c r="S37" s="6" t="s">
        <v>64</v>
      </c>
      <c r="T37" s="6" t="s">
        <v>64</v>
      </c>
      <c r="U37" s="6" t="s">
        <v>64</v>
      </c>
      <c r="V37" s="6" t="s">
        <v>64</v>
      </c>
      <c r="W37" s="6" t="str">
        <f t="shared" si="1"/>
        <v>No Critico</v>
      </c>
    </row>
    <row r="38" spans="1:23" ht="30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IF(Inicial!J38="SI",Inicial!E38,"N/A")</f>
        <v>06:30 14:50 / 17:30 a 02:50</v>
      </c>
      <c r="F38" s="53">
        <f>IF(Inicial!J38="SI",Inicial!F38,"N/A")</f>
        <v>1</v>
      </c>
      <c r="G38" s="53">
        <f>IF(Inicial!J38="SI",Inicial!G38,"N/A")</f>
        <v>6</v>
      </c>
      <c r="H38" s="53">
        <f>IF(Inicial!J38="SI",Inicial!H38,"N/A")</f>
        <v>0</v>
      </c>
      <c r="I38" s="55">
        <f>IF(Inicial!J38="SI",Inicial!I38,"N/A")</f>
        <v>50</v>
      </c>
      <c r="J38" s="44" t="s">
        <v>64</v>
      </c>
      <c r="K38" s="6" t="s">
        <v>63</v>
      </c>
      <c r="L38" s="6" t="s">
        <v>63</v>
      </c>
      <c r="M38" s="6" t="s">
        <v>63</v>
      </c>
      <c r="N38" s="6" t="s">
        <v>63</v>
      </c>
      <c r="O38" s="6" t="s">
        <v>63</v>
      </c>
      <c r="P38" s="6" t="str">
        <f t="shared" si="0"/>
        <v>No Aceptable</v>
      </c>
      <c r="Q38" s="6" t="s">
        <v>64</v>
      </c>
      <c r="R38" s="6" t="s">
        <v>64</v>
      </c>
      <c r="S38" s="6" t="s">
        <v>64</v>
      </c>
      <c r="T38" s="6" t="s">
        <v>64</v>
      </c>
      <c r="U38" s="6" t="s">
        <v>64</v>
      </c>
      <c r="V38" s="6" t="s">
        <v>64</v>
      </c>
      <c r="W38" s="6" t="str">
        <f t="shared" si="1"/>
        <v>No Critico</v>
      </c>
    </row>
    <row r="39" spans="1:23" ht="30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IF(Inicial!J39="SI",Inicial!E39,"N/A")</f>
        <v>06:30 14:50 / 17:30 a 02:50</v>
      </c>
      <c r="F39" s="53">
        <f>IF(Inicial!J39="SI",Inicial!F39,"N/A")</f>
        <v>1</v>
      </c>
      <c r="G39" s="53">
        <f>IF(Inicial!J39="SI",Inicial!G39,"N/A")</f>
        <v>6</v>
      </c>
      <c r="H39" s="53">
        <f>IF(Inicial!J39="SI",Inicial!H39,"N/A")</f>
        <v>0</v>
      </c>
      <c r="I39" s="55">
        <f>IF(Inicial!J39="SI",Inicial!I39,"N/A")</f>
        <v>50</v>
      </c>
      <c r="J39" s="44" t="s">
        <v>64</v>
      </c>
      <c r="K39" s="6" t="s">
        <v>63</v>
      </c>
      <c r="L39" s="6" t="s">
        <v>63</v>
      </c>
      <c r="M39" s="6" t="s">
        <v>63</v>
      </c>
      <c r="N39" s="6" t="s">
        <v>63</v>
      </c>
      <c r="O39" s="6" t="s">
        <v>63</v>
      </c>
      <c r="P39" s="6" t="str">
        <f t="shared" si="0"/>
        <v>No Aceptable</v>
      </c>
      <c r="Q39" s="6" t="s">
        <v>64</v>
      </c>
      <c r="R39" s="6" t="s">
        <v>64</v>
      </c>
      <c r="S39" s="6" t="s">
        <v>64</v>
      </c>
      <c r="T39" s="6" t="s">
        <v>64</v>
      </c>
      <c r="U39" s="6" t="s">
        <v>64</v>
      </c>
      <c r="V39" s="6" t="s">
        <v>64</v>
      </c>
      <c r="W39" s="6" t="str">
        <f t="shared" si="1"/>
        <v>No Critico</v>
      </c>
    </row>
    <row r="40" spans="1:23" ht="30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IF(Inicial!J40="SI",Inicial!E40,"N/A")</f>
        <v>06:30 14:50 / 17:30 a 02:50</v>
      </c>
      <c r="F40" s="53">
        <f>IF(Inicial!J40="SI",Inicial!F40,"N/A")</f>
        <v>1</v>
      </c>
      <c r="G40" s="53">
        <f>IF(Inicial!J40="SI",Inicial!G40,"N/A")</f>
        <v>6</v>
      </c>
      <c r="H40" s="53">
        <f>IF(Inicial!J40="SI",Inicial!H40,"N/A")</f>
        <v>0</v>
      </c>
      <c r="I40" s="55">
        <f>IF(Inicial!J40="SI",Inicial!I40,"N/A")</f>
        <v>50</v>
      </c>
      <c r="J40" s="44" t="s">
        <v>64</v>
      </c>
      <c r="K40" s="6" t="s">
        <v>63</v>
      </c>
      <c r="L40" s="6" t="s">
        <v>63</v>
      </c>
      <c r="M40" s="6" t="s">
        <v>63</v>
      </c>
      <c r="N40" s="6" t="s">
        <v>63</v>
      </c>
      <c r="O40" s="6" t="s">
        <v>63</v>
      </c>
      <c r="P40" s="6" t="str">
        <f t="shared" si="0"/>
        <v>No Aceptable</v>
      </c>
      <c r="Q40" s="6" t="s">
        <v>64</v>
      </c>
      <c r="R40" s="6" t="s">
        <v>64</v>
      </c>
      <c r="S40" s="6" t="s">
        <v>64</v>
      </c>
      <c r="T40" s="6" t="s">
        <v>64</v>
      </c>
      <c r="U40" s="6" t="s">
        <v>64</v>
      </c>
      <c r="V40" s="6" t="s">
        <v>64</v>
      </c>
      <c r="W40" s="6" t="str">
        <f t="shared" si="1"/>
        <v>No Critico</v>
      </c>
    </row>
    <row r="41" spans="1:23" ht="30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IF(Inicial!J41="SI",Inicial!E41,"N/A")</f>
        <v>06:30 14:50 / 17:30 a 02:50</v>
      </c>
      <c r="F41" s="53">
        <f>IF(Inicial!J41="SI",Inicial!F41,"N/A")</f>
        <v>1</v>
      </c>
      <c r="G41" s="53">
        <f>IF(Inicial!J41="SI",Inicial!G41,"N/A")</f>
        <v>6</v>
      </c>
      <c r="H41" s="53">
        <f>IF(Inicial!J41="SI",Inicial!H41,"N/A")</f>
        <v>0</v>
      </c>
      <c r="I41" s="55">
        <f>IF(Inicial!J41="SI",Inicial!I41,"N/A")</f>
        <v>50</v>
      </c>
      <c r="J41" s="44" t="s">
        <v>64</v>
      </c>
      <c r="K41" s="6" t="s">
        <v>63</v>
      </c>
      <c r="L41" s="6" t="s">
        <v>63</v>
      </c>
      <c r="M41" s="6" t="s">
        <v>63</v>
      </c>
      <c r="N41" s="6" t="s">
        <v>63</v>
      </c>
      <c r="O41" s="6" t="s">
        <v>63</v>
      </c>
      <c r="P41" s="6" t="str">
        <f t="shared" si="0"/>
        <v>No Aceptable</v>
      </c>
      <c r="Q41" s="6" t="s">
        <v>64</v>
      </c>
      <c r="R41" s="6" t="s">
        <v>64</v>
      </c>
      <c r="S41" s="6" t="s">
        <v>64</v>
      </c>
      <c r="T41" s="6" t="s">
        <v>64</v>
      </c>
      <c r="U41" s="6" t="s">
        <v>64</v>
      </c>
      <c r="V41" s="6" t="s">
        <v>64</v>
      </c>
      <c r="W41" s="6" t="str">
        <f t="shared" si="1"/>
        <v>No Critico</v>
      </c>
    </row>
    <row r="42" spans="1:23" ht="30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IF(Inicial!J42="SI",Inicial!E42,"N/A")</f>
        <v>06:30 14:50 / 17:30 a 02:50</v>
      </c>
      <c r="F42" s="53">
        <f>IF(Inicial!J42="SI",Inicial!F42,"N/A")</f>
        <v>1</v>
      </c>
      <c r="G42" s="53">
        <f>IF(Inicial!J42="SI",Inicial!G42,"N/A")</f>
        <v>6</v>
      </c>
      <c r="H42" s="53">
        <f>IF(Inicial!J42="SI",Inicial!H42,"N/A")</f>
        <v>0</v>
      </c>
      <c r="I42" s="55">
        <f>IF(Inicial!J42="SI",Inicial!I42,"N/A")</f>
        <v>50</v>
      </c>
      <c r="J42" s="44" t="s">
        <v>64</v>
      </c>
      <c r="K42" s="6" t="s">
        <v>63</v>
      </c>
      <c r="L42" s="6" t="s">
        <v>63</v>
      </c>
      <c r="M42" s="6" t="s">
        <v>63</v>
      </c>
      <c r="N42" s="6" t="s">
        <v>63</v>
      </c>
      <c r="O42" s="6" t="s">
        <v>63</v>
      </c>
      <c r="P42" s="6" t="str">
        <f t="shared" si="0"/>
        <v>No Aceptable</v>
      </c>
      <c r="Q42" s="6" t="s">
        <v>64</v>
      </c>
      <c r="R42" s="6" t="s">
        <v>64</v>
      </c>
      <c r="S42" s="6" t="s">
        <v>64</v>
      </c>
      <c r="T42" s="6" t="s">
        <v>64</v>
      </c>
      <c r="U42" s="6" t="s">
        <v>64</v>
      </c>
      <c r="V42" s="6" t="s">
        <v>64</v>
      </c>
      <c r="W42" s="6" t="str">
        <f t="shared" si="1"/>
        <v>No Critico</v>
      </c>
    </row>
    <row r="43" spans="1:23" ht="30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IF(Inicial!J43="SI",Inicial!E43,"N/A")</f>
        <v>06:30 14:50 / 17:30 a 02:50</v>
      </c>
      <c r="F43" s="53">
        <f>IF(Inicial!J43="SI",Inicial!F43,"N/A")</f>
        <v>1</v>
      </c>
      <c r="G43" s="53">
        <f>IF(Inicial!J43="SI",Inicial!G43,"N/A")</f>
        <v>6</v>
      </c>
      <c r="H43" s="53">
        <f>IF(Inicial!J43="SI",Inicial!H43,"N/A")</f>
        <v>0</v>
      </c>
      <c r="I43" s="55">
        <f>IF(Inicial!J43="SI",Inicial!I43,"N/A")</f>
        <v>50</v>
      </c>
      <c r="J43" s="44" t="s">
        <v>64</v>
      </c>
      <c r="K43" s="6" t="s">
        <v>63</v>
      </c>
      <c r="L43" s="6" t="s">
        <v>63</v>
      </c>
      <c r="M43" s="6" t="s">
        <v>63</v>
      </c>
      <c r="N43" s="6" t="s">
        <v>63</v>
      </c>
      <c r="O43" s="6" t="s">
        <v>63</v>
      </c>
      <c r="P43" s="6" t="str">
        <f t="shared" si="0"/>
        <v>No Aceptable</v>
      </c>
      <c r="Q43" s="6" t="s">
        <v>64</v>
      </c>
      <c r="R43" s="6" t="s">
        <v>64</v>
      </c>
      <c r="S43" s="6" t="s">
        <v>64</v>
      </c>
      <c r="T43" s="6" t="s">
        <v>64</v>
      </c>
      <c r="U43" s="6" t="s">
        <v>64</v>
      </c>
      <c r="V43" s="6" t="s">
        <v>64</v>
      </c>
      <c r="W43" s="6" t="str">
        <f t="shared" si="1"/>
        <v>No Critico</v>
      </c>
    </row>
    <row r="44" spans="1:23" ht="30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IF(Inicial!J44="SI",Inicial!E44,"N/A")</f>
        <v>06:30 14:50 / 17:30 a 02:50</v>
      </c>
      <c r="F44" s="53">
        <f>IF(Inicial!J44="SI",Inicial!F44,"N/A")</f>
        <v>1</v>
      </c>
      <c r="G44" s="53">
        <f>IF(Inicial!J44="SI",Inicial!G44,"N/A")</f>
        <v>6</v>
      </c>
      <c r="H44" s="53">
        <f>IF(Inicial!J44="SI",Inicial!H44,"N/A")</f>
        <v>0</v>
      </c>
      <c r="I44" s="55">
        <f>IF(Inicial!J44="SI",Inicial!I44,"N/A")</f>
        <v>50</v>
      </c>
      <c r="J44" s="44" t="s">
        <v>64</v>
      </c>
      <c r="K44" s="6" t="s">
        <v>63</v>
      </c>
      <c r="L44" s="6" t="s">
        <v>63</v>
      </c>
      <c r="M44" s="6" t="s">
        <v>63</v>
      </c>
      <c r="N44" s="6" t="s">
        <v>63</v>
      </c>
      <c r="O44" s="6" t="s">
        <v>63</v>
      </c>
      <c r="P44" s="6" t="str">
        <f t="shared" si="0"/>
        <v>No Aceptable</v>
      </c>
      <c r="Q44" s="6" t="s">
        <v>64</v>
      </c>
      <c r="R44" s="6" t="s">
        <v>64</v>
      </c>
      <c r="S44" s="6" t="s">
        <v>64</v>
      </c>
      <c r="T44" s="6" t="s">
        <v>64</v>
      </c>
      <c r="U44" s="6" t="s">
        <v>64</v>
      </c>
      <c r="V44" s="6" t="s">
        <v>64</v>
      </c>
      <c r="W44" s="6" t="str">
        <f t="shared" si="1"/>
        <v>No Critico</v>
      </c>
    </row>
    <row r="45" spans="1:23" ht="30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IF(Inicial!J45="SI",Inicial!E45,"N/A")</f>
        <v>06:30 14:50 / 17:30 a 02:50</v>
      </c>
      <c r="F45" s="53">
        <f>IF(Inicial!J45="SI",Inicial!F45,"N/A")</f>
        <v>1</v>
      </c>
      <c r="G45" s="53">
        <f>IF(Inicial!J45="SI",Inicial!G45,"N/A")</f>
        <v>6</v>
      </c>
      <c r="H45" s="53">
        <f>IF(Inicial!J45="SI",Inicial!H45,"N/A")</f>
        <v>0</v>
      </c>
      <c r="I45" s="55">
        <f>IF(Inicial!J45="SI",Inicial!I45,"N/A")</f>
        <v>50</v>
      </c>
      <c r="J45" s="44" t="s">
        <v>64</v>
      </c>
      <c r="K45" s="6" t="s">
        <v>63</v>
      </c>
      <c r="L45" s="6" t="s">
        <v>63</v>
      </c>
      <c r="M45" s="6" t="s">
        <v>63</v>
      </c>
      <c r="N45" s="6" t="s">
        <v>63</v>
      </c>
      <c r="O45" s="6" t="s">
        <v>63</v>
      </c>
      <c r="P45" s="6" t="str">
        <f t="shared" si="0"/>
        <v>No Aceptable</v>
      </c>
      <c r="Q45" s="6" t="s">
        <v>64</v>
      </c>
      <c r="R45" s="6" t="s">
        <v>64</v>
      </c>
      <c r="S45" s="6" t="s">
        <v>64</v>
      </c>
      <c r="T45" s="6" t="s">
        <v>64</v>
      </c>
      <c r="U45" s="6" t="s">
        <v>64</v>
      </c>
      <c r="V45" s="6" t="s">
        <v>64</v>
      </c>
      <c r="W45" s="6" t="str">
        <f t="shared" si="1"/>
        <v>No Critico</v>
      </c>
    </row>
    <row r="46" spans="1:23" ht="30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IF(Inicial!J46="SI",Inicial!E46,"N/A")</f>
        <v>06:30 14:50 / 17:30 a 02:50</v>
      </c>
      <c r="F46" s="53">
        <f>IF(Inicial!J46="SI",Inicial!F46,"N/A")</f>
        <v>1</v>
      </c>
      <c r="G46" s="53">
        <f>IF(Inicial!J46="SI",Inicial!G46,"N/A")</f>
        <v>6</v>
      </c>
      <c r="H46" s="53">
        <f>IF(Inicial!J46="SI",Inicial!H46,"N/A")</f>
        <v>0</v>
      </c>
      <c r="I46" s="55">
        <f>IF(Inicial!J46="SI",Inicial!I46,"N/A")</f>
        <v>50</v>
      </c>
      <c r="J46" s="44" t="s">
        <v>64</v>
      </c>
      <c r="K46" s="6" t="s">
        <v>63</v>
      </c>
      <c r="L46" s="6" t="s">
        <v>63</v>
      </c>
      <c r="M46" s="6" t="s">
        <v>63</v>
      </c>
      <c r="N46" s="6" t="s">
        <v>63</v>
      </c>
      <c r="O46" s="6" t="s">
        <v>63</v>
      </c>
      <c r="P46" s="6" t="str">
        <f t="shared" si="0"/>
        <v>No Aceptable</v>
      </c>
      <c r="Q46" s="6" t="s">
        <v>64</v>
      </c>
      <c r="R46" s="6" t="s">
        <v>64</v>
      </c>
      <c r="S46" s="6" t="s">
        <v>64</v>
      </c>
      <c r="T46" s="6" t="s">
        <v>64</v>
      </c>
      <c r="U46" s="6" t="s">
        <v>64</v>
      </c>
      <c r="V46" s="6" t="s">
        <v>64</v>
      </c>
      <c r="W46" s="6" t="str">
        <f t="shared" si="1"/>
        <v>No Critico</v>
      </c>
    </row>
    <row r="47" spans="1:23" ht="30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IF(Inicial!J47="SI",Inicial!E47,"N/A")</f>
        <v>06:30 14:50 / 17:30 a 02:50</v>
      </c>
      <c r="F47" s="53">
        <f>IF(Inicial!J47="SI",Inicial!F47,"N/A")</f>
        <v>1</v>
      </c>
      <c r="G47" s="53">
        <f>IF(Inicial!J47="SI",Inicial!G47,"N/A")</f>
        <v>6</v>
      </c>
      <c r="H47" s="53">
        <f>IF(Inicial!J47="SI",Inicial!H47,"N/A")</f>
        <v>46</v>
      </c>
      <c r="I47" s="55">
        <f>IF(Inicial!J47="SI",Inicial!I47,"N/A")</f>
        <v>0</v>
      </c>
      <c r="J47" s="44" t="s">
        <v>64</v>
      </c>
      <c r="K47" s="6" t="s">
        <v>63</v>
      </c>
      <c r="L47" s="6" t="s">
        <v>63</v>
      </c>
      <c r="M47" s="6" t="s">
        <v>63</v>
      </c>
      <c r="N47" s="6" t="s">
        <v>63</v>
      </c>
      <c r="O47" s="6" t="s">
        <v>63</v>
      </c>
      <c r="P47" s="6" t="str">
        <f t="shared" si="0"/>
        <v>No Aceptable</v>
      </c>
      <c r="Q47" s="6" t="s">
        <v>64</v>
      </c>
      <c r="R47" s="6" t="s">
        <v>64</v>
      </c>
      <c r="S47" s="6" t="s">
        <v>64</v>
      </c>
      <c r="T47" s="6" t="s">
        <v>64</v>
      </c>
      <c r="U47" s="6" t="s">
        <v>64</v>
      </c>
      <c r="V47" s="6" t="s">
        <v>64</v>
      </c>
      <c r="W47" s="6" t="str">
        <f t="shared" si="1"/>
        <v>No Critico</v>
      </c>
    </row>
    <row r="48" spans="1:23" ht="30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IF(Inicial!J48="SI",Inicial!E48,"N/A")</f>
        <v>06:30 14:50 / 17:30 a 02:50</v>
      </c>
      <c r="F48" s="53">
        <f>IF(Inicial!J48="SI",Inicial!F48,"N/A")</f>
        <v>1</v>
      </c>
      <c r="G48" s="53">
        <f>IF(Inicial!J48="SI",Inicial!G48,"N/A")</f>
        <v>6</v>
      </c>
      <c r="H48" s="53">
        <f>IF(Inicial!J48="SI",Inicial!H48,"N/A")</f>
        <v>46</v>
      </c>
      <c r="I48" s="55">
        <f>IF(Inicial!J48="SI",Inicial!I48,"N/A")</f>
        <v>0</v>
      </c>
      <c r="J48" s="44" t="s">
        <v>64</v>
      </c>
      <c r="K48" s="6" t="s">
        <v>63</v>
      </c>
      <c r="L48" s="6" t="s">
        <v>63</v>
      </c>
      <c r="M48" s="6" t="s">
        <v>63</v>
      </c>
      <c r="N48" s="6" t="s">
        <v>63</v>
      </c>
      <c r="O48" s="6" t="s">
        <v>63</v>
      </c>
      <c r="P48" s="6" t="str">
        <f t="shared" ref="P48:P107" si="2">IF(OR(J48="NO",K48="NO",L48="NO",M48="NO",N48="NO",O48="NO"),"No Aceptable","Aceptable")</f>
        <v>No Aceptable</v>
      </c>
      <c r="Q48" s="6" t="s">
        <v>64</v>
      </c>
      <c r="R48" s="6" t="s">
        <v>64</v>
      </c>
      <c r="S48" s="6" t="s">
        <v>64</v>
      </c>
      <c r="T48" s="6" t="s">
        <v>64</v>
      </c>
      <c r="U48" s="6" t="s">
        <v>64</v>
      </c>
      <c r="V48" s="6" t="s">
        <v>64</v>
      </c>
      <c r="W48" s="6" t="str">
        <f t="shared" ref="W48:W107" si="3">IF(AND(Q48="NO",R48="NO",S48="NO",T48="NO",U48="NO",V48="NO"),"No Critico","Critico")</f>
        <v>No Critico</v>
      </c>
    </row>
    <row r="49" spans="1:23" ht="30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IF(Inicial!J49="SI",Inicial!E49,"N/A")</f>
        <v>06:30 14:50 / 17:30 a 02:50</v>
      </c>
      <c r="F49" s="53">
        <f>IF(Inicial!J49="SI",Inicial!F49,"N/A")</f>
        <v>1</v>
      </c>
      <c r="G49" s="53">
        <f>IF(Inicial!J49="SI",Inicial!G49,"N/A")</f>
        <v>6</v>
      </c>
      <c r="H49" s="53">
        <f>IF(Inicial!J49="SI",Inicial!H49,"N/A")</f>
        <v>46</v>
      </c>
      <c r="I49" s="55">
        <f>IF(Inicial!J49="SI",Inicial!I49,"N/A")</f>
        <v>0</v>
      </c>
      <c r="J49" s="44" t="s">
        <v>64</v>
      </c>
      <c r="K49" s="6" t="s">
        <v>63</v>
      </c>
      <c r="L49" s="6" t="s">
        <v>63</v>
      </c>
      <c r="M49" s="6" t="s">
        <v>63</v>
      </c>
      <c r="N49" s="6" t="s">
        <v>63</v>
      </c>
      <c r="O49" s="6" t="s">
        <v>63</v>
      </c>
      <c r="P49" s="6" t="str">
        <f t="shared" si="2"/>
        <v>No Aceptable</v>
      </c>
      <c r="Q49" s="6" t="s">
        <v>64</v>
      </c>
      <c r="R49" s="6" t="s">
        <v>64</v>
      </c>
      <c r="S49" s="6" t="s">
        <v>64</v>
      </c>
      <c r="T49" s="6" t="s">
        <v>64</v>
      </c>
      <c r="U49" s="6" t="s">
        <v>64</v>
      </c>
      <c r="V49" s="6" t="s">
        <v>64</v>
      </c>
      <c r="W49" s="6" t="str">
        <f t="shared" si="3"/>
        <v>No Critico</v>
      </c>
    </row>
    <row r="50" spans="1:23" ht="30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IF(Inicial!J50="SI",Inicial!E50,"N/A")</f>
        <v>06:30 14:50 / 17:30 a 02:50</v>
      </c>
      <c r="F50" s="53">
        <f>IF(Inicial!J50="SI",Inicial!F50,"N/A")</f>
        <v>1</v>
      </c>
      <c r="G50" s="53">
        <f>IF(Inicial!J50="SI",Inicial!G50,"N/A")</f>
        <v>6</v>
      </c>
      <c r="H50" s="53">
        <f>IF(Inicial!J50="SI",Inicial!H50,"N/A")</f>
        <v>46</v>
      </c>
      <c r="I50" s="55">
        <f>IF(Inicial!J50="SI",Inicial!I50,"N/A")</f>
        <v>0</v>
      </c>
      <c r="J50" s="44" t="s">
        <v>64</v>
      </c>
      <c r="K50" s="6" t="s">
        <v>63</v>
      </c>
      <c r="L50" s="6" t="s">
        <v>63</v>
      </c>
      <c r="M50" s="6" t="s">
        <v>63</v>
      </c>
      <c r="N50" s="6" t="s">
        <v>63</v>
      </c>
      <c r="O50" s="6" t="s">
        <v>63</v>
      </c>
      <c r="P50" s="6" t="str">
        <f t="shared" si="2"/>
        <v>No Aceptable</v>
      </c>
      <c r="Q50" s="6" t="s">
        <v>64</v>
      </c>
      <c r="R50" s="6" t="s">
        <v>64</v>
      </c>
      <c r="S50" s="6" t="s">
        <v>64</v>
      </c>
      <c r="T50" s="6" t="s">
        <v>64</v>
      </c>
      <c r="U50" s="6" t="s">
        <v>64</v>
      </c>
      <c r="V50" s="6" t="s">
        <v>64</v>
      </c>
      <c r="W50" s="6" t="str">
        <f t="shared" si="3"/>
        <v>No Critico</v>
      </c>
    </row>
    <row r="51" spans="1:23" ht="30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IF(Inicial!J51="SI",Inicial!E51,"N/A")</f>
        <v>06:30 14:50 / 17:30 a 02:50</v>
      </c>
      <c r="F51" s="53">
        <f>IF(Inicial!J51="SI",Inicial!F51,"N/A")</f>
        <v>1</v>
      </c>
      <c r="G51" s="53">
        <f>IF(Inicial!J51="SI",Inicial!G51,"N/A")</f>
        <v>6</v>
      </c>
      <c r="H51" s="53">
        <f>IF(Inicial!J51="SI",Inicial!H51,"N/A")</f>
        <v>46</v>
      </c>
      <c r="I51" s="55">
        <f>IF(Inicial!J51="SI",Inicial!I51,"N/A")</f>
        <v>0</v>
      </c>
      <c r="J51" s="44" t="s">
        <v>64</v>
      </c>
      <c r="K51" s="6" t="s">
        <v>63</v>
      </c>
      <c r="L51" s="6" t="s">
        <v>63</v>
      </c>
      <c r="M51" s="6" t="s">
        <v>63</v>
      </c>
      <c r="N51" s="6" t="s">
        <v>63</v>
      </c>
      <c r="O51" s="6" t="s">
        <v>63</v>
      </c>
      <c r="P51" s="6" t="str">
        <f t="shared" si="2"/>
        <v>No Aceptable</v>
      </c>
      <c r="Q51" s="6" t="s">
        <v>64</v>
      </c>
      <c r="R51" s="6" t="s">
        <v>64</v>
      </c>
      <c r="S51" s="6" t="s">
        <v>64</v>
      </c>
      <c r="T51" s="6" t="s">
        <v>64</v>
      </c>
      <c r="U51" s="6" t="s">
        <v>64</v>
      </c>
      <c r="V51" s="6" t="s">
        <v>64</v>
      </c>
      <c r="W51" s="6" t="str">
        <f t="shared" si="3"/>
        <v>No Critico</v>
      </c>
    </row>
    <row r="52" spans="1:23" ht="30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IF(Inicial!J52="SI",Inicial!E52,"N/A")</f>
        <v>06:30 14:50 / 17:30 a 02:50</v>
      </c>
      <c r="F52" s="53">
        <f>IF(Inicial!J52="SI",Inicial!F52,"N/A")</f>
        <v>1</v>
      </c>
      <c r="G52" s="53">
        <f>IF(Inicial!J52="SI",Inicial!G52,"N/A")</f>
        <v>6</v>
      </c>
      <c r="H52" s="53">
        <f>IF(Inicial!J52="SI",Inicial!H52,"N/A")</f>
        <v>46</v>
      </c>
      <c r="I52" s="55">
        <f>IF(Inicial!J52="SI",Inicial!I52,"N/A")</f>
        <v>0</v>
      </c>
      <c r="J52" s="44" t="s">
        <v>64</v>
      </c>
      <c r="K52" s="6" t="s">
        <v>63</v>
      </c>
      <c r="L52" s="6" t="s">
        <v>63</v>
      </c>
      <c r="M52" s="6" t="s">
        <v>63</v>
      </c>
      <c r="N52" s="6" t="s">
        <v>63</v>
      </c>
      <c r="O52" s="6" t="s">
        <v>63</v>
      </c>
      <c r="P52" s="6" t="str">
        <f t="shared" si="2"/>
        <v>No Aceptable</v>
      </c>
      <c r="Q52" s="6" t="s">
        <v>64</v>
      </c>
      <c r="R52" s="6" t="s">
        <v>64</v>
      </c>
      <c r="S52" s="6" t="s">
        <v>64</v>
      </c>
      <c r="T52" s="6" t="s">
        <v>64</v>
      </c>
      <c r="U52" s="6" t="s">
        <v>64</v>
      </c>
      <c r="V52" s="6" t="s">
        <v>64</v>
      </c>
      <c r="W52" s="6" t="str">
        <f t="shared" si="3"/>
        <v>No Critico</v>
      </c>
    </row>
    <row r="53" spans="1:23" ht="30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IF(Inicial!J53="SI",Inicial!E53,"N/A")</f>
        <v>06:30 14:50 / 17:30 a 02:50</v>
      </c>
      <c r="F53" s="53">
        <f>IF(Inicial!J53="SI",Inicial!F53,"N/A")</f>
        <v>1</v>
      </c>
      <c r="G53" s="53">
        <f>IF(Inicial!J53="SI",Inicial!G53,"N/A")</f>
        <v>6</v>
      </c>
      <c r="H53" s="53">
        <f>IF(Inicial!J53="SI",Inicial!H53,"N/A")</f>
        <v>46</v>
      </c>
      <c r="I53" s="55">
        <f>IF(Inicial!J53="SI",Inicial!I53,"N/A")</f>
        <v>0</v>
      </c>
      <c r="J53" s="44" t="s">
        <v>64</v>
      </c>
      <c r="K53" s="6" t="s">
        <v>63</v>
      </c>
      <c r="L53" s="6" t="s">
        <v>63</v>
      </c>
      <c r="M53" s="6" t="s">
        <v>63</v>
      </c>
      <c r="N53" s="6" t="s">
        <v>63</v>
      </c>
      <c r="O53" s="6" t="s">
        <v>63</v>
      </c>
      <c r="P53" s="6" t="str">
        <f t="shared" si="2"/>
        <v>No Aceptable</v>
      </c>
      <c r="Q53" s="6" t="s">
        <v>64</v>
      </c>
      <c r="R53" s="6" t="s">
        <v>64</v>
      </c>
      <c r="S53" s="6" t="s">
        <v>64</v>
      </c>
      <c r="T53" s="6" t="s">
        <v>64</v>
      </c>
      <c r="U53" s="6" t="s">
        <v>64</v>
      </c>
      <c r="V53" s="6" t="s">
        <v>64</v>
      </c>
      <c r="W53" s="6" t="str">
        <f t="shared" si="3"/>
        <v>No Critico</v>
      </c>
    </row>
    <row r="54" spans="1:23" ht="30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IF(Inicial!J54="SI",Inicial!E54,"N/A")</f>
        <v>06:30 14:50 / 17:30 a 02:50</v>
      </c>
      <c r="F54" s="53">
        <f>IF(Inicial!J54="SI",Inicial!F54,"N/A")</f>
        <v>1</v>
      </c>
      <c r="G54" s="53">
        <f>IF(Inicial!J54="SI",Inicial!G54,"N/A")</f>
        <v>6</v>
      </c>
      <c r="H54" s="53">
        <f>IF(Inicial!J54="SI",Inicial!H54,"N/A")</f>
        <v>46</v>
      </c>
      <c r="I54" s="55">
        <f>IF(Inicial!J54="SI",Inicial!I54,"N/A")</f>
        <v>0</v>
      </c>
      <c r="J54" s="44" t="s">
        <v>64</v>
      </c>
      <c r="K54" s="6" t="s">
        <v>63</v>
      </c>
      <c r="L54" s="6" t="s">
        <v>63</v>
      </c>
      <c r="M54" s="6" t="s">
        <v>63</v>
      </c>
      <c r="N54" s="6" t="s">
        <v>63</v>
      </c>
      <c r="O54" s="6" t="s">
        <v>63</v>
      </c>
      <c r="P54" s="6" t="str">
        <f t="shared" si="2"/>
        <v>No Aceptable</v>
      </c>
      <c r="Q54" s="6" t="s">
        <v>64</v>
      </c>
      <c r="R54" s="6" t="s">
        <v>64</v>
      </c>
      <c r="S54" s="6" t="s">
        <v>64</v>
      </c>
      <c r="T54" s="6" t="s">
        <v>64</v>
      </c>
      <c r="U54" s="6" t="s">
        <v>64</v>
      </c>
      <c r="V54" s="6" t="s">
        <v>64</v>
      </c>
      <c r="W54" s="6" t="str">
        <f t="shared" si="3"/>
        <v>No Critico</v>
      </c>
    </row>
    <row r="55" spans="1:23" ht="30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IF(Inicial!J55="SI",Inicial!E55,"N/A")</f>
        <v>06:30 14:50 / 17:30 a 02:50</v>
      </c>
      <c r="F55" s="53">
        <f>IF(Inicial!J55="SI",Inicial!F55,"N/A")</f>
        <v>1</v>
      </c>
      <c r="G55" s="53">
        <f>IF(Inicial!J55="SI",Inicial!G55,"N/A")</f>
        <v>6</v>
      </c>
      <c r="H55" s="53">
        <f>IF(Inicial!J55="SI",Inicial!H55,"N/A")</f>
        <v>46</v>
      </c>
      <c r="I55" s="55">
        <f>IF(Inicial!J55="SI",Inicial!I55,"N/A")</f>
        <v>0</v>
      </c>
      <c r="J55" s="44" t="s">
        <v>64</v>
      </c>
      <c r="K55" s="6" t="s">
        <v>63</v>
      </c>
      <c r="L55" s="6" t="s">
        <v>63</v>
      </c>
      <c r="M55" s="6" t="s">
        <v>63</v>
      </c>
      <c r="N55" s="6" t="s">
        <v>63</v>
      </c>
      <c r="O55" s="6" t="s">
        <v>63</v>
      </c>
      <c r="P55" s="6" t="str">
        <f t="shared" si="2"/>
        <v>No Aceptable</v>
      </c>
      <c r="Q55" s="6" t="s">
        <v>64</v>
      </c>
      <c r="R55" s="6" t="s">
        <v>64</v>
      </c>
      <c r="S55" s="6" t="s">
        <v>64</v>
      </c>
      <c r="T55" s="6" t="s">
        <v>64</v>
      </c>
      <c r="U55" s="6" t="s">
        <v>64</v>
      </c>
      <c r="V55" s="6" t="s">
        <v>64</v>
      </c>
      <c r="W55" s="6" t="str">
        <f t="shared" si="3"/>
        <v>No Critico</v>
      </c>
    </row>
    <row r="56" spans="1:23" ht="30">
      <c r="A56" s="52">
        <f>Inicial!A56</f>
        <v>54</v>
      </c>
      <c r="B56" s="53" t="str">
        <f>Inicial!B56</f>
        <v>Desposte</v>
      </c>
      <c r="C56" s="53" t="str">
        <f>Inicial!C56</f>
        <v>Operador Línea Chuletas</v>
      </c>
      <c r="D56" s="54" t="str">
        <f>Inicial!D56</f>
        <v>Alimentador Freund</v>
      </c>
      <c r="E56" s="52" t="str">
        <f>IF(Inicial!J56="SI",Inicial!E56,"N/A")</f>
        <v>06:30 14:50 / 17:30 a 02:50</v>
      </c>
      <c r="F56" s="53">
        <f>IF(Inicial!J56="SI",Inicial!F56,"N/A")</f>
        <v>1</v>
      </c>
      <c r="G56" s="53">
        <f>IF(Inicial!J56="SI",Inicial!G56,"N/A")</f>
        <v>6</v>
      </c>
      <c r="H56" s="53">
        <f>IF(Inicial!J56="SI",Inicial!H56,"N/A")</f>
        <v>46</v>
      </c>
      <c r="I56" s="55">
        <f>IF(Inicial!J56="SI",Inicial!I56,"N/A")</f>
        <v>0</v>
      </c>
      <c r="J56" s="44" t="s">
        <v>64</v>
      </c>
      <c r="K56" s="6" t="s">
        <v>63</v>
      </c>
      <c r="L56" s="6" t="s">
        <v>63</v>
      </c>
      <c r="M56" s="6" t="s">
        <v>63</v>
      </c>
      <c r="N56" s="6" t="s">
        <v>63</v>
      </c>
      <c r="O56" s="6" t="s">
        <v>63</v>
      </c>
      <c r="P56" s="6" t="str">
        <f t="shared" si="2"/>
        <v>No Aceptable</v>
      </c>
      <c r="Q56" s="6" t="s">
        <v>64</v>
      </c>
      <c r="R56" s="6" t="s">
        <v>64</v>
      </c>
      <c r="S56" s="6" t="s">
        <v>64</v>
      </c>
      <c r="T56" s="6" t="s">
        <v>64</v>
      </c>
      <c r="U56" s="6" t="s">
        <v>64</v>
      </c>
      <c r="V56" s="6" t="s">
        <v>64</v>
      </c>
      <c r="W56" s="6" t="str">
        <f t="shared" si="3"/>
        <v>No Critico</v>
      </c>
    </row>
    <row r="57" spans="1:23" ht="30">
      <c r="A57" s="52">
        <f>Inicial!A57</f>
        <v>55</v>
      </c>
      <c r="B57" s="53" t="str">
        <f>Inicial!B57</f>
        <v>Desposte</v>
      </c>
      <c r="C57" s="53" t="str">
        <f>Inicial!C57</f>
        <v>Operador Línea Chuletas</v>
      </c>
      <c r="D57" s="54" t="str">
        <f>Inicial!D57</f>
        <v>Recibir Hueso</v>
      </c>
      <c r="E57" s="52" t="str">
        <f>IF(Inicial!J57="SI",Inicial!E57,"N/A")</f>
        <v>06:30 14:50 / 17:30 a 02:50</v>
      </c>
      <c r="F57" s="53">
        <f>IF(Inicial!J57="SI",Inicial!F57,"N/A")</f>
        <v>1</v>
      </c>
      <c r="G57" s="53">
        <f>IF(Inicial!J57="SI",Inicial!G57,"N/A")</f>
        <v>6</v>
      </c>
      <c r="H57" s="53">
        <f>IF(Inicial!J57="SI",Inicial!H57,"N/A")</f>
        <v>46</v>
      </c>
      <c r="I57" s="55">
        <f>IF(Inicial!J57="SI",Inicial!I57,"N/A")</f>
        <v>0</v>
      </c>
      <c r="J57" s="44" t="s">
        <v>64</v>
      </c>
      <c r="K57" s="6" t="s">
        <v>63</v>
      </c>
      <c r="L57" s="6" t="s">
        <v>63</v>
      </c>
      <c r="M57" s="6" t="s">
        <v>63</v>
      </c>
      <c r="N57" s="6" t="s">
        <v>63</v>
      </c>
      <c r="O57" s="6" t="s">
        <v>63</v>
      </c>
      <c r="P57" s="6" t="str">
        <f t="shared" si="2"/>
        <v>No Aceptable</v>
      </c>
      <c r="Q57" s="6" t="s">
        <v>64</v>
      </c>
      <c r="R57" s="6" t="s">
        <v>64</v>
      </c>
      <c r="S57" s="6" t="s">
        <v>64</v>
      </c>
      <c r="T57" s="6" t="s">
        <v>64</v>
      </c>
      <c r="U57" s="6" t="s">
        <v>64</v>
      </c>
      <c r="V57" s="6" t="s">
        <v>64</v>
      </c>
      <c r="W57" s="6" t="str">
        <f t="shared" si="3"/>
        <v>No Critico</v>
      </c>
    </row>
    <row r="58" spans="1:23" ht="30">
      <c r="A58" s="52">
        <f>Inicial!A58</f>
        <v>56</v>
      </c>
      <c r="B58" s="53" t="str">
        <f>Inicial!B58</f>
        <v>Desposte</v>
      </c>
      <c r="C58" s="53" t="str">
        <f>Inicial!C58</f>
        <v>Operador Línea Chuletas</v>
      </c>
      <c r="D58" s="54" t="str">
        <f>Inicial!D58</f>
        <v>Embalar hueso</v>
      </c>
      <c r="E58" s="52" t="str">
        <f>IF(Inicial!J58="SI",Inicial!E58,"N/A")</f>
        <v>06:30 14:50 / 17:30 a 02:50</v>
      </c>
      <c r="F58" s="53">
        <f>IF(Inicial!J58="SI",Inicial!F58,"N/A")</f>
        <v>1</v>
      </c>
      <c r="G58" s="53">
        <f>IF(Inicial!J58="SI",Inicial!G58,"N/A")</f>
        <v>6</v>
      </c>
      <c r="H58" s="53">
        <f>IF(Inicial!J58="SI",Inicial!H58,"N/A")</f>
        <v>46</v>
      </c>
      <c r="I58" s="55">
        <f>IF(Inicial!J58="SI",Inicial!I58,"N/A")</f>
        <v>0</v>
      </c>
      <c r="J58" s="44" t="s">
        <v>64</v>
      </c>
      <c r="K58" s="6" t="s">
        <v>63</v>
      </c>
      <c r="L58" s="6" t="s">
        <v>63</v>
      </c>
      <c r="M58" s="6" t="s">
        <v>63</v>
      </c>
      <c r="N58" s="6" t="s">
        <v>63</v>
      </c>
      <c r="O58" s="6" t="s">
        <v>63</v>
      </c>
      <c r="P58" s="6" t="str">
        <f t="shared" si="2"/>
        <v>No Aceptable</v>
      </c>
      <c r="Q58" s="6" t="s">
        <v>64</v>
      </c>
      <c r="R58" s="6" t="s">
        <v>64</v>
      </c>
      <c r="S58" s="6" t="s">
        <v>64</v>
      </c>
      <c r="T58" s="6" t="s">
        <v>64</v>
      </c>
      <c r="U58" s="6" t="s">
        <v>64</v>
      </c>
      <c r="V58" s="6" t="s">
        <v>64</v>
      </c>
      <c r="W58" s="6" t="str">
        <f t="shared" si="3"/>
        <v>No Critico</v>
      </c>
    </row>
    <row r="59" spans="1:23" ht="30">
      <c r="A59" s="52">
        <f>Inicial!A59</f>
        <v>57</v>
      </c>
      <c r="B59" s="53" t="str">
        <f>Inicial!B59</f>
        <v>Desposte</v>
      </c>
      <c r="C59" s="53" t="str">
        <f>Inicial!C59</f>
        <v>Operador Línea Costillar</v>
      </c>
      <c r="D59" s="54" t="str">
        <f>Inicial!D59</f>
        <v>Abastecer Línea Costillar</v>
      </c>
      <c r="E59" s="52" t="str">
        <f>IF(Inicial!J59="SI",Inicial!E59,"N/A")</f>
        <v>06:30 14:50 / 17:30 a 02:50</v>
      </c>
      <c r="F59" s="53">
        <f>IF(Inicial!J59="SI",Inicial!F59,"N/A")</f>
        <v>1</v>
      </c>
      <c r="G59" s="53">
        <f>IF(Inicial!J59="SI",Inicial!G59,"N/A")</f>
        <v>6</v>
      </c>
      <c r="H59" s="53">
        <f>IF(Inicial!J59="SI",Inicial!H59,"N/A")</f>
        <v>38</v>
      </c>
      <c r="I59" s="55">
        <f>IF(Inicial!J59="SI",Inicial!I59,"N/A")</f>
        <v>0</v>
      </c>
      <c r="J59" s="44" t="s">
        <v>64</v>
      </c>
      <c r="K59" s="6" t="s">
        <v>63</v>
      </c>
      <c r="L59" s="6" t="s">
        <v>63</v>
      </c>
      <c r="M59" s="6" t="s">
        <v>63</v>
      </c>
      <c r="N59" s="6" t="s">
        <v>63</v>
      </c>
      <c r="O59" s="6" t="s">
        <v>63</v>
      </c>
      <c r="P59" s="6" t="str">
        <f t="shared" si="2"/>
        <v>No Aceptable</v>
      </c>
      <c r="Q59" s="6" t="s">
        <v>64</v>
      </c>
      <c r="R59" s="6" t="s">
        <v>64</v>
      </c>
      <c r="S59" s="6" t="s">
        <v>64</v>
      </c>
      <c r="T59" s="6" t="s">
        <v>64</v>
      </c>
      <c r="U59" s="6" t="s">
        <v>64</v>
      </c>
      <c r="V59" s="6" t="s">
        <v>64</v>
      </c>
      <c r="W59" s="6" t="str">
        <f t="shared" si="3"/>
        <v>No Critico</v>
      </c>
    </row>
    <row r="60" spans="1:23" ht="30">
      <c r="A60" s="52">
        <f>Inicial!A60</f>
        <v>58</v>
      </c>
      <c r="B60" s="53" t="str">
        <f>Inicial!B60</f>
        <v>Desposte</v>
      </c>
      <c r="C60" s="53" t="str">
        <f>Inicial!C60</f>
        <v>Operador Línea Costillar</v>
      </c>
      <c r="D60" s="54" t="str">
        <f>Inicial!D60</f>
        <v xml:space="preserve">Cuadrar panceta </v>
      </c>
      <c r="E60" s="52" t="str">
        <f>IF(Inicial!J60="SI",Inicial!E60,"N/A")</f>
        <v>06:30 14:50 / 17:30 a 02:50</v>
      </c>
      <c r="F60" s="53">
        <f>IF(Inicial!J60="SI",Inicial!F60,"N/A")</f>
        <v>1</v>
      </c>
      <c r="G60" s="53">
        <f>IF(Inicial!J60="SI",Inicial!G60,"N/A")</f>
        <v>6</v>
      </c>
      <c r="H60" s="53">
        <f>IF(Inicial!J60="SI",Inicial!H60,"N/A")</f>
        <v>38</v>
      </c>
      <c r="I60" s="55">
        <f>IF(Inicial!J60="SI",Inicial!I60,"N/A")</f>
        <v>0</v>
      </c>
      <c r="J60" s="44" t="s">
        <v>64</v>
      </c>
      <c r="K60" s="6" t="s">
        <v>63</v>
      </c>
      <c r="L60" s="6" t="s">
        <v>63</v>
      </c>
      <c r="M60" s="6" t="s">
        <v>63</v>
      </c>
      <c r="N60" s="6" t="s">
        <v>63</v>
      </c>
      <c r="O60" s="6" t="s">
        <v>63</v>
      </c>
      <c r="P60" s="6" t="str">
        <f t="shared" si="2"/>
        <v>No Aceptable</v>
      </c>
      <c r="Q60" s="6" t="s">
        <v>64</v>
      </c>
      <c r="R60" s="6" t="s">
        <v>64</v>
      </c>
      <c r="S60" s="6" t="s">
        <v>64</v>
      </c>
      <c r="T60" s="6" t="s">
        <v>64</v>
      </c>
      <c r="U60" s="6" t="s">
        <v>64</v>
      </c>
      <c r="V60" s="6" t="s">
        <v>64</v>
      </c>
      <c r="W60" s="6" t="str">
        <f t="shared" si="3"/>
        <v>No Critico</v>
      </c>
    </row>
    <row r="61" spans="1:23" ht="30">
      <c r="A61" s="52">
        <f>Inicial!A61</f>
        <v>59</v>
      </c>
      <c r="B61" s="53" t="str">
        <f>Inicial!B61</f>
        <v>Desposte</v>
      </c>
      <c r="C61" s="53" t="str">
        <f>Inicial!C61</f>
        <v>Operador Línea Costillar</v>
      </c>
      <c r="D61" s="54" t="str">
        <f>Inicial!D61</f>
        <v>Despunte Producto</v>
      </c>
      <c r="E61" s="52" t="str">
        <f>IF(Inicial!J61="SI",Inicial!E61,"N/A")</f>
        <v>06:30 14:50 / 17:30 a 02:50</v>
      </c>
      <c r="F61" s="53">
        <f>IF(Inicial!J61="SI",Inicial!F61,"N/A")</f>
        <v>1</v>
      </c>
      <c r="G61" s="53">
        <f>IF(Inicial!J61="SI",Inicial!G61,"N/A")</f>
        <v>6</v>
      </c>
      <c r="H61" s="53">
        <f>IF(Inicial!J61="SI",Inicial!H61,"N/A")</f>
        <v>38</v>
      </c>
      <c r="I61" s="55">
        <f>IF(Inicial!J61="SI",Inicial!I61,"N/A")</f>
        <v>0</v>
      </c>
      <c r="J61" s="44" t="s">
        <v>64</v>
      </c>
      <c r="K61" s="6" t="s">
        <v>63</v>
      </c>
      <c r="L61" s="6" t="s">
        <v>63</v>
      </c>
      <c r="M61" s="6" t="s">
        <v>63</v>
      </c>
      <c r="N61" s="6" t="s">
        <v>63</v>
      </c>
      <c r="O61" s="6" t="s">
        <v>63</v>
      </c>
      <c r="P61" s="6" t="str">
        <f t="shared" si="2"/>
        <v>No Aceptable</v>
      </c>
      <c r="Q61" s="6" t="s">
        <v>64</v>
      </c>
      <c r="R61" s="6" t="s">
        <v>64</v>
      </c>
      <c r="S61" s="6" t="s">
        <v>64</v>
      </c>
      <c r="T61" s="6" t="s">
        <v>64</v>
      </c>
      <c r="U61" s="6" t="s">
        <v>64</v>
      </c>
      <c r="V61" s="6" t="s">
        <v>64</v>
      </c>
      <c r="W61" s="6" t="str">
        <f t="shared" si="3"/>
        <v>No Critico</v>
      </c>
    </row>
    <row r="62" spans="1:23" ht="30">
      <c r="A62" s="52">
        <f>Inicial!A62</f>
        <v>60</v>
      </c>
      <c r="B62" s="53" t="str">
        <f>Inicial!B62</f>
        <v>Desposte</v>
      </c>
      <c r="C62" s="53" t="str">
        <f>Inicial!C62</f>
        <v>Operador Línea Costillar</v>
      </c>
      <c r="D62" s="54" t="str">
        <f>Inicial!D62</f>
        <v>Prolijado Whizard (grasa)</v>
      </c>
      <c r="E62" s="52" t="str">
        <f>IF(Inicial!J62="SI",Inicial!E62,"N/A")</f>
        <v>06:30 14:50 / 17:30 a 02:50</v>
      </c>
      <c r="F62" s="53">
        <f>IF(Inicial!J62="SI",Inicial!F62,"N/A")</f>
        <v>1</v>
      </c>
      <c r="G62" s="53">
        <f>IF(Inicial!J62="SI",Inicial!G62,"N/A")</f>
        <v>6</v>
      </c>
      <c r="H62" s="53">
        <f>IF(Inicial!J62="SI",Inicial!H62,"N/A")</f>
        <v>38</v>
      </c>
      <c r="I62" s="55">
        <f>IF(Inicial!J62="SI",Inicial!I62,"N/A")</f>
        <v>0</v>
      </c>
      <c r="J62" s="44" t="s">
        <v>64</v>
      </c>
      <c r="K62" s="6" t="s">
        <v>63</v>
      </c>
      <c r="L62" s="6" t="s">
        <v>63</v>
      </c>
      <c r="M62" s="6" t="s">
        <v>63</v>
      </c>
      <c r="N62" s="6" t="s">
        <v>63</v>
      </c>
      <c r="O62" s="6" t="s">
        <v>63</v>
      </c>
      <c r="P62" s="6" t="str">
        <f t="shared" si="2"/>
        <v>No Aceptable</v>
      </c>
      <c r="Q62" s="6" t="s">
        <v>64</v>
      </c>
      <c r="R62" s="6" t="s">
        <v>64</v>
      </c>
      <c r="S62" s="6" t="s">
        <v>64</v>
      </c>
      <c r="T62" s="6" t="s">
        <v>64</v>
      </c>
      <c r="U62" s="6" t="s">
        <v>64</v>
      </c>
      <c r="V62" s="6" t="s">
        <v>64</v>
      </c>
      <c r="W62" s="6" t="str">
        <f t="shared" si="3"/>
        <v>No Critico</v>
      </c>
    </row>
    <row r="63" spans="1:23" ht="30">
      <c r="A63" s="52">
        <f>Inicial!A63</f>
        <v>61</v>
      </c>
      <c r="B63" s="53" t="str">
        <f>Inicial!B63</f>
        <v>Desposte</v>
      </c>
      <c r="C63" s="53" t="str">
        <f>Inicial!C63</f>
        <v>Operador Línea Costillar</v>
      </c>
      <c r="D63" s="54" t="str">
        <f>Inicial!D63</f>
        <v>Calibrado</v>
      </c>
      <c r="E63" s="52" t="str">
        <f>IF(Inicial!J63="SI",Inicial!E63,"N/A")</f>
        <v>06:30 14:50 / 17:30 a 02:50</v>
      </c>
      <c r="F63" s="53">
        <f>IF(Inicial!J63="SI",Inicial!F63,"N/A")</f>
        <v>1</v>
      </c>
      <c r="G63" s="53">
        <f>IF(Inicial!J63="SI",Inicial!G63,"N/A")</f>
        <v>6</v>
      </c>
      <c r="H63" s="53">
        <f>IF(Inicial!J63="SI",Inicial!H63,"N/A")</f>
        <v>38</v>
      </c>
      <c r="I63" s="55">
        <f>IF(Inicial!J63="SI",Inicial!I63,"N/A")</f>
        <v>0</v>
      </c>
      <c r="J63" s="44" t="s">
        <v>64</v>
      </c>
      <c r="K63" s="6" t="s">
        <v>63</v>
      </c>
      <c r="L63" s="6" t="s">
        <v>63</v>
      </c>
      <c r="M63" s="6" t="s">
        <v>63</v>
      </c>
      <c r="N63" s="6" t="s">
        <v>63</v>
      </c>
      <c r="O63" s="6" t="s">
        <v>63</v>
      </c>
      <c r="P63" s="6" t="str">
        <f t="shared" si="2"/>
        <v>No Aceptable</v>
      </c>
      <c r="Q63" s="6" t="s">
        <v>64</v>
      </c>
      <c r="R63" s="6" t="s">
        <v>64</v>
      </c>
      <c r="S63" s="6" t="s">
        <v>64</v>
      </c>
      <c r="T63" s="6" t="s">
        <v>64</v>
      </c>
      <c r="U63" s="6" t="s">
        <v>64</v>
      </c>
      <c r="V63" s="6" t="s">
        <v>64</v>
      </c>
      <c r="W63" s="6" t="str">
        <f t="shared" si="3"/>
        <v>No Critico</v>
      </c>
    </row>
    <row r="64" spans="1:23" ht="30">
      <c r="A64" s="52">
        <f>Inicial!A64</f>
        <v>62</v>
      </c>
      <c r="B64" s="53" t="str">
        <f>Inicial!B64</f>
        <v>Desposte</v>
      </c>
      <c r="C64" s="53" t="str">
        <f>Inicial!C64</f>
        <v>Operador Línea Costillar</v>
      </c>
      <c r="D64" s="54" t="str">
        <f>Inicial!D64</f>
        <v>Cortado de Costillar</v>
      </c>
      <c r="E64" s="52" t="str">
        <f>IF(Inicial!J64="SI",Inicial!E64,"N/A")</f>
        <v>06:30 14:50 / 17:30 a 02:50</v>
      </c>
      <c r="F64" s="53">
        <f>IF(Inicial!J64="SI",Inicial!F64,"N/A")</f>
        <v>1</v>
      </c>
      <c r="G64" s="53">
        <f>IF(Inicial!J64="SI",Inicial!G64,"N/A")</f>
        <v>6</v>
      </c>
      <c r="H64" s="53">
        <f>IF(Inicial!J64="SI",Inicial!H64,"N/A")</f>
        <v>38</v>
      </c>
      <c r="I64" s="55">
        <f>IF(Inicial!J64="SI",Inicial!I64,"N/A")</f>
        <v>0</v>
      </c>
      <c r="J64" s="44" t="s">
        <v>64</v>
      </c>
      <c r="K64" s="6" t="s">
        <v>63</v>
      </c>
      <c r="L64" s="6" t="s">
        <v>63</v>
      </c>
      <c r="M64" s="6" t="s">
        <v>63</v>
      </c>
      <c r="N64" s="6" t="s">
        <v>63</v>
      </c>
      <c r="O64" s="6" t="s">
        <v>63</v>
      </c>
      <c r="P64" s="6" t="str">
        <f t="shared" si="2"/>
        <v>No Aceptable</v>
      </c>
      <c r="Q64" s="6" t="s">
        <v>64</v>
      </c>
      <c r="R64" s="6" t="s">
        <v>64</v>
      </c>
      <c r="S64" s="6" t="s">
        <v>64</v>
      </c>
      <c r="T64" s="6" t="s">
        <v>64</v>
      </c>
      <c r="U64" s="6" t="s">
        <v>64</v>
      </c>
      <c r="V64" s="6" t="s">
        <v>64</v>
      </c>
      <c r="W64" s="6" t="str">
        <f t="shared" si="3"/>
        <v>No Critico</v>
      </c>
    </row>
    <row r="65" spans="1:23" ht="30">
      <c r="A65" s="52">
        <f>Inicial!A65</f>
        <v>63</v>
      </c>
      <c r="B65" s="53" t="str">
        <f>Inicial!B65</f>
        <v>Desposte</v>
      </c>
      <c r="C65" s="53" t="str">
        <f>Inicial!C65</f>
        <v>Operador Línea Costillar</v>
      </c>
      <c r="D65" s="54" t="str">
        <f>Inicial!D65</f>
        <v xml:space="preserve">Abastecer Línea </v>
      </c>
      <c r="E65" s="52" t="str">
        <f>IF(Inicial!J65="SI",Inicial!E65,"N/A")</f>
        <v>06:30 14:50 / 17:30 a 02:50</v>
      </c>
      <c r="F65" s="53">
        <f>IF(Inicial!J65="SI",Inicial!F65,"N/A")</f>
        <v>1</v>
      </c>
      <c r="G65" s="53">
        <f>IF(Inicial!J65="SI",Inicial!G65,"N/A")</f>
        <v>6</v>
      </c>
      <c r="H65" s="53">
        <f>IF(Inicial!J65="SI",Inicial!H65,"N/A")</f>
        <v>38</v>
      </c>
      <c r="I65" s="55">
        <f>IF(Inicial!J65="SI",Inicial!I65,"N/A")</f>
        <v>0</v>
      </c>
      <c r="J65" s="44" t="s">
        <v>64</v>
      </c>
      <c r="K65" s="6" t="s">
        <v>63</v>
      </c>
      <c r="L65" s="6" t="s">
        <v>63</v>
      </c>
      <c r="M65" s="6" t="s">
        <v>63</v>
      </c>
      <c r="N65" s="6" t="s">
        <v>63</v>
      </c>
      <c r="O65" s="6" t="s">
        <v>63</v>
      </c>
      <c r="P65" s="6" t="str">
        <f t="shared" si="2"/>
        <v>No Aceptable</v>
      </c>
      <c r="Q65" s="6" t="s">
        <v>64</v>
      </c>
      <c r="R65" s="6" t="s">
        <v>64</v>
      </c>
      <c r="S65" s="6" t="s">
        <v>64</v>
      </c>
      <c r="T65" s="6" t="s">
        <v>64</v>
      </c>
      <c r="U65" s="6" t="s">
        <v>64</v>
      </c>
      <c r="V65" s="6" t="s">
        <v>64</v>
      </c>
      <c r="W65" s="6" t="str">
        <f t="shared" si="3"/>
        <v>No Critico</v>
      </c>
    </row>
    <row r="66" spans="1:23" ht="30">
      <c r="A66" s="52">
        <f>Inicial!A66</f>
        <v>64</v>
      </c>
      <c r="B66" s="53" t="str">
        <f>Inicial!B66</f>
        <v>Desposte</v>
      </c>
      <c r="C66" s="53" t="str">
        <f>Inicial!C66</f>
        <v>Operador Línea paleta</v>
      </c>
      <c r="D66" s="54" t="str">
        <f>Inicial!D66</f>
        <v>Separación de Vetado</v>
      </c>
      <c r="E66" s="52" t="str">
        <f>IF(Inicial!J66="SI",Inicial!E66,"N/A")</f>
        <v>06:30 14:50 / 17:30 a 02:50</v>
      </c>
      <c r="F66" s="53">
        <f>IF(Inicial!J66="SI",Inicial!F66,"N/A")</f>
        <v>1</v>
      </c>
      <c r="G66" s="53">
        <f>IF(Inicial!J66="SI",Inicial!G66,"N/A")</f>
        <v>6</v>
      </c>
      <c r="H66" s="53">
        <f>IF(Inicial!J66="SI",Inicial!H66,"N/A")</f>
        <v>32</v>
      </c>
      <c r="I66" s="55">
        <f>IF(Inicial!J66="SI",Inicial!I66,"N/A")</f>
        <v>0</v>
      </c>
      <c r="J66" s="44" t="s">
        <v>64</v>
      </c>
      <c r="K66" s="6" t="s">
        <v>63</v>
      </c>
      <c r="L66" s="6" t="s">
        <v>63</v>
      </c>
      <c r="M66" s="6" t="s">
        <v>63</v>
      </c>
      <c r="N66" s="6" t="s">
        <v>63</v>
      </c>
      <c r="O66" s="6" t="s">
        <v>63</v>
      </c>
      <c r="P66" s="6" t="str">
        <f t="shared" si="2"/>
        <v>No Aceptable</v>
      </c>
      <c r="Q66" s="6" t="s">
        <v>64</v>
      </c>
      <c r="R66" s="6" t="s">
        <v>64</v>
      </c>
      <c r="S66" s="6" t="s">
        <v>64</v>
      </c>
      <c r="T66" s="6" t="s">
        <v>64</v>
      </c>
      <c r="U66" s="6" t="s">
        <v>64</v>
      </c>
      <c r="V66" s="6" t="s">
        <v>64</v>
      </c>
      <c r="W66" s="6" t="str">
        <f t="shared" si="3"/>
        <v>No Critico</v>
      </c>
    </row>
    <row r="67" spans="1:23" ht="30">
      <c r="A67" s="52">
        <f>Inicial!A67</f>
        <v>65</v>
      </c>
      <c r="B67" s="53" t="str">
        <f>Inicial!B67</f>
        <v>Desposte</v>
      </c>
      <c r="C67" s="53" t="str">
        <f>Inicial!C67</f>
        <v>Operador Línea paleta</v>
      </c>
      <c r="D67" s="54" t="str">
        <f>Inicial!D67</f>
        <v>Segrega Producto</v>
      </c>
      <c r="E67" s="52" t="str">
        <f>IF(Inicial!J67="SI",Inicial!E67,"N/A")</f>
        <v>06:30 14:50 / 17:30 a 02:50</v>
      </c>
      <c r="F67" s="53">
        <f>IF(Inicial!J67="SI",Inicial!F67,"N/A")</f>
        <v>1</v>
      </c>
      <c r="G67" s="53">
        <f>IF(Inicial!J67="SI",Inicial!G67,"N/A")</f>
        <v>6</v>
      </c>
      <c r="H67" s="53">
        <f>IF(Inicial!J67="SI",Inicial!H67,"N/A")</f>
        <v>32</v>
      </c>
      <c r="I67" s="55">
        <f>IF(Inicial!J67="SI",Inicial!I67,"N/A")</f>
        <v>0</v>
      </c>
      <c r="J67" s="44" t="s">
        <v>64</v>
      </c>
      <c r="K67" s="6" t="s">
        <v>63</v>
      </c>
      <c r="L67" s="6" t="s">
        <v>63</v>
      </c>
      <c r="M67" s="6" t="s">
        <v>63</v>
      </c>
      <c r="N67" s="6" t="s">
        <v>63</v>
      </c>
      <c r="O67" s="6" t="s">
        <v>63</v>
      </c>
      <c r="P67" s="6" t="str">
        <f t="shared" si="2"/>
        <v>No Aceptable</v>
      </c>
      <c r="Q67" s="6" t="s">
        <v>64</v>
      </c>
      <c r="R67" s="6" t="s">
        <v>64</v>
      </c>
      <c r="S67" s="6" t="s">
        <v>64</v>
      </c>
      <c r="T67" s="6" t="s">
        <v>64</v>
      </c>
      <c r="U67" s="6" t="s">
        <v>64</v>
      </c>
      <c r="V67" s="6" t="s">
        <v>64</v>
      </c>
      <c r="W67" s="6" t="str">
        <f t="shared" si="3"/>
        <v>No Critico</v>
      </c>
    </row>
    <row r="68" spans="1:23" ht="30">
      <c r="A68" s="52">
        <f>Inicial!A68</f>
        <v>66</v>
      </c>
      <c r="B68" s="53" t="str">
        <f>Inicial!B68</f>
        <v>Desposte</v>
      </c>
      <c r="C68" s="53" t="str">
        <f>Inicial!C68</f>
        <v>Operador Línea paleta</v>
      </c>
      <c r="D68" s="54" t="str">
        <f>Inicial!D68</f>
        <v>Papada</v>
      </c>
      <c r="E68" s="52" t="str">
        <f>IF(Inicial!J68="SI",Inicial!E68,"N/A")</f>
        <v>06:30 14:50 / 17:30 a 02:50</v>
      </c>
      <c r="F68" s="53">
        <f>IF(Inicial!J68="SI",Inicial!F68,"N/A")</f>
        <v>1</v>
      </c>
      <c r="G68" s="53">
        <f>IF(Inicial!J68="SI",Inicial!G68,"N/A")</f>
        <v>6</v>
      </c>
      <c r="H68" s="53">
        <f>IF(Inicial!J68="SI",Inicial!H68,"N/A")</f>
        <v>32</v>
      </c>
      <c r="I68" s="55">
        <f>IF(Inicial!J68="SI",Inicial!I68,"N/A")</f>
        <v>0</v>
      </c>
      <c r="J68" s="44" t="s">
        <v>64</v>
      </c>
      <c r="K68" s="6" t="s">
        <v>63</v>
      </c>
      <c r="L68" s="6" t="s">
        <v>63</v>
      </c>
      <c r="M68" s="6" t="s">
        <v>63</v>
      </c>
      <c r="N68" s="6" t="s">
        <v>63</v>
      </c>
      <c r="O68" s="6" t="s">
        <v>63</v>
      </c>
      <c r="P68" s="6" t="str">
        <f t="shared" si="2"/>
        <v>No Aceptable</v>
      </c>
      <c r="Q68" s="6" t="s">
        <v>64</v>
      </c>
      <c r="R68" s="6" t="s">
        <v>64</v>
      </c>
      <c r="S68" s="6" t="s">
        <v>64</v>
      </c>
      <c r="T68" s="6" t="s">
        <v>64</v>
      </c>
      <c r="U68" s="6" t="s">
        <v>64</v>
      </c>
      <c r="V68" s="6" t="s">
        <v>64</v>
      </c>
      <c r="W68" s="6" t="str">
        <f t="shared" si="3"/>
        <v>No Critico</v>
      </c>
    </row>
    <row r="69" spans="1:23" ht="30">
      <c r="A69" s="52">
        <f>Inicial!A69</f>
        <v>67</v>
      </c>
      <c r="B69" s="53" t="str">
        <f>Inicial!B69</f>
        <v>Desposte</v>
      </c>
      <c r="C69" s="53" t="str">
        <f>Inicial!C69</f>
        <v>Operador Línea paleta</v>
      </c>
      <c r="D69" s="54" t="str">
        <f>Inicial!D69</f>
        <v>Forrero</v>
      </c>
      <c r="E69" s="52" t="str">
        <f>IF(Inicial!J69="SI",Inicial!E69,"N/A")</f>
        <v>06:30 14:50 / 17:30 a 02:50</v>
      </c>
      <c r="F69" s="53">
        <f>IF(Inicial!J69="SI",Inicial!F69,"N/A")</f>
        <v>1</v>
      </c>
      <c r="G69" s="53">
        <f>IF(Inicial!J69="SI",Inicial!G69,"N/A")</f>
        <v>6</v>
      </c>
      <c r="H69" s="53">
        <f>IF(Inicial!J69="SI",Inicial!H69,"N/A")</f>
        <v>32</v>
      </c>
      <c r="I69" s="55">
        <f>IF(Inicial!J69="SI",Inicial!I69,"N/A")</f>
        <v>0</v>
      </c>
      <c r="J69" s="44" t="s">
        <v>64</v>
      </c>
      <c r="K69" s="6" t="s">
        <v>63</v>
      </c>
      <c r="L69" s="6" t="s">
        <v>63</v>
      </c>
      <c r="M69" s="6" t="s">
        <v>63</v>
      </c>
      <c r="N69" s="6" t="s">
        <v>63</v>
      </c>
      <c r="O69" s="6" t="s">
        <v>63</v>
      </c>
      <c r="P69" s="6" t="str">
        <f t="shared" si="2"/>
        <v>No Aceptable</v>
      </c>
      <c r="Q69" s="6" t="s">
        <v>64</v>
      </c>
      <c r="R69" s="6" t="s">
        <v>64</v>
      </c>
      <c r="S69" s="6" t="s">
        <v>64</v>
      </c>
      <c r="T69" s="6" t="s">
        <v>64</v>
      </c>
      <c r="U69" s="6" t="s">
        <v>64</v>
      </c>
      <c r="V69" s="6" t="s">
        <v>64</v>
      </c>
      <c r="W69" s="6" t="str">
        <f t="shared" si="3"/>
        <v>No Critico</v>
      </c>
    </row>
    <row r="70" spans="1:23" ht="30">
      <c r="A70" s="52">
        <f>Inicial!A70</f>
        <v>68</v>
      </c>
      <c r="B70" s="53" t="str">
        <f>Inicial!B70</f>
        <v>Desposte</v>
      </c>
      <c r="C70" s="53" t="str">
        <f>Inicial!C70</f>
        <v>Operador Línea paleta</v>
      </c>
      <c r="D70" s="54" t="str">
        <f>Inicial!D70</f>
        <v>Rayado</v>
      </c>
      <c r="E70" s="52" t="str">
        <f>IF(Inicial!J70="SI",Inicial!E70,"N/A")</f>
        <v>06:30 14:50 / 17:30 a 02:50</v>
      </c>
      <c r="F70" s="53">
        <f>IF(Inicial!J70="SI",Inicial!F70,"N/A")</f>
        <v>1</v>
      </c>
      <c r="G70" s="53">
        <f>IF(Inicial!J70="SI",Inicial!G70,"N/A")</f>
        <v>6</v>
      </c>
      <c r="H70" s="53">
        <f>IF(Inicial!J70="SI",Inicial!H70,"N/A")</f>
        <v>32</v>
      </c>
      <c r="I70" s="55">
        <f>IF(Inicial!J70="SI",Inicial!I70,"N/A")</f>
        <v>0</v>
      </c>
      <c r="J70" s="44" t="s">
        <v>64</v>
      </c>
      <c r="K70" s="6" t="s">
        <v>63</v>
      </c>
      <c r="L70" s="6" t="s">
        <v>63</v>
      </c>
      <c r="M70" s="6" t="s">
        <v>63</v>
      </c>
      <c r="N70" s="6" t="s">
        <v>63</v>
      </c>
      <c r="O70" s="6" t="s">
        <v>63</v>
      </c>
      <c r="P70" s="6" t="str">
        <f t="shared" si="2"/>
        <v>No Aceptable</v>
      </c>
      <c r="Q70" s="6" t="s">
        <v>64</v>
      </c>
      <c r="R70" s="6" t="s">
        <v>64</v>
      </c>
      <c r="S70" s="6" t="s">
        <v>64</v>
      </c>
      <c r="T70" s="6" t="s">
        <v>64</v>
      </c>
      <c r="U70" s="6" t="s">
        <v>64</v>
      </c>
      <c r="V70" s="6" t="s">
        <v>64</v>
      </c>
      <c r="W70" s="6" t="str">
        <f t="shared" si="3"/>
        <v>No Critico</v>
      </c>
    </row>
    <row r="71" spans="1:23" ht="30">
      <c r="A71" s="52">
        <f>Inicial!A71</f>
        <v>69</v>
      </c>
      <c r="B71" s="53" t="str">
        <f>Inicial!B71</f>
        <v>Desposte</v>
      </c>
      <c r="C71" s="53" t="str">
        <f>Inicial!C71</f>
        <v>Operador Línea paleta</v>
      </c>
      <c r="D71" s="54" t="str">
        <f>Inicial!D71</f>
        <v>Cortar Plateada</v>
      </c>
      <c r="E71" s="52" t="str">
        <f>IF(Inicial!J71="SI",Inicial!E71,"N/A")</f>
        <v>06:30 14:50 / 17:30 a 02:50</v>
      </c>
      <c r="F71" s="53">
        <f>IF(Inicial!J71="SI",Inicial!F71,"N/A")</f>
        <v>1</v>
      </c>
      <c r="G71" s="53">
        <f>IF(Inicial!J71="SI",Inicial!G71,"N/A")</f>
        <v>6</v>
      </c>
      <c r="H71" s="53">
        <f>IF(Inicial!J71="SI",Inicial!H71,"N/A")</f>
        <v>32</v>
      </c>
      <c r="I71" s="55">
        <f>IF(Inicial!J71="SI",Inicial!I71,"N/A")</f>
        <v>0</v>
      </c>
      <c r="J71" s="44" t="s">
        <v>64</v>
      </c>
      <c r="K71" s="6" t="s">
        <v>63</v>
      </c>
      <c r="L71" s="6" t="s">
        <v>63</v>
      </c>
      <c r="M71" s="6" t="s">
        <v>63</v>
      </c>
      <c r="N71" s="6" t="s">
        <v>63</v>
      </c>
      <c r="O71" s="6" t="s">
        <v>63</v>
      </c>
      <c r="P71" s="6" t="str">
        <f t="shared" si="2"/>
        <v>No Aceptable</v>
      </c>
      <c r="Q71" s="6" t="s">
        <v>64</v>
      </c>
      <c r="R71" s="6" t="s">
        <v>64</v>
      </c>
      <c r="S71" s="6" t="s">
        <v>64</v>
      </c>
      <c r="T71" s="6" t="s">
        <v>64</v>
      </c>
      <c r="U71" s="6" t="s">
        <v>64</v>
      </c>
      <c r="V71" s="6" t="s">
        <v>64</v>
      </c>
      <c r="W71" s="6" t="str">
        <f t="shared" si="3"/>
        <v>No Critico</v>
      </c>
    </row>
    <row r="72" spans="1:23" ht="30">
      <c r="A72" s="52">
        <f>Inicial!A72</f>
        <v>70</v>
      </c>
      <c r="B72" s="53" t="str">
        <f>Inicial!B72</f>
        <v>Desposte</v>
      </c>
      <c r="C72" s="53" t="str">
        <f>Inicial!C72</f>
        <v>Operador Línea paleta</v>
      </c>
      <c r="D72" s="54" t="str">
        <f>Inicial!D72</f>
        <v>Pistola Escapula</v>
      </c>
      <c r="E72" s="52" t="str">
        <f>IF(Inicial!J72="SI",Inicial!E72,"N/A")</f>
        <v>06:30 14:50 / 17:30 a 02:50</v>
      </c>
      <c r="F72" s="53">
        <f>IF(Inicial!J72="SI",Inicial!F72,"N/A")</f>
        <v>1</v>
      </c>
      <c r="G72" s="53">
        <f>IF(Inicial!J72="SI",Inicial!G72,"N/A")</f>
        <v>6</v>
      </c>
      <c r="H72" s="53">
        <f>IF(Inicial!J72="SI",Inicial!H72,"N/A")</f>
        <v>32</v>
      </c>
      <c r="I72" s="55">
        <f>IF(Inicial!J72="SI",Inicial!I72,"N/A")</f>
        <v>0</v>
      </c>
      <c r="J72" s="44" t="s">
        <v>64</v>
      </c>
      <c r="K72" s="6" t="s">
        <v>63</v>
      </c>
      <c r="L72" s="6" t="s">
        <v>63</v>
      </c>
      <c r="M72" s="6" t="s">
        <v>63</v>
      </c>
      <c r="N72" s="6" t="s">
        <v>63</v>
      </c>
      <c r="O72" s="6" t="s">
        <v>63</v>
      </c>
      <c r="P72" s="6" t="str">
        <f t="shared" si="2"/>
        <v>No Aceptable</v>
      </c>
      <c r="Q72" s="6" t="s">
        <v>64</v>
      </c>
      <c r="R72" s="6" t="s">
        <v>64</v>
      </c>
      <c r="S72" s="6" t="s">
        <v>64</v>
      </c>
      <c r="T72" s="6" t="s">
        <v>64</v>
      </c>
      <c r="U72" s="6" t="s">
        <v>64</v>
      </c>
      <c r="V72" s="6" t="s">
        <v>64</v>
      </c>
      <c r="W72" s="6" t="str">
        <f t="shared" si="3"/>
        <v>No Critico</v>
      </c>
    </row>
    <row r="73" spans="1:23" ht="30">
      <c r="A73" s="52">
        <f>Inicial!A73</f>
        <v>71</v>
      </c>
      <c r="B73" s="53" t="str">
        <f>Inicial!B73</f>
        <v>Desposte</v>
      </c>
      <c r="C73" s="53" t="str">
        <f>Inicial!C73</f>
        <v>Operador Línea paleta</v>
      </c>
      <c r="D73" s="54" t="str">
        <f>Inicial!D73</f>
        <v>Deshuesado Escapula</v>
      </c>
      <c r="E73" s="52" t="str">
        <f>IF(Inicial!J73="SI",Inicial!E73,"N/A")</f>
        <v>06:30 14:50 / 17:30 a 02:50</v>
      </c>
      <c r="F73" s="53">
        <f>IF(Inicial!J73="SI",Inicial!F73,"N/A")</f>
        <v>1</v>
      </c>
      <c r="G73" s="53">
        <f>IF(Inicial!J73="SI",Inicial!G73,"N/A")</f>
        <v>6</v>
      </c>
      <c r="H73" s="53">
        <f>IF(Inicial!J73="SI",Inicial!H73,"N/A")</f>
        <v>32</v>
      </c>
      <c r="I73" s="55">
        <f>IF(Inicial!J73="SI",Inicial!I73,"N/A")</f>
        <v>0</v>
      </c>
      <c r="J73" s="44" t="s">
        <v>64</v>
      </c>
      <c r="K73" s="6" t="s">
        <v>63</v>
      </c>
      <c r="L73" s="6" t="s">
        <v>63</v>
      </c>
      <c r="M73" s="6" t="s">
        <v>63</v>
      </c>
      <c r="N73" s="6" t="s">
        <v>63</v>
      </c>
      <c r="O73" s="6" t="s">
        <v>63</v>
      </c>
      <c r="P73" s="6" t="str">
        <f t="shared" si="2"/>
        <v>No Aceptable</v>
      </c>
      <c r="Q73" s="6" t="s">
        <v>64</v>
      </c>
      <c r="R73" s="6" t="s">
        <v>64</v>
      </c>
      <c r="S73" s="6" t="s">
        <v>64</v>
      </c>
      <c r="T73" s="6" t="s">
        <v>64</v>
      </c>
      <c r="U73" s="6" t="s">
        <v>64</v>
      </c>
      <c r="V73" s="6" t="s">
        <v>64</v>
      </c>
      <c r="W73" s="6" t="str">
        <f t="shared" si="3"/>
        <v>No Critico</v>
      </c>
    </row>
    <row r="74" spans="1:23" ht="30">
      <c r="A74" s="52">
        <f>Inicial!A74</f>
        <v>72</v>
      </c>
      <c r="B74" s="53" t="str">
        <f>Inicial!B74</f>
        <v>Desposte</v>
      </c>
      <c r="C74" s="53" t="str">
        <f>Inicial!C74</f>
        <v>Operador Línea paleta</v>
      </c>
      <c r="D74" s="54" t="str">
        <f>Inicial!D74</f>
        <v>Deshuesado Humero</v>
      </c>
      <c r="E74" s="52" t="str">
        <f>IF(Inicial!J74="SI",Inicial!E74,"N/A")</f>
        <v>06:30 14:50 / 17:30 a 02:50</v>
      </c>
      <c r="F74" s="53">
        <f>IF(Inicial!J74="SI",Inicial!F74,"N/A")</f>
        <v>1</v>
      </c>
      <c r="G74" s="53">
        <f>IF(Inicial!J74="SI",Inicial!G74,"N/A")</f>
        <v>6</v>
      </c>
      <c r="H74" s="53">
        <f>IF(Inicial!J74="SI",Inicial!H74,"N/A")</f>
        <v>32</v>
      </c>
      <c r="I74" s="55">
        <f>IF(Inicial!J74="SI",Inicial!I74,"N/A")</f>
        <v>0</v>
      </c>
      <c r="J74" s="44" t="s">
        <v>64</v>
      </c>
      <c r="K74" s="6" t="s">
        <v>63</v>
      </c>
      <c r="L74" s="6" t="s">
        <v>63</v>
      </c>
      <c r="M74" s="6" t="s">
        <v>63</v>
      </c>
      <c r="N74" s="6" t="s">
        <v>63</v>
      </c>
      <c r="O74" s="6" t="s">
        <v>63</v>
      </c>
      <c r="P74" s="6" t="str">
        <f t="shared" si="2"/>
        <v>No Aceptable</v>
      </c>
      <c r="Q74" s="6" t="s">
        <v>64</v>
      </c>
      <c r="R74" s="6" t="s">
        <v>64</v>
      </c>
      <c r="S74" s="6" t="s">
        <v>64</v>
      </c>
      <c r="T74" s="6" t="s">
        <v>64</v>
      </c>
      <c r="U74" s="6" t="s">
        <v>64</v>
      </c>
      <c r="V74" s="6" t="s">
        <v>64</v>
      </c>
      <c r="W74" s="6" t="str">
        <f t="shared" si="3"/>
        <v>No Critico</v>
      </c>
    </row>
    <row r="75" spans="1:23" ht="30">
      <c r="A75" s="52">
        <f>Inicial!A75</f>
        <v>73</v>
      </c>
      <c r="B75" s="53" t="str">
        <f>Inicial!B75</f>
        <v>Desposte</v>
      </c>
      <c r="C75" s="53" t="str">
        <f>Inicial!C75</f>
        <v>Operador Línea paleta</v>
      </c>
      <c r="D75" s="54" t="str">
        <f>Inicial!D75</f>
        <v>Embolsado</v>
      </c>
      <c r="E75" s="52" t="str">
        <f>IF(Inicial!J75="SI",Inicial!E75,"N/A")</f>
        <v>06:30 14:50 / 17:30 a 02:50</v>
      </c>
      <c r="F75" s="53">
        <f>IF(Inicial!J75="SI",Inicial!F75,"N/A")</f>
        <v>1</v>
      </c>
      <c r="G75" s="53">
        <f>IF(Inicial!J75="SI",Inicial!G75,"N/A")</f>
        <v>6</v>
      </c>
      <c r="H75" s="53">
        <f>IF(Inicial!J75="SI",Inicial!H75,"N/A")</f>
        <v>32</v>
      </c>
      <c r="I75" s="55">
        <f>IF(Inicial!J75="SI",Inicial!I75,"N/A")</f>
        <v>0</v>
      </c>
      <c r="J75" s="44" t="s">
        <v>64</v>
      </c>
      <c r="K75" s="6" t="s">
        <v>63</v>
      </c>
      <c r="L75" s="6" t="s">
        <v>63</v>
      </c>
      <c r="M75" s="6" t="s">
        <v>63</v>
      </c>
      <c r="N75" s="6" t="s">
        <v>63</v>
      </c>
      <c r="O75" s="6" t="s">
        <v>63</v>
      </c>
      <c r="P75" s="6" t="str">
        <f t="shared" si="2"/>
        <v>No Aceptable</v>
      </c>
      <c r="Q75" s="6" t="s">
        <v>64</v>
      </c>
      <c r="R75" s="6" t="s">
        <v>64</v>
      </c>
      <c r="S75" s="6" t="s">
        <v>64</v>
      </c>
      <c r="T75" s="6" t="s">
        <v>64</v>
      </c>
      <c r="U75" s="6" t="s">
        <v>64</v>
      </c>
      <c r="V75" s="6" t="s">
        <v>64</v>
      </c>
      <c r="W75" s="6" t="str">
        <f t="shared" si="3"/>
        <v>No Critico</v>
      </c>
    </row>
    <row r="76" spans="1:23" ht="30">
      <c r="A76" s="52">
        <f>Inicial!A76</f>
        <v>74</v>
      </c>
      <c r="B76" s="53" t="str">
        <f>Inicial!B76</f>
        <v>Desposte</v>
      </c>
      <c r="C76" s="53" t="str">
        <f>Inicial!C76</f>
        <v>Operador Línea paleta</v>
      </c>
      <c r="D76" s="54" t="str">
        <f>Inicial!D76</f>
        <v>Prolijado</v>
      </c>
      <c r="E76" s="52" t="str">
        <f>IF(Inicial!J76="SI",Inicial!E76,"N/A")</f>
        <v>06:30 14:50 / 17:30 a 02:50</v>
      </c>
      <c r="F76" s="53">
        <f>IF(Inicial!J76="SI",Inicial!F76,"N/A")</f>
        <v>1</v>
      </c>
      <c r="G76" s="53">
        <f>IF(Inicial!J76="SI",Inicial!G76,"N/A")</f>
        <v>6</v>
      </c>
      <c r="H76" s="53">
        <f>IF(Inicial!J76="SI",Inicial!H76,"N/A")</f>
        <v>32</v>
      </c>
      <c r="I76" s="55">
        <f>IF(Inicial!J76="SI",Inicial!I76,"N/A")</f>
        <v>0</v>
      </c>
      <c r="J76" s="44" t="s">
        <v>64</v>
      </c>
      <c r="K76" s="6" t="s">
        <v>63</v>
      </c>
      <c r="L76" s="6" t="s">
        <v>63</v>
      </c>
      <c r="M76" s="6" t="s">
        <v>63</v>
      </c>
      <c r="N76" s="6" t="s">
        <v>63</v>
      </c>
      <c r="O76" s="6" t="s">
        <v>63</v>
      </c>
      <c r="P76" s="6" t="str">
        <f t="shared" si="2"/>
        <v>No Aceptable</v>
      </c>
      <c r="Q76" s="6" t="s">
        <v>64</v>
      </c>
      <c r="R76" s="6" t="s">
        <v>64</v>
      </c>
      <c r="S76" s="6" t="s">
        <v>64</v>
      </c>
      <c r="T76" s="6" t="s">
        <v>64</v>
      </c>
      <c r="U76" s="6" t="s">
        <v>64</v>
      </c>
      <c r="V76" s="6" t="s">
        <v>64</v>
      </c>
      <c r="W76" s="6" t="str">
        <f t="shared" si="3"/>
        <v>No Critico</v>
      </c>
    </row>
    <row r="77" spans="1:23" ht="30">
      <c r="A77" s="52">
        <f>Inicial!A77</f>
        <v>75</v>
      </c>
      <c r="B77" s="53" t="str">
        <f>Inicial!B77</f>
        <v>Desposte</v>
      </c>
      <c r="C77" s="53" t="str">
        <f>Inicial!C77</f>
        <v>Operador LíneaVetado</v>
      </c>
      <c r="D77" s="54" t="str">
        <f>Inicial!D77</f>
        <v xml:space="preserve">Abastecer máquina </v>
      </c>
      <c r="E77" s="52" t="str">
        <f>IF(Inicial!J77="SI",Inicial!E77,"N/A")</f>
        <v>06:30 14:50 / 17:30 a 02:50</v>
      </c>
      <c r="F77" s="53">
        <f>IF(Inicial!J77="SI",Inicial!F77,"N/A")</f>
        <v>1</v>
      </c>
      <c r="G77" s="53">
        <f>IF(Inicial!J77="SI",Inicial!G77,"N/A")</f>
        <v>6</v>
      </c>
      <c r="H77" s="53">
        <f>IF(Inicial!J77="SI",Inicial!H77,"N/A")</f>
        <v>36</v>
      </c>
      <c r="I77" s="55">
        <f>IF(Inicial!J77="SI",Inicial!I77,"N/A")</f>
        <v>0</v>
      </c>
      <c r="J77" s="44" t="s">
        <v>64</v>
      </c>
      <c r="K77" s="6" t="s">
        <v>63</v>
      </c>
      <c r="L77" s="6" t="s">
        <v>63</v>
      </c>
      <c r="M77" s="6" t="s">
        <v>63</v>
      </c>
      <c r="N77" s="6" t="s">
        <v>63</v>
      </c>
      <c r="O77" s="6" t="s">
        <v>63</v>
      </c>
      <c r="P77" s="6" t="str">
        <f t="shared" si="2"/>
        <v>No Aceptable</v>
      </c>
      <c r="Q77" s="6" t="s">
        <v>64</v>
      </c>
      <c r="R77" s="6" t="s">
        <v>64</v>
      </c>
      <c r="S77" s="6" t="s">
        <v>64</v>
      </c>
      <c r="T77" s="6" t="s">
        <v>64</v>
      </c>
      <c r="U77" s="6" t="s">
        <v>64</v>
      </c>
      <c r="V77" s="6" t="s">
        <v>64</v>
      </c>
      <c r="W77" s="6" t="str">
        <f t="shared" si="3"/>
        <v>No Critico</v>
      </c>
    </row>
    <row r="78" spans="1:23" ht="30">
      <c r="A78" s="52">
        <f>Inicial!A78</f>
        <v>76</v>
      </c>
      <c r="B78" s="53" t="str">
        <f>Inicial!B78</f>
        <v>Desposte</v>
      </c>
      <c r="C78" s="53" t="str">
        <f>Inicial!C78</f>
        <v>Operador LíneaVetado</v>
      </c>
      <c r="D78" s="54" t="str">
        <f>Inicial!D78</f>
        <v>Punta Costilla</v>
      </c>
      <c r="E78" s="52" t="str">
        <f>IF(Inicial!J78="SI",Inicial!E78,"N/A")</f>
        <v>06:30 14:50 / 17:30 a 02:50</v>
      </c>
      <c r="F78" s="53">
        <f>IF(Inicial!J78="SI",Inicial!F78,"N/A")</f>
        <v>1</v>
      </c>
      <c r="G78" s="53">
        <f>IF(Inicial!J78="SI",Inicial!G78,"N/A")</f>
        <v>6</v>
      </c>
      <c r="H78" s="53">
        <f>IF(Inicial!J78="SI",Inicial!H78,"N/A")</f>
        <v>36</v>
      </c>
      <c r="I78" s="55">
        <f>IF(Inicial!J78="SI",Inicial!I78,"N/A")</f>
        <v>0</v>
      </c>
      <c r="J78" s="44" t="s">
        <v>64</v>
      </c>
      <c r="K78" s="6" t="s">
        <v>63</v>
      </c>
      <c r="L78" s="6" t="s">
        <v>63</v>
      </c>
      <c r="M78" s="6" t="s">
        <v>63</v>
      </c>
      <c r="N78" s="6" t="s">
        <v>63</v>
      </c>
      <c r="O78" s="6" t="s">
        <v>63</v>
      </c>
      <c r="P78" s="6" t="str">
        <f t="shared" si="2"/>
        <v>No Aceptable</v>
      </c>
      <c r="Q78" s="6" t="s">
        <v>64</v>
      </c>
      <c r="R78" s="6" t="s">
        <v>64</v>
      </c>
      <c r="S78" s="6" t="s">
        <v>64</v>
      </c>
      <c r="T78" s="6" t="s">
        <v>64</v>
      </c>
      <c r="U78" s="6" t="s">
        <v>64</v>
      </c>
      <c r="V78" s="6" t="s">
        <v>64</v>
      </c>
      <c r="W78" s="6" t="str">
        <f t="shared" si="3"/>
        <v>No Critico</v>
      </c>
    </row>
    <row r="79" spans="1:23" ht="30">
      <c r="A79" s="52">
        <f>Inicial!A79</f>
        <v>77</v>
      </c>
      <c r="B79" s="53" t="str">
        <f>Inicial!B79</f>
        <v>Desposte</v>
      </c>
      <c r="C79" s="53" t="str">
        <f>Inicial!C79</f>
        <v>Operador LíneaVetado</v>
      </c>
      <c r="D79" s="54" t="str">
        <f>Inicial!D79</f>
        <v xml:space="preserve">Hueso Externón </v>
      </c>
      <c r="E79" s="52" t="str">
        <f>IF(Inicial!J79="SI",Inicial!E79,"N/A")</f>
        <v>06:30 14:50 / 17:30 a 02:50</v>
      </c>
      <c r="F79" s="53">
        <f>IF(Inicial!J79="SI",Inicial!F79,"N/A")</f>
        <v>1</v>
      </c>
      <c r="G79" s="53">
        <f>IF(Inicial!J79="SI",Inicial!G79,"N/A")</f>
        <v>6</v>
      </c>
      <c r="H79" s="53">
        <f>IF(Inicial!J79="SI",Inicial!H79,"N/A")</f>
        <v>36</v>
      </c>
      <c r="I79" s="55">
        <f>IF(Inicial!J79="SI",Inicial!I79,"N/A")</f>
        <v>0</v>
      </c>
      <c r="J79" s="44" t="s">
        <v>64</v>
      </c>
      <c r="K79" s="6" t="s">
        <v>63</v>
      </c>
      <c r="L79" s="6" t="s">
        <v>63</v>
      </c>
      <c r="M79" s="6" t="s">
        <v>63</v>
      </c>
      <c r="N79" s="6" t="s">
        <v>63</v>
      </c>
      <c r="O79" s="6" t="s">
        <v>63</v>
      </c>
      <c r="P79" s="6" t="str">
        <f t="shared" si="2"/>
        <v>No Aceptable</v>
      </c>
      <c r="Q79" s="6" t="s">
        <v>64</v>
      </c>
      <c r="R79" s="6" t="s">
        <v>64</v>
      </c>
      <c r="S79" s="6" t="s">
        <v>64</v>
      </c>
      <c r="T79" s="6" t="s">
        <v>64</v>
      </c>
      <c r="U79" s="6" t="s">
        <v>64</v>
      </c>
      <c r="V79" s="6" t="s">
        <v>64</v>
      </c>
      <c r="W79" s="6" t="str">
        <f t="shared" si="3"/>
        <v>No Critico</v>
      </c>
    </row>
    <row r="80" spans="1:23" ht="30">
      <c r="A80" s="52">
        <f>Inicial!A80</f>
        <v>78</v>
      </c>
      <c r="B80" s="53" t="str">
        <f>Inicial!B80</f>
        <v>Desposte</v>
      </c>
      <c r="C80" s="53" t="str">
        <f>Inicial!C80</f>
        <v>Operador LíneaVetado</v>
      </c>
      <c r="D80" s="54" t="str">
        <f>Inicial!D80</f>
        <v>Costillita</v>
      </c>
      <c r="E80" s="52" t="str">
        <f>IF(Inicial!J80="SI",Inicial!E80,"N/A")</f>
        <v>06:30 14:50 / 17:30 a 02:50</v>
      </c>
      <c r="F80" s="53">
        <f>IF(Inicial!J80="SI",Inicial!F80,"N/A")</f>
        <v>1</v>
      </c>
      <c r="G80" s="53">
        <f>IF(Inicial!J80="SI",Inicial!G80,"N/A")</f>
        <v>6</v>
      </c>
      <c r="H80" s="53">
        <f>IF(Inicial!J80="SI",Inicial!H80,"N/A")</f>
        <v>36</v>
      </c>
      <c r="I80" s="55">
        <f>IF(Inicial!J80="SI",Inicial!I80,"N/A")</f>
        <v>0</v>
      </c>
      <c r="J80" s="44" t="s">
        <v>64</v>
      </c>
      <c r="K80" s="6" t="s">
        <v>63</v>
      </c>
      <c r="L80" s="6" t="s">
        <v>63</v>
      </c>
      <c r="M80" s="6" t="s">
        <v>63</v>
      </c>
      <c r="N80" s="6" t="s">
        <v>63</v>
      </c>
      <c r="O80" s="6" t="s">
        <v>63</v>
      </c>
      <c r="P80" s="6" t="str">
        <f t="shared" si="2"/>
        <v>No Aceptable</v>
      </c>
      <c r="Q80" s="6" t="s">
        <v>64</v>
      </c>
      <c r="R80" s="6" t="s">
        <v>64</v>
      </c>
      <c r="S80" s="6" t="s">
        <v>64</v>
      </c>
      <c r="T80" s="6" t="s">
        <v>64</v>
      </c>
      <c r="U80" s="6" t="s">
        <v>64</v>
      </c>
      <c r="V80" s="6" t="s">
        <v>64</v>
      </c>
      <c r="W80" s="6" t="str">
        <f t="shared" si="3"/>
        <v>No Critico</v>
      </c>
    </row>
    <row r="81" spans="1:23" ht="30">
      <c r="A81" s="52">
        <f>Inicial!A81</f>
        <v>79</v>
      </c>
      <c r="B81" s="53" t="str">
        <f>Inicial!B81</f>
        <v>Desposte</v>
      </c>
      <c r="C81" s="53" t="str">
        <f>Inicial!C81</f>
        <v>Operador LíneaVetado</v>
      </c>
      <c r="D81" s="54" t="str">
        <f>Inicial!D81</f>
        <v>Prolijado de Papada</v>
      </c>
      <c r="E81" s="52" t="str">
        <f>IF(Inicial!J81="SI",Inicial!E81,"N/A")</f>
        <v>06:30 14:50 / 17:30 a 02:50</v>
      </c>
      <c r="F81" s="53">
        <f>IF(Inicial!J81="SI",Inicial!F81,"N/A")</f>
        <v>1</v>
      </c>
      <c r="G81" s="53">
        <f>IF(Inicial!J81="SI",Inicial!G81,"N/A")</f>
        <v>6</v>
      </c>
      <c r="H81" s="53">
        <f>IF(Inicial!J81="SI",Inicial!H81,"N/A")</f>
        <v>36</v>
      </c>
      <c r="I81" s="55">
        <f>IF(Inicial!J81="SI",Inicial!I81,"N/A")</f>
        <v>0</v>
      </c>
      <c r="J81" s="44" t="s">
        <v>64</v>
      </c>
      <c r="K81" s="6" t="s">
        <v>63</v>
      </c>
      <c r="L81" s="6" t="s">
        <v>63</v>
      </c>
      <c r="M81" s="6" t="s">
        <v>63</v>
      </c>
      <c r="N81" s="6" t="s">
        <v>63</v>
      </c>
      <c r="O81" s="6" t="s">
        <v>63</v>
      </c>
      <c r="P81" s="6" t="str">
        <f t="shared" si="2"/>
        <v>No Aceptable</v>
      </c>
      <c r="Q81" s="6" t="s">
        <v>64</v>
      </c>
      <c r="R81" s="6" t="s">
        <v>64</v>
      </c>
      <c r="S81" s="6" t="s">
        <v>64</v>
      </c>
      <c r="T81" s="6" t="s">
        <v>64</v>
      </c>
      <c r="U81" s="6" t="s">
        <v>64</v>
      </c>
      <c r="V81" s="6" t="s">
        <v>64</v>
      </c>
      <c r="W81" s="6" t="str">
        <f t="shared" si="3"/>
        <v>No Critico</v>
      </c>
    </row>
    <row r="82" spans="1:23" ht="30">
      <c r="A82" s="52">
        <f>Inicial!A82</f>
        <v>80</v>
      </c>
      <c r="B82" s="53" t="str">
        <f>Inicial!B82</f>
        <v>Desposte</v>
      </c>
      <c r="C82" s="53" t="str">
        <f>Inicial!C82</f>
        <v>Operador LíneaVetado</v>
      </c>
      <c r="D82" s="54" t="str">
        <f>Inicial!D82</f>
        <v>Ganglios</v>
      </c>
      <c r="E82" s="52" t="str">
        <f>IF(Inicial!J82="SI",Inicial!E82,"N/A")</f>
        <v>06:30 14:50 / 17:30 a 02:50</v>
      </c>
      <c r="F82" s="53">
        <f>IF(Inicial!J82="SI",Inicial!F82,"N/A")</f>
        <v>1</v>
      </c>
      <c r="G82" s="53">
        <f>IF(Inicial!J82="SI",Inicial!G82,"N/A")</f>
        <v>6</v>
      </c>
      <c r="H82" s="53">
        <f>IF(Inicial!J82="SI",Inicial!H82,"N/A")</f>
        <v>36</v>
      </c>
      <c r="I82" s="55">
        <f>IF(Inicial!J82="SI",Inicial!I82,"N/A")</f>
        <v>0</v>
      </c>
      <c r="J82" s="44" t="s">
        <v>64</v>
      </c>
      <c r="K82" s="6" t="s">
        <v>63</v>
      </c>
      <c r="L82" s="6" t="s">
        <v>63</v>
      </c>
      <c r="M82" s="6" t="s">
        <v>63</v>
      </c>
      <c r="N82" s="6" t="s">
        <v>63</v>
      </c>
      <c r="O82" s="6" t="s">
        <v>63</v>
      </c>
      <c r="P82" s="6" t="str">
        <f t="shared" si="2"/>
        <v>No Aceptable</v>
      </c>
      <c r="Q82" s="6" t="s">
        <v>64</v>
      </c>
      <c r="R82" s="6" t="s">
        <v>64</v>
      </c>
      <c r="S82" s="6" t="s">
        <v>64</v>
      </c>
      <c r="T82" s="6" t="s">
        <v>64</v>
      </c>
      <c r="U82" s="6" t="s">
        <v>64</v>
      </c>
      <c r="V82" s="6" t="s">
        <v>64</v>
      </c>
      <c r="W82" s="6" t="str">
        <f t="shared" si="3"/>
        <v>No Critico</v>
      </c>
    </row>
    <row r="83" spans="1:23" ht="30">
      <c r="A83" s="52">
        <f>Inicial!A83</f>
        <v>81</v>
      </c>
      <c r="B83" s="53" t="str">
        <f>Inicial!B83</f>
        <v>Desposte</v>
      </c>
      <c r="C83" s="53" t="str">
        <f>Inicial!C83</f>
        <v>Operador LíneaVetado</v>
      </c>
      <c r="D83" s="54" t="str">
        <f>Inicial!D83</f>
        <v>Deshuesado de Chuleta</v>
      </c>
      <c r="E83" s="52" t="str">
        <f>IF(Inicial!J83="SI",Inicial!E83,"N/A")</f>
        <v>06:30 14:50 / 17:30 a 02:50</v>
      </c>
      <c r="F83" s="53">
        <f>IF(Inicial!J83="SI",Inicial!F83,"N/A")</f>
        <v>1</v>
      </c>
      <c r="G83" s="53">
        <f>IF(Inicial!J83="SI",Inicial!G83,"N/A")</f>
        <v>6</v>
      </c>
      <c r="H83" s="53">
        <f>IF(Inicial!J83="SI",Inicial!H83,"N/A")</f>
        <v>36</v>
      </c>
      <c r="I83" s="55">
        <f>IF(Inicial!J83="SI",Inicial!I83,"N/A")</f>
        <v>0</v>
      </c>
      <c r="J83" s="44" t="s">
        <v>64</v>
      </c>
      <c r="K83" s="6" t="s">
        <v>63</v>
      </c>
      <c r="L83" s="6" t="s">
        <v>63</v>
      </c>
      <c r="M83" s="6" t="s">
        <v>63</v>
      </c>
      <c r="N83" s="6" t="s">
        <v>63</v>
      </c>
      <c r="O83" s="6" t="s">
        <v>63</v>
      </c>
      <c r="P83" s="6" t="str">
        <f t="shared" si="2"/>
        <v>No Aceptable</v>
      </c>
      <c r="Q83" s="6" t="s">
        <v>64</v>
      </c>
      <c r="R83" s="6" t="s">
        <v>64</v>
      </c>
      <c r="S83" s="6" t="s">
        <v>64</v>
      </c>
      <c r="T83" s="6" t="s">
        <v>64</v>
      </c>
      <c r="U83" s="6" t="s">
        <v>64</v>
      </c>
      <c r="V83" s="6" t="s">
        <v>64</v>
      </c>
      <c r="W83" s="6" t="str">
        <f t="shared" si="3"/>
        <v>No Critico</v>
      </c>
    </row>
    <row r="84" spans="1:23" ht="30">
      <c r="A84" s="52">
        <f>Inicial!A84</f>
        <v>82</v>
      </c>
      <c r="B84" s="53" t="str">
        <f>Inicial!B84</f>
        <v>Desposte</v>
      </c>
      <c r="C84" s="53" t="str">
        <f>Inicial!C84</f>
        <v>Operador LíneaVetado</v>
      </c>
      <c r="D84" s="54" t="str">
        <f>Inicial!D84</f>
        <v>Embalado de hueso</v>
      </c>
      <c r="E84" s="52" t="str">
        <f>IF(Inicial!J84="SI",Inicial!E84,"N/A")</f>
        <v>06:30 14:50 / 17:30 a 02:50</v>
      </c>
      <c r="F84" s="53">
        <f>IF(Inicial!J84="SI",Inicial!F84,"N/A")</f>
        <v>1</v>
      </c>
      <c r="G84" s="53">
        <f>IF(Inicial!J84="SI",Inicial!G84,"N/A")</f>
        <v>6</v>
      </c>
      <c r="H84" s="53">
        <f>IF(Inicial!J84="SI",Inicial!H84,"N/A")</f>
        <v>36</v>
      </c>
      <c r="I84" s="55">
        <f>IF(Inicial!J84="SI",Inicial!I84,"N/A")</f>
        <v>0</v>
      </c>
      <c r="J84" s="44" t="s">
        <v>64</v>
      </c>
      <c r="K84" s="6" t="s">
        <v>63</v>
      </c>
      <c r="L84" s="6" t="s">
        <v>63</v>
      </c>
      <c r="M84" s="6" t="s">
        <v>63</v>
      </c>
      <c r="N84" s="6" t="s">
        <v>63</v>
      </c>
      <c r="O84" s="6" t="s">
        <v>63</v>
      </c>
      <c r="P84" s="6" t="str">
        <f t="shared" si="2"/>
        <v>No Aceptable</v>
      </c>
      <c r="Q84" s="6" t="s">
        <v>64</v>
      </c>
      <c r="R84" s="6" t="s">
        <v>64</v>
      </c>
      <c r="S84" s="6" t="s">
        <v>64</v>
      </c>
      <c r="T84" s="6" t="s">
        <v>64</v>
      </c>
      <c r="U84" s="6" t="s">
        <v>64</v>
      </c>
      <c r="V84" s="6" t="s">
        <v>64</v>
      </c>
      <c r="W84" s="6" t="str">
        <f t="shared" si="3"/>
        <v>No Critico</v>
      </c>
    </row>
    <row r="85" spans="1:23" ht="30">
      <c r="A85" s="52">
        <f>Inicial!A85</f>
        <v>83</v>
      </c>
      <c r="B85" s="53" t="str">
        <f>Inicial!B85</f>
        <v>Desposte</v>
      </c>
      <c r="C85" s="53" t="str">
        <f>Inicial!C85</f>
        <v>Operador LíneaVetado</v>
      </c>
      <c r="D85" s="54" t="str">
        <f>Inicial!D85</f>
        <v xml:space="preserve">extracción Cinta de Despunte </v>
      </c>
      <c r="E85" s="52" t="str">
        <f>IF(Inicial!J85="SI",Inicial!E85,"N/A")</f>
        <v>06:30 14:50 / 17:30 a 02:50</v>
      </c>
      <c r="F85" s="53">
        <f>IF(Inicial!J85="SI",Inicial!F85,"N/A")</f>
        <v>1</v>
      </c>
      <c r="G85" s="53">
        <f>IF(Inicial!J85="SI",Inicial!G85,"N/A")</f>
        <v>6</v>
      </c>
      <c r="H85" s="53">
        <f>IF(Inicial!J85="SI",Inicial!H85,"N/A")</f>
        <v>36</v>
      </c>
      <c r="I85" s="55">
        <f>IF(Inicial!J85="SI",Inicial!I85,"N/A")</f>
        <v>0</v>
      </c>
      <c r="J85" s="44" t="s">
        <v>64</v>
      </c>
      <c r="K85" s="6" t="s">
        <v>63</v>
      </c>
      <c r="L85" s="6" t="s">
        <v>63</v>
      </c>
      <c r="M85" s="6" t="s">
        <v>63</v>
      </c>
      <c r="N85" s="6" t="s">
        <v>63</v>
      </c>
      <c r="O85" s="6" t="s">
        <v>63</v>
      </c>
      <c r="P85" s="6" t="str">
        <f t="shared" si="2"/>
        <v>No Aceptable</v>
      </c>
      <c r="Q85" s="6" t="s">
        <v>64</v>
      </c>
      <c r="R85" s="6" t="s">
        <v>64</v>
      </c>
      <c r="S85" s="6" t="s">
        <v>64</v>
      </c>
      <c r="T85" s="6" t="s">
        <v>64</v>
      </c>
      <c r="U85" s="6" t="s">
        <v>64</v>
      </c>
      <c r="V85" s="6" t="s">
        <v>64</v>
      </c>
      <c r="W85" s="6" t="str">
        <f t="shared" si="3"/>
        <v>No Critico</v>
      </c>
    </row>
    <row r="86" spans="1:23" ht="30">
      <c r="A86" s="52">
        <f>Inicial!A86</f>
        <v>84</v>
      </c>
      <c r="B86" s="53" t="str">
        <f>Inicial!B86</f>
        <v>Desposte</v>
      </c>
      <c r="C86" s="53" t="str">
        <f>Inicial!C86</f>
        <v>Operador LíneaVetado</v>
      </c>
      <c r="D86" s="54" t="str">
        <f>Inicial!D86</f>
        <v>Prolijado Cartilago Hueso</v>
      </c>
      <c r="E86" s="52" t="str">
        <f>IF(Inicial!J86="SI",Inicial!E86,"N/A")</f>
        <v>06:30 14:50 / 17:30 a 02:50</v>
      </c>
      <c r="F86" s="53">
        <f>IF(Inicial!J86="SI",Inicial!F86,"N/A")</f>
        <v>1</v>
      </c>
      <c r="G86" s="53">
        <f>IF(Inicial!J86="SI",Inicial!G86,"N/A")</f>
        <v>6</v>
      </c>
      <c r="H86" s="53">
        <f>IF(Inicial!J86="SI",Inicial!H86,"N/A")</f>
        <v>36</v>
      </c>
      <c r="I86" s="55">
        <f>IF(Inicial!J86="SI",Inicial!I86,"N/A")</f>
        <v>0</v>
      </c>
      <c r="J86" s="44" t="s">
        <v>64</v>
      </c>
      <c r="K86" s="6" t="s">
        <v>63</v>
      </c>
      <c r="L86" s="6" t="s">
        <v>63</v>
      </c>
      <c r="M86" s="6" t="s">
        <v>63</v>
      </c>
      <c r="N86" s="6" t="s">
        <v>63</v>
      </c>
      <c r="O86" s="6" t="s">
        <v>63</v>
      </c>
      <c r="P86" s="6" t="str">
        <f t="shared" si="2"/>
        <v>No Aceptable</v>
      </c>
      <c r="Q86" s="6" t="s">
        <v>64</v>
      </c>
      <c r="R86" s="6" t="s">
        <v>64</v>
      </c>
      <c r="S86" s="6" t="s">
        <v>64</v>
      </c>
      <c r="T86" s="6" t="s">
        <v>64</v>
      </c>
      <c r="U86" s="6" t="s">
        <v>64</v>
      </c>
      <c r="V86" s="6" t="s">
        <v>64</v>
      </c>
      <c r="W86" s="6" t="str">
        <f t="shared" si="3"/>
        <v>No Critico</v>
      </c>
    </row>
    <row r="87" spans="1:23" ht="30">
      <c r="A87" s="52">
        <f>Inicial!A87</f>
        <v>85</v>
      </c>
      <c r="B87" s="53" t="str">
        <f>Inicial!B87</f>
        <v>Desposte</v>
      </c>
      <c r="C87" s="53" t="str">
        <f>Inicial!C87</f>
        <v>Operador LíneaVetado</v>
      </c>
      <c r="D87" s="54" t="str">
        <f>Inicial!D87</f>
        <v>Prolijado Carne Longaniza</v>
      </c>
      <c r="E87" s="52" t="str">
        <f>IF(Inicial!J87="SI",Inicial!E87,"N/A")</f>
        <v>06:30 14:50 / 17:30 a 02:50</v>
      </c>
      <c r="F87" s="53">
        <f>IF(Inicial!J87="SI",Inicial!F87,"N/A")</f>
        <v>1</v>
      </c>
      <c r="G87" s="53">
        <f>IF(Inicial!J87="SI",Inicial!G87,"N/A")</f>
        <v>6</v>
      </c>
      <c r="H87" s="53">
        <f>IF(Inicial!J87="SI",Inicial!H87,"N/A")</f>
        <v>36</v>
      </c>
      <c r="I87" s="55">
        <f>IF(Inicial!J87="SI",Inicial!I87,"N/A")</f>
        <v>0</v>
      </c>
      <c r="J87" s="44" t="s">
        <v>64</v>
      </c>
      <c r="K87" s="6" t="s">
        <v>63</v>
      </c>
      <c r="L87" s="6" t="s">
        <v>63</v>
      </c>
      <c r="M87" s="6" t="s">
        <v>63</v>
      </c>
      <c r="N87" s="6" t="s">
        <v>63</v>
      </c>
      <c r="O87" s="6" t="s">
        <v>63</v>
      </c>
      <c r="P87" s="6" t="str">
        <f t="shared" si="2"/>
        <v>No Aceptable</v>
      </c>
      <c r="Q87" s="6" t="s">
        <v>64</v>
      </c>
      <c r="R87" s="6" t="s">
        <v>64</v>
      </c>
      <c r="S87" s="6" t="s">
        <v>64</v>
      </c>
      <c r="T87" s="6" t="s">
        <v>64</v>
      </c>
      <c r="U87" s="6" t="s">
        <v>64</v>
      </c>
      <c r="V87" s="6" t="s">
        <v>64</v>
      </c>
      <c r="W87" s="6" t="str">
        <f t="shared" si="3"/>
        <v>No Critico</v>
      </c>
    </row>
    <row r="88" spans="1:23" ht="30">
      <c r="A88" s="52">
        <f>Inicial!A88</f>
        <v>86</v>
      </c>
      <c r="B88" s="53" t="str">
        <f>Inicial!B88</f>
        <v>Desposte</v>
      </c>
      <c r="C88" s="53" t="str">
        <f>Inicial!C88</f>
        <v>Operador LíneaVetado</v>
      </c>
      <c r="D88" s="54" t="str">
        <f>Inicial!D88</f>
        <v xml:space="preserve">Prolijado Lomo Vetado </v>
      </c>
      <c r="E88" s="52" t="str">
        <f>IF(Inicial!J88="SI",Inicial!E88,"N/A")</f>
        <v>06:30 14:50 / 17:30 a 02:50</v>
      </c>
      <c r="F88" s="53">
        <f>IF(Inicial!J88="SI",Inicial!F88,"N/A")</f>
        <v>1</v>
      </c>
      <c r="G88" s="53">
        <f>IF(Inicial!J88="SI",Inicial!G88,"N/A")</f>
        <v>6</v>
      </c>
      <c r="H88" s="53">
        <f>IF(Inicial!J88="SI",Inicial!H88,"N/A")</f>
        <v>36</v>
      </c>
      <c r="I88" s="55">
        <f>IF(Inicial!J88="SI",Inicial!I88,"N/A")</f>
        <v>0</v>
      </c>
      <c r="J88" s="44" t="s">
        <v>64</v>
      </c>
      <c r="K88" s="6" t="s">
        <v>63</v>
      </c>
      <c r="L88" s="6" t="s">
        <v>63</v>
      </c>
      <c r="M88" s="6" t="s">
        <v>63</v>
      </c>
      <c r="N88" s="6" t="s">
        <v>63</v>
      </c>
      <c r="O88" s="6" t="s">
        <v>63</v>
      </c>
      <c r="P88" s="6" t="str">
        <f t="shared" si="2"/>
        <v>No Aceptable</v>
      </c>
      <c r="Q88" s="6" t="s">
        <v>64</v>
      </c>
      <c r="R88" s="6" t="s">
        <v>64</v>
      </c>
      <c r="S88" s="6" t="s">
        <v>64</v>
      </c>
      <c r="T88" s="6" t="s">
        <v>64</v>
      </c>
      <c r="U88" s="6" t="s">
        <v>64</v>
      </c>
      <c r="V88" s="6" t="s">
        <v>64</v>
      </c>
      <c r="W88" s="6" t="str">
        <f t="shared" si="3"/>
        <v>No Critico</v>
      </c>
    </row>
    <row r="89" spans="1:23" ht="30">
      <c r="A89" s="52">
        <f>Inicial!A89</f>
        <v>87</v>
      </c>
      <c r="B89" s="53" t="str">
        <f>Inicial!B89</f>
        <v>Desposte</v>
      </c>
      <c r="C89" s="53" t="str">
        <f>Inicial!C89</f>
        <v>Operador LíneaVetado</v>
      </c>
      <c r="D89" s="54" t="str">
        <f>Inicial!D89</f>
        <v>Calibrado</v>
      </c>
      <c r="E89" s="52" t="str">
        <f>IF(Inicial!J89="SI",Inicial!E89,"N/A")</f>
        <v>06:30 14:50 / 17:30 a 02:50</v>
      </c>
      <c r="F89" s="53">
        <f>IF(Inicial!J89="SI",Inicial!F89,"N/A")</f>
        <v>1</v>
      </c>
      <c r="G89" s="53">
        <f>IF(Inicial!J89="SI",Inicial!G89,"N/A")</f>
        <v>6</v>
      </c>
      <c r="H89" s="53">
        <f>IF(Inicial!J89="SI",Inicial!H89,"N/A")</f>
        <v>36</v>
      </c>
      <c r="I89" s="55">
        <f>IF(Inicial!J89="SI",Inicial!I89,"N/A")</f>
        <v>0</v>
      </c>
      <c r="J89" s="44" t="s">
        <v>64</v>
      </c>
      <c r="K89" s="6" t="s">
        <v>63</v>
      </c>
      <c r="L89" s="6" t="s">
        <v>63</v>
      </c>
      <c r="M89" s="6" t="s">
        <v>63</v>
      </c>
      <c r="N89" s="6" t="s">
        <v>63</v>
      </c>
      <c r="O89" s="6" t="s">
        <v>63</v>
      </c>
      <c r="P89" s="6" t="str">
        <f t="shared" si="2"/>
        <v>No Aceptable</v>
      </c>
      <c r="Q89" s="6" t="s">
        <v>64</v>
      </c>
      <c r="R89" s="6" t="s">
        <v>64</v>
      </c>
      <c r="S89" s="6" t="s">
        <v>64</v>
      </c>
      <c r="T89" s="6" t="s">
        <v>64</v>
      </c>
      <c r="U89" s="6" t="s">
        <v>64</v>
      </c>
      <c r="V89" s="6" t="s">
        <v>64</v>
      </c>
      <c r="W89" s="6" t="str">
        <f t="shared" si="3"/>
        <v>No Critico</v>
      </c>
    </row>
    <row r="90" spans="1:23" ht="30">
      <c r="A90" s="52">
        <f>Inicial!A90</f>
        <v>88</v>
      </c>
      <c r="B90" s="53" t="str">
        <f>Inicial!B90</f>
        <v>Desposte</v>
      </c>
      <c r="C90" s="53" t="str">
        <f>Inicial!C90</f>
        <v>Operador Linea Piernas</v>
      </c>
      <c r="D90" s="54" t="str">
        <f>Inicial!D90</f>
        <v>Extraer Cola-Cazuela</v>
      </c>
      <c r="E90" s="52" t="str">
        <f>IF(Inicial!J90="SI",Inicial!E90,"N/A")</f>
        <v>06:30 14:50 / 17:30 a 02:50</v>
      </c>
      <c r="F90" s="53">
        <f>IF(Inicial!J90="SI",Inicial!F90,"N/A")</f>
        <v>1</v>
      </c>
      <c r="G90" s="53">
        <f>IF(Inicial!J90="SI",Inicial!G90,"N/A")</f>
        <v>6</v>
      </c>
      <c r="H90" s="53">
        <f>IF(Inicial!J90="SI",Inicial!H90,"N/A")</f>
        <v>80</v>
      </c>
      <c r="I90" s="55">
        <f>IF(Inicial!J90="SI",Inicial!I90,"N/A")</f>
        <v>14</v>
      </c>
      <c r="J90" s="44" t="s">
        <v>64</v>
      </c>
      <c r="K90" s="6" t="s">
        <v>63</v>
      </c>
      <c r="L90" s="6" t="s">
        <v>63</v>
      </c>
      <c r="M90" s="6" t="s">
        <v>63</v>
      </c>
      <c r="N90" s="6" t="s">
        <v>63</v>
      </c>
      <c r="O90" s="6" t="s">
        <v>63</v>
      </c>
      <c r="P90" s="6" t="str">
        <f t="shared" si="2"/>
        <v>No Aceptable</v>
      </c>
      <c r="Q90" s="6" t="s">
        <v>64</v>
      </c>
      <c r="R90" s="6" t="s">
        <v>64</v>
      </c>
      <c r="S90" s="6" t="s">
        <v>64</v>
      </c>
      <c r="T90" s="6" t="s">
        <v>64</v>
      </c>
      <c r="U90" s="6" t="s">
        <v>64</v>
      </c>
      <c r="V90" s="6" t="s">
        <v>64</v>
      </c>
      <c r="W90" s="6" t="str">
        <f t="shared" si="3"/>
        <v>No Critico</v>
      </c>
    </row>
    <row r="91" spans="1:23" ht="30">
      <c r="A91" s="52">
        <f>Inicial!A91</f>
        <v>89</v>
      </c>
      <c r="B91" s="53" t="str">
        <f>Inicial!B91</f>
        <v>Desposte</v>
      </c>
      <c r="C91" s="53" t="str">
        <f>Inicial!C91</f>
        <v>Operador Linea Piernas</v>
      </c>
      <c r="D91" s="54" t="str">
        <f>Inicial!D91</f>
        <v>Exraer Pernil</v>
      </c>
      <c r="E91" s="52" t="str">
        <f>IF(Inicial!J91="SI",Inicial!E91,"N/A")</f>
        <v>06:30 14:50 / 17:30 a 02:50</v>
      </c>
      <c r="F91" s="53">
        <f>IF(Inicial!J91="SI",Inicial!F91,"N/A")</f>
        <v>1</v>
      </c>
      <c r="G91" s="53">
        <f>IF(Inicial!J91="SI",Inicial!G91,"N/A")</f>
        <v>6</v>
      </c>
      <c r="H91" s="53">
        <f>IF(Inicial!J91="SI",Inicial!H91,"N/A")</f>
        <v>80</v>
      </c>
      <c r="I91" s="55">
        <f>IF(Inicial!J91="SI",Inicial!I91,"N/A")</f>
        <v>14</v>
      </c>
      <c r="J91" s="44" t="s">
        <v>64</v>
      </c>
      <c r="K91" s="6" t="s">
        <v>63</v>
      </c>
      <c r="L91" s="6" t="s">
        <v>63</v>
      </c>
      <c r="M91" s="6" t="s">
        <v>63</v>
      </c>
      <c r="N91" s="6" t="s">
        <v>63</v>
      </c>
      <c r="O91" s="6" t="s">
        <v>63</v>
      </c>
      <c r="P91" s="6" t="str">
        <f t="shared" si="2"/>
        <v>No Aceptable</v>
      </c>
      <c r="Q91" s="6" t="s">
        <v>64</v>
      </c>
      <c r="R91" s="6" t="s">
        <v>64</v>
      </c>
      <c r="S91" s="6" t="s">
        <v>64</v>
      </c>
      <c r="T91" s="6" t="s">
        <v>64</v>
      </c>
      <c r="U91" s="6" t="s">
        <v>64</v>
      </c>
      <c r="V91" s="6" t="s">
        <v>64</v>
      </c>
      <c r="W91" s="6" t="str">
        <f t="shared" si="3"/>
        <v>No Critico</v>
      </c>
    </row>
    <row r="92" spans="1:23" ht="30">
      <c r="A92" s="52">
        <f>Inicial!A92</f>
        <v>90</v>
      </c>
      <c r="B92" s="53" t="str">
        <f>Inicial!B92</f>
        <v>Desposte</v>
      </c>
      <c r="C92" s="53" t="str">
        <f>Inicial!C92</f>
        <v>Operador Linea Piernas</v>
      </c>
      <c r="D92" s="54" t="str">
        <f>Inicial!D92</f>
        <v xml:space="preserve">Evacuar Bandejas </v>
      </c>
      <c r="E92" s="52" t="str">
        <f>IF(Inicial!J92="SI",Inicial!E92,"N/A")</f>
        <v>06:30 14:50 / 17:30 a 02:50</v>
      </c>
      <c r="F92" s="53">
        <f>IF(Inicial!J92="SI",Inicial!F92,"N/A")</f>
        <v>1</v>
      </c>
      <c r="G92" s="53">
        <f>IF(Inicial!J92="SI",Inicial!G92,"N/A")</f>
        <v>6</v>
      </c>
      <c r="H92" s="53">
        <f>IF(Inicial!J92="SI",Inicial!H92,"N/A")</f>
        <v>80</v>
      </c>
      <c r="I92" s="55">
        <f>IF(Inicial!J92="SI",Inicial!I92,"N/A")</f>
        <v>14</v>
      </c>
      <c r="J92" s="44" t="s">
        <v>64</v>
      </c>
      <c r="K92" s="6" t="s">
        <v>63</v>
      </c>
      <c r="L92" s="6" t="s">
        <v>63</v>
      </c>
      <c r="M92" s="6" t="s">
        <v>63</v>
      </c>
      <c r="N92" s="6" t="s">
        <v>63</v>
      </c>
      <c r="O92" s="6" t="s">
        <v>63</v>
      </c>
      <c r="P92" s="6" t="str">
        <f t="shared" si="2"/>
        <v>No Aceptable</v>
      </c>
      <c r="Q92" s="6" t="s">
        <v>64</v>
      </c>
      <c r="R92" s="6" t="s">
        <v>64</v>
      </c>
      <c r="S92" s="6" t="s">
        <v>64</v>
      </c>
      <c r="T92" s="6" t="s">
        <v>64</v>
      </c>
      <c r="U92" s="6" t="s">
        <v>64</v>
      </c>
      <c r="V92" s="6" t="s">
        <v>64</v>
      </c>
      <c r="W92" s="6" t="str">
        <f t="shared" si="3"/>
        <v>No Critico</v>
      </c>
    </row>
    <row r="93" spans="1:23" ht="30">
      <c r="A93" s="52">
        <f>Inicial!A93</f>
        <v>91</v>
      </c>
      <c r="B93" s="53" t="str">
        <f>Inicial!B93</f>
        <v>Desposte</v>
      </c>
      <c r="C93" s="53" t="str">
        <f>Inicial!C93</f>
        <v>Operador Linea Piernas</v>
      </c>
      <c r="D93" s="54" t="str">
        <f>Inicial!D93</f>
        <v>Peladora Maja</v>
      </c>
      <c r="E93" s="52" t="str">
        <f>IF(Inicial!J93="SI",Inicial!E93,"N/A")</f>
        <v>06:30 14:50 / 17:30 a 02:50</v>
      </c>
      <c r="F93" s="53">
        <f>IF(Inicial!J93="SI",Inicial!F93,"N/A")</f>
        <v>1</v>
      </c>
      <c r="G93" s="53">
        <f>IF(Inicial!J93="SI",Inicial!G93,"N/A")</f>
        <v>6</v>
      </c>
      <c r="H93" s="53">
        <f>IF(Inicial!J93="SI",Inicial!H93,"N/A")</f>
        <v>80</v>
      </c>
      <c r="I93" s="55">
        <f>IF(Inicial!J93="SI",Inicial!I93,"N/A")</f>
        <v>14</v>
      </c>
      <c r="J93" s="44" t="s">
        <v>64</v>
      </c>
      <c r="K93" s="6" t="s">
        <v>63</v>
      </c>
      <c r="L93" s="6" t="s">
        <v>63</v>
      </c>
      <c r="M93" s="6" t="s">
        <v>63</v>
      </c>
      <c r="N93" s="6" t="s">
        <v>63</v>
      </c>
      <c r="O93" s="6" t="s">
        <v>63</v>
      </c>
      <c r="P93" s="6" t="str">
        <f t="shared" si="2"/>
        <v>No Aceptable</v>
      </c>
      <c r="Q93" s="6" t="s">
        <v>64</v>
      </c>
      <c r="R93" s="6" t="s">
        <v>64</v>
      </c>
      <c r="S93" s="6" t="s">
        <v>64</v>
      </c>
      <c r="T93" s="6" t="s">
        <v>64</v>
      </c>
      <c r="U93" s="6" t="s">
        <v>64</v>
      </c>
      <c r="V93" s="6" t="s">
        <v>64</v>
      </c>
      <c r="W93" s="6" t="str">
        <f t="shared" si="3"/>
        <v>No Critico</v>
      </c>
    </row>
    <row r="94" spans="1:23" ht="30">
      <c r="A94" s="52">
        <f>Inicial!A94</f>
        <v>92</v>
      </c>
      <c r="B94" s="53" t="str">
        <f>Inicial!B94</f>
        <v>Desposte</v>
      </c>
      <c r="C94" s="53" t="str">
        <f>Inicial!C94</f>
        <v>Operador Linea Piernas</v>
      </c>
      <c r="D94" s="54" t="str">
        <f>Inicial!D94</f>
        <v>Whizard</v>
      </c>
      <c r="E94" s="52" t="str">
        <f>IF(Inicial!J94="SI",Inicial!E94,"N/A")</f>
        <v>06:30 14:50 / 17:30 a 02:50</v>
      </c>
      <c r="F94" s="53">
        <f>IF(Inicial!J94="SI",Inicial!F94,"N/A")</f>
        <v>1</v>
      </c>
      <c r="G94" s="53">
        <f>IF(Inicial!J94="SI",Inicial!G94,"N/A")</f>
        <v>6</v>
      </c>
      <c r="H94" s="53">
        <f>IF(Inicial!J94="SI",Inicial!H94,"N/A")</f>
        <v>80</v>
      </c>
      <c r="I94" s="55">
        <f>IF(Inicial!J94="SI",Inicial!I94,"N/A")</f>
        <v>14</v>
      </c>
      <c r="J94" s="44" t="s">
        <v>64</v>
      </c>
      <c r="K94" s="6" t="s">
        <v>63</v>
      </c>
      <c r="L94" s="6" t="s">
        <v>63</v>
      </c>
      <c r="M94" s="6" t="s">
        <v>63</v>
      </c>
      <c r="N94" s="6" t="s">
        <v>63</v>
      </c>
      <c r="O94" s="6" t="s">
        <v>63</v>
      </c>
      <c r="P94" s="6" t="str">
        <f t="shared" si="2"/>
        <v>No Aceptable</v>
      </c>
      <c r="Q94" s="6" t="s">
        <v>64</v>
      </c>
      <c r="R94" s="6" t="s">
        <v>64</v>
      </c>
      <c r="S94" s="6" t="s">
        <v>64</v>
      </c>
      <c r="T94" s="6" t="s">
        <v>64</v>
      </c>
      <c r="U94" s="6" t="s">
        <v>64</v>
      </c>
      <c r="V94" s="6" t="s">
        <v>64</v>
      </c>
      <c r="W94" s="6" t="str">
        <f t="shared" si="3"/>
        <v>No Critico</v>
      </c>
    </row>
    <row r="95" spans="1:23" ht="30">
      <c r="A95" s="52">
        <f>Inicial!A95</f>
        <v>93</v>
      </c>
      <c r="B95" s="53" t="str">
        <f>Inicial!B95</f>
        <v>Desposte</v>
      </c>
      <c r="C95" s="53" t="str">
        <f>Inicial!C95</f>
        <v>Operador Linea Piernas</v>
      </c>
      <c r="D95" s="54" t="str">
        <f>Inicial!D95</f>
        <v>Deshuesado Coxal</v>
      </c>
      <c r="E95" s="52" t="str">
        <f>IF(Inicial!J95="SI",Inicial!E95,"N/A")</f>
        <v>06:30 14:50 / 17:30 a 02:50</v>
      </c>
      <c r="F95" s="53">
        <f>IF(Inicial!J95="SI",Inicial!F95,"N/A")</f>
        <v>1</v>
      </c>
      <c r="G95" s="53">
        <f>IF(Inicial!J95="SI",Inicial!G95,"N/A")</f>
        <v>6</v>
      </c>
      <c r="H95" s="53">
        <f>IF(Inicial!J95="SI",Inicial!H95,"N/A")</f>
        <v>80</v>
      </c>
      <c r="I95" s="55">
        <f>IF(Inicial!J95="SI",Inicial!I95,"N/A")</f>
        <v>14</v>
      </c>
      <c r="J95" s="44" t="s">
        <v>64</v>
      </c>
      <c r="K95" s="6" t="s">
        <v>63</v>
      </c>
      <c r="L95" s="6" t="s">
        <v>63</v>
      </c>
      <c r="M95" s="6" t="s">
        <v>63</v>
      </c>
      <c r="N95" s="6" t="s">
        <v>63</v>
      </c>
      <c r="O95" s="6" t="s">
        <v>63</v>
      </c>
      <c r="P95" s="6" t="str">
        <f t="shared" si="2"/>
        <v>No Aceptable</v>
      </c>
      <c r="Q95" s="6" t="s">
        <v>64</v>
      </c>
      <c r="R95" s="6" t="s">
        <v>64</v>
      </c>
      <c r="S95" s="6" t="s">
        <v>64</v>
      </c>
      <c r="T95" s="6" t="s">
        <v>64</v>
      </c>
      <c r="U95" s="6" t="s">
        <v>64</v>
      </c>
      <c r="V95" s="6" t="s">
        <v>64</v>
      </c>
      <c r="W95" s="6" t="str">
        <f t="shared" si="3"/>
        <v>No Critico</v>
      </c>
    </row>
    <row r="96" spans="1:23" ht="30">
      <c r="A96" s="52">
        <f>Inicial!A96</f>
        <v>94</v>
      </c>
      <c r="B96" s="53" t="str">
        <f>Inicial!B96</f>
        <v>Desposte</v>
      </c>
      <c r="C96" s="53" t="str">
        <f>Inicial!C96</f>
        <v>Operador Linea Piernas</v>
      </c>
      <c r="D96" s="54" t="str">
        <f>Inicial!D96</f>
        <v xml:space="preserve">Deshuesadores Femur </v>
      </c>
      <c r="E96" s="52" t="str">
        <f>IF(Inicial!J96="SI",Inicial!E96,"N/A")</f>
        <v>06:30 14:50 / 17:30 a 02:50</v>
      </c>
      <c r="F96" s="53">
        <f>IF(Inicial!J96="SI",Inicial!F96,"N/A")</f>
        <v>1</v>
      </c>
      <c r="G96" s="53">
        <f>IF(Inicial!J96="SI",Inicial!G96,"N/A")</f>
        <v>6</v>
      </c>
      <c r="H96" s="53">
        <f>IF(Inicial!J96="SI",Inicial!H96,"N/A")</f>
        <v>80</v>
      </c>
      <c r="I96" s="55">
        <f>IF(Inicial!J96="SI",Inicial!I96,"N/A")</f>
        <v>14</v>
      </c>
      <c r="J96" s="44" t="s">
        <v>64</v>
      </c>
      <c r="K96" s="6" t="s">
        <v>63</v>
      </c>
      <c r="L96" s="6" t="s">
        <v>63</v>
      </c>
      <c r="M96" s="6" t="s">
        <v>63</v>
      </c>
      <c r="N96" s="6" t="s">
        <v>63</v>
      </c>
      <c r="O96" s="6" t="s">
        <v>63</v>
      </c>
      <c r="P96" s="6" t="str">
        <f t="shared" si="2"/>
        <v>No Aceptable</v>
      </c>
      <c r="Q96" s="6" t="s">
        <v>64</v>
      </c>
      <c r="R96" s="6" t="s">
        <v>64</v>
      </c>
      <c r="S96" s="6" t="s">
        <v>64</v>
      </c>
      <c r="T96" s="6" t="s">
        <v>64</v>
      </c>
      <c r="U96" s="6" t="s">
        <v>64</v>
      </c>
      <c r="V96" s="6" t="s">
        <v>64</v>
      </c>
      <c r="W96" s="6" t="str">
        <f t="shared" si="3"/>
        <v>No Critico</v>
      </c>
    </row>
    <row r="97" spans="1:23" ht="30">
      <c r="A97" s="52">
        <f>Inicial!A97</f>
        <v>95</v>
      </c>
      <c r="B97" s="53" t="str">
        <f>Inicial!B97</f>
        <v>Desposte</v>
      </c>
      <c r="C97" s="53" t="str">
        <f>Inicial!C97</f>
        <v>Operador Linea Piernas</v>
      </c>
      <c r="D97" s="54" t="str">
        <f>Inicial!D97</f>
        <v>Prolijadores</v>
      </c>
      <c r="E97" s="52" t="str">
        <f>IF(Inicial!J97="SI",Inicial!E97,"N/A")</f>
        <v>06:30 14:50 / 17:30 a 02:50</v>
      </c>
      <c r="F97" s="53">
        <f>IF(Inicial!J97="SI",Inicial!F97,"N/A")</f>
        <v>1</v>
      </c>
      <c r="G97" s="53">
        <f>IF(Inicial!J97="SI",Inicial!G97,"N/A")</f>
        <v>6</v>
      </c>
      <c r="H97" s="53">
        <f>IF(Inicial!J97="SI",Inicial!H97,"N/A")</f>
        <v>80</v>
      </c>
      <c r="I97" s="55">
        <f>IF(Inicial!J97="SI",Inicial!I97,"N/A")</f>
        <v>14</v>
      </c>
      <c r="J97" s="44" t="s">
        <v>64</v>
      </c>
      <c r="K97" s="6" t="s">
        <v>63</v>
      </c>
      <c r="L97" s="6" t="s">
        <v>63</v>
      </c>
      <c r="M97" s="6" t="s">
        <v>63</v>
      </c>
      <c r="N97" s="6" t="s">
        <v>63</v>
      </c>
      <c r="O97" s="6" t="s">
        <v>63</v>
      </c>
      <c r="P97" s="6" t="str">
        <f t="shared" si="2"/>
        <v>No Aceptable</v>
      </c>
      <c r="Q97" s="6" t="s">
        <v>64</v>
      </c>
      <c r="R97" s="6" t="s">
        <v>64</v>
      </c>
      <c r="S97" s="6" t="s">
        <v>64</v>
      </c>
      <c r="T97" s="6" t="s">
        <v>64</v>
      </c>
      <c r="U97" s="6" t="s">
        <v>64</v>
      </c>
      <c r="V97" s="6" t="s">
        <v>64</v>
      </c>
      <c r="W97" s="6" t="str">
        <f t="shared" si="3"/>
        <v>No Critico</v>
      </c>
    </row>
    <row r="98" spans="1:23" ht="30">
      <c r="A98" s="52">
        <f>Inicial!A98</f>
        <v>96</v>
      </c>
      <c r="B98" s="53" t="str">
        <f>Inicial!B98</f>
        <v>Desposte</v>
      </c>
      <c r="C98" s="53" t="str">
        <f>Inicial!C98</f>
        <v>Operador Linea Piernas</v>
      </c>
      <c r="D98" s="54" t="str">
        <f>Inicial!D98</f>
        <v xml:space="preserve">Calibrado </v>
      </c>
      <c r="E98" s="52" t="str">
        <f>IF(Inicial!J98="SI",Inicial!E98,"N/A")</f>
        <v>06:30 14:50 / 17:30 a 02:50</v>
      </c>
      <c r="F98" s="53">
        <f>IF(Inicial!J98="SI",Inicial!F98,"N/A")</f>
        <v>1</v>
      </c>
      <c r="G98" s="53">
        <f>IF(Inicial!J98="SI",Inicial!G98,"N/A")</f>
        <v>6</v>
      </c>
      <c r="H98" s="53">
        <f>IF(Inicial!J98="SI",Inicial!H98,"N/A")</f>
        <v>80</v>
      </c>
      <c r="I98" s="55">
        <f>IF(Inicial!J98="SI",Inicial!I98,"N/A")</f>
        <v>14</v>
      </c>
      <c r="J98" s="44" t="s">
        <v>64</v>
      </c>
      <c r="K98" s="6" t="s">
        <v>63</v>
      </c>
      <c r="L98" s="6" t="s">
        <v>63</v>
      </c>
      <c r="M98" s="6" t="s">
        <v>63</v>
      </c>
      <c r="N98" s="6" t="s">
        <v>63</v>
      </c>
      <c r="O98" s="6" t="s">
        <v>63</v>
      </c>
      <c r="P98" s="6" t="str">
        <f t="shared" si="2"/>
        <v>No Aceptable</v>
      </c>
      <c r="Q98" s="6" t="s">
        <v>64</v>
      </c>
      <c r="R98" s="6" t="s">
        <v>64</v>
      </c>
      <c r="S98" s="6" t="s">
        <v>64</v>
      </c>
      <c r="T98" s="6" t="s">
        <v>64</v>
      </c>
      <c r="U98" s="6" t="s">
        <v>64</v>
      </c>
      <c r="V98" s="6" t="s">
        <v>64</v>
      </c>
      <c r="W98" s="6" t="str">
        <f t="shared" si="3"/>
        <v>No Critico</v>
      </c>
    </row>
    <row r="99" spans="1:23" ht="30">
      <c r="A99" s="52">
        <f>Inicial!A99</f>
        <v>97</v>
      </c>
      <c r="B99" s="53" t="str">
        <f>Inicial!B99</f>
        <v>Desposte</v>
      </c>
      <c r="C99" s="53" t="str">
        <f>Inicial!C99</f>
        <v>Operador Linea Piernas</v>
      </c>
      <c r="D99" s="54" t="str">
        <f>Inicial!D99</f>
        <v>Peladora Maja</v>
      </c>
      <c r="E99" s="52" t="str">
        <f>IF(Inicial!J99="SI",Inicial!E99,"N/A")</f>
        <v>06:30 14:50 / 17:30 a 02:50</v>
      </c>
      <c r="F99" s="53">
        <f>IF(Inicial!J99="SI",Inicial!F99,"N/A")</f>
        <v>1</v>
      </c>
      <c r="G99" s="53">
        <f>IF(Inicial!J99="SI",Inicial!G99,"N/A")</f>
        <v>6</v>
      </c>
      <c r="H99" s="53">
        <f>IF(Inicial!J99="SI",Inicial!H99,"N/A")</f>
        <v>80</v>
      </c>
      <c r="I99" s="55">
        <f>IF(Inicial!J99="SI",Inicial!I99,"N/A")</f>
        <v>14</v>
      </c>
      <c r="J99" s="44" t="s">
        <v>64</v>
      </c>
      <c r="K99" s="6" t="s">
        <v>63</v>
      </c>
      <c r="L99" s="6" t="s">
        <v>63</v>
      </c>
      <c r="M99" s="6" t="s">
        <v>63</v>
      </c>
      <c r="N99" s="6" t="s">
        <v>63</v>
      </c>
      <c r="O99" s="6" t="s">
        <v>63</v>
      </c>
      <c r="P99" s="6" t="str">
        <f t="shared" si="2"/>
        <v>No Aceptable</v>
      </c>
      <c r="Q99" s="6" t="s">
        <v>64</v>
      </c>
      <c r="R99" s="6" t="s">
        <v>64</v>
      </c>
      <c r="S99" s="6" t="s">
        <v>64</v>
      </c>
      <c r="T99" s="6" t="s">
        <v>64</v>
      </c>
      <c r="U99" s="6" t="s">
        <v>64</v>
      </c>
      <c r="V99" s="6" t="s">
        <v>64</v>
      </c>
      <c r="W99" s="6" t="str">
        <f t="shared" si="3"/>
        <v>No Critico</v>
      </c>
    </row>
    <row r="100" spans="1:23" ht="30">
      <c r="A100" s="52">
        <f>Inicial!A100</f>
        <v>98</v>
      </c>
      <c r="B100" s="53" t="str">
        <f>Inicial!B100</f>
        <v>Desposte</v>
      </c>
      <c r="C100" s="53" t="str">
        <f>Inicial!C100</f>
        <v>Operador Linea Piernas</v>
      </c>
      <c r="D100" s="54" t="str">
        <f>Inicial!D100</f>
        <v>Abastecer Varivac</v>
      </c>
      <c r="E100" s="52" t="str">
        <f>IF(Inicial!J100="SI",Inicial!E100,"N/A")</f>
        <v>06:30 14:50 / 17:30 a 02:50</v>
      </c>
      <c r="F100" s="53">
        <f>IF(Inicial!J100="SI",Inicial!F100,"N/A")</f>
        <v>1</v>
      </c>
      <c r="G100" s="53">
        <f>IF(Inicial!J100="SI",Inicial!G100,"N/A")</f>
        <v>6</v>
      </c>
      <c r="H100" s="53">
        <f>IF(Inicial!J100="SI",Inicial!H100,"N/A")</f>
        <v>80</v>
      </c>
      <c r="I100" s="55">
        <f>IF(Inicial!J100="SI",Inicial!I100,"N/A")</f>
        <v>14</v>
      </c>
      <c r="J100" s="44" t="s">
        <v>64</v>
      </c>
      <c r="K100" s="6" t="s">
        <v>63</v>
      </c>
      <c r="L100" s="6" t="s">
        <v>63</v>
      </c>
      <c r="M100" s="6" t="s">
        <v>63</v>
      </c>
      <c r="N100" s="6" t="s">
        <v>63</v>
      </c>
      <c r="O100" s="6" t="s">
        <v>63</v>
      </c>
      <c r="P100" s="6" t="str">
        <f t="shared" si="2"/>
        <v>No Aceptable</v>
      </c>
      <c r="Q100" s="6" t="s">
        <v>64</v>
      </c>
      <c r="R100" s="6" t="s">
        <v>64</v>
      </c>
      <c r="S100" s="6" t="s">
        <v>64</v>
      </c>
      <c r="T100" s="6" t="s">
        <v>64</v>
      </c>
      <c r="U100" s="6" t="s">
        <v>64</v>
      </c>
      <c r="V100" s="6" t="s">
        <v>64</v>
      </c>
      <c r="W100" s="6" t="str">
        <f t="shared" si="3"/>
        <v>No Critico</v>
      </c>
    </row>
    <row r="101" spans="1:23" ht="30">
      <c r="A101" s="52">
        <f>Inicial!A101</f>
        <v>99</v>
      </c>
      <c r="B101" s="53" t="str">
        <f>Inicial!B101</f>
        <v>Desposte</v>
      </c>
      <c r="C101" s="53" t="str">
        <f>Inicial!C101</f>
        <v>Operador Linea Piernas</v>
      </c>
      <c r="D101" s="54" t="str">
        <f>Inicial!D101</f>
        <v>Recibir producto</v>
      </c>
      <c r="E101" s="52" t="str">
        <f>IF(Inicial!J101="SI",Inicial!E101,"N/A")</f>
        <v>06:30 14:50 / 17:30 a 02:50</v>
      </c>
      <c r="F101" s="53">
        <f>IF(Inicial!J101="SI",Inicial!F101,"N/A")</f>
        <v>1</v>
      </c>
      <c r="G101" s="53">
        <f>IF(Inicial!J101="SI",Inicial!G101,"N/A")</f>
        <v>6</v>
      </c>
      <c r="H101" s="53">
        <f>IF(Inicial!J101="SI",Inicial!H101,"N/A")</f>
        <v>80</v>
      </c>
      <c r="I101" s="55">
        <f>IF(Inicial!J101="SI",Inicial!I101,"N/A")</f>
        <v>14</v>
      </c>
      <c r="J101" s="44" t="s">
        <v>64</v>
      </c>
      <c r="K101" s="6" t="s">
        <v>63</v>
      </c>
      <c r="L101" s="6" t="s">
        <v>63</v>
      </c>
      <c r="M101" s="6" t="s">
        <v>63</v>
      </c>
      <c r="N101" s="6" t="s">
        <v>63</v>
      </c>
      <c r="O101" s="6" t="s">
        <v>63</v>
      </c>
      <c r="P101" s="6" t="str">
        <f t="shared" si="2"/>
        <v>No Aceptable</v>
      </c>
      <c r="Q101" s="6" t="s">
        <v>64</v>
      </c>
      <c r="R101" s="6" t="s">
        <v>64</v>
      </c>
      <c r="S101" s="6" t="s">
        <v>64</v>
      </c>
      <c r="T101" s="6" t="s">
        <v>64</v>
      </c>
      <c r="U101" s="6" t="s">
        <v>64</v>
      </c>
      <c r="V101" s="6" t="s">
        <v>64</v>
      </c>
      <c r="W101" s="6" t="str">
        <f t="shared" si="3"/>
        <v>No Critico</v>
      </c>
    </row>
    <row r="102" spans="1:23" ht="30">
      <c r="A102" s="52">
        <f>Inicial!A102</f>
        <v>100</v>
      </c>
      <c r="B102" s="53" t="str">
        <f>Inicial!B102</f>
        <v>Desposte</v>
      </c>
      <c r="C102" s="53" t="str">
        <f>Inicial!C102</f>
        <v>Operador Linea Piernas</v>
      </c>
      <c r="D102" s="54" t="str">
        <f>Inicial!D102</f>
        <v>Pegar etiqueta</v>
      </c>
      <c r="E102" s="52" t="str">
        <f>IF(Inicial!J102="SI",Inicial!E102,"N/A")</f>
        <v>06:30 14:50 / 17:30 a 02:50</v>
      </c>
      <c r="F102" s="53">
        <f>IF(Inicial!J102="SI",Inicial!F102,"N/A")</f>
        <v>1</v>
      </c>
      <c r="G102" s="53">
        <f>IF(Inicial!J102="SI",Inicial!G102,"N/A")</f>
        <v>6</v>
      </c>
      <c r="H102" s="53">
        <f>IF(Inicial!J102="SI",Inicial!H102,"N/A")</f>
        <v>80</v>
      </c>
      <c r="I102" s="55">
        <f>IF(Inicial!J102="SI",Inicial!I102,"N/A")</f>
        <v>14</v>
      </c>
      <c r="J102" s="44" t="s">
        <v>64</v>
      </c>
      <c r="K102" s="6" t="s">
        <v>63</v>
      </c>
      <c r="L102" s="6" t="s">
        <v>63</v>
      </c>
      <c r="M102" s="6" t="s">
        <v>63</v>
      </c>
      <c r="N102" s="6" t="s">
        <v>63</v>
      </c>
      <c r="O102" s="6" t="s">
        <v>63</v>
      </c>
      <c r="P102" s="6" t="str">
        <f t="shared" si="2"/>
        <v>No Aceptable</v>
      </c>
      <c r="Q102" s="6" t="s">
        <v>64</v>
      </c>
      <c r="R102" s="6" t="s">
        <v>64</v>
      </c>
      <c r="S102" s="6" t="s">
        <v>64</v>
      </c>
      <c r="T102" s="6" t="s">
        <v>64</v>
      </c>
      <c r="U102" s="6" t="s">
        <v>64</v>
      </c>
      <c r="V102" s="6" t="s">
        <v>64</v>
      </c>
      <c r="W102" s="6" t="str">
        <f t="shared" si="3"/>
        <v>No Critico</v>
      </c>
    </row>
    <row r="103" spans="1:23" ht="30">
      <c r="A103" s="52">
        <f>Inicial!A103</f>
        <v>101</v>
      </c>
      <c r="B103" s="53" t="str">
        <f>Inicial!B103</f>
        <v>Desposte</v>
      </c>
      <c r="C103" s="53" t="str">
        <f>Inicial!C103</f>
        <v>Operador Linea Piernas</v>
      </c>
      <c r="D103" s="54" t="str">
        <f>Inicial!D103</f>
        <v>evacuar bandeja</v>
      </c>
      <c r="E103" s="52" t="str">
        <f>IF(Inicial!J103="SI",Inicial!E103,"N/A")</f>
        <v>06:30 14:50 / 17:30 a 02:50</v>
      </c>
      <c r="F103" s="53">
        <f>IF(Inicial!J103="SI",Inicial!F103,"N/A")</f>
        <v>1</v>
      </c>
      <c r="G103" s="53">
        <f>IF(Inicial!J103="SI",Inicial!G103,"N/A")</f>
        <v>6</v>
      </c>
      <c r="H103" s="53">
        <f>IF(Inicial!J103="SI",Inicial!H103,"N/A")</f>
        <v>80</v>
      </c>
      <c r="I103" s="55">
        <f>IF(Inicial!J103="SI",Inicial!I103,"N/A")</f>
        <v>14</v>
      </c>
      <c r="J103" s="44" t="s">
        <v>64</v>
      </c>
      <c r="K103" s="6" t="s">
        <v>63</v>
      </c>
      <c r="L103" s="6" t="s">
        <v>63</v>
      </c>
      <c r="M103" s="6" t="s">
        <v>63</v>
      </c>
      <c r="N103" s="6" t="s">
        <v>63</v>
      </c>
      <c r="O103" s="6" t="s">
        <v>63</v>
      </c>
      <c r="P103" s="6" t="str">
        <f t="shared" si="2"/>
        <v>No Aceptable</v>
      </c>
      <c r="Q103" s="6" t="s">
        <v>64</v>
      </c>
      <c r="R103" s="6" t="s">
        <v>64</v>
      </c>
      <c r="S103" s="6" t="s">
        <v>64</v>
      </c>
      <c r="T103" s="6" t="s">
        <v>64</v>
      </c>
      <c r="U103" s="6" t="s">
        <v>64</v>
      </c>
      <c r="V103" s="6" t="s">
        <v>64</v>
      </c>
      <c r="W103" s="6" t="str">
        <f t="shared" si="3"/>
        <v>No Critico</v>
      </c>
    </row>
    <row r="104" spans="1:23" ht="30">
      <c r="A104" s="52">
        <f>Inicial!A104</f>
        <v>102</v>
      </c>
      <c r="B104" s="53" t="str">
        <f>Inicial!B104</f>
        <v>Desposte</v>
      </c>
      <c r="C104" s="53" t="str">
        <f>Inicial!C104</f>
        <v xml:space="preserve">Operador Línea Empaque </v>
      </c>
      <c r="D104" s="54" t="str">
        <f>Inicial!D104</f>
        <v>Palletizado</v>
      </c>
      <c r="E104" s="52" t="str">
        <f>IF(Inicial!J104="SI",Inicial!E104,"N/A")</f>
        <v>06:30 14:50 / 17:30 a 02:50</v>
      </c>
      <c r="F104" s="53">
        <f>IF(Inicial!J104="SI",Inicial!F104,"N/A")</f>
        <v>1</v>
      </c>
      <c r="G104" s="53">
        <f>IF(Inicial!J104="SI",Inicial!G104,"N/A")</f>
        <v>6</v>
      </c>
      <c r="H104" s="53">
        <f>IF(Inicial!J104="SI",Inicial!H104,"N/A")</f>
        <v>36</v>
      </c>
      <c r="I104" s="55">
        <f>IF(Inicial!J104="SI",Inicial!I104,"N/A")</f>
        <v>8</v>
      </c>
      <c r="J104" s="44" t="s">
        <v>64</v>
      </c>
      <c r="K104" s="6" t="s">
        <v>63</v>
      </c>
      <c r="L104" s="6" t="s">
        <v>63</v>
      </c>
      <c r="M104" s="6" t="s">
        <v>63</v>
      </c>
      <c r="N104" s="6" t="s">
        <v>63</v>
      </c>
      <c r="O104" s="6" t="s">
        <v>63</v>
      </c>
      <c r="P104" s="6" t="str">
        <f t="shared" si="2"/>
        <v>No Aceptable</v>
      </c>
      <c r="Q104" s="6" t="s">
        <v>64</v>
      </c>
      <c r="R104" s="6" t="s">
        <v>64</v>
      </c>
      <c r="S104" s="6" t="s">
        <v>64</v>
      </c>
      <c r="T104" s="6" t="s">
        <v>64</v>
      </c>
      <c r="U104" s="6" t="s">
        <v>64</v>
      </c>
      <c r="V104" s="6" t="s">
        <v>64</v>
      </c>
      <c r="W104" s="6" t="str">
        <f t="shared" si="3"/>
        <v>No Critico</v>
      </c>
    </row>
    <row r="105" spans="1:23" ht="30">
      <c r="A105" s="52">
        <f>Inicial!A105</f>
        <v>103</v>
      </c>
      <c r="B105" s="53" t="str">
        <f>Inicial!B105</f>
        <v>Desposte</v>
      </c>
      <c r="C105" s="53" t="str">
        <f>Inicial!C105</f>
        <v xml:space="preserve">Operador Línea Empaque </v>
      </c>
      <c r="D105" s="54" t="str">
        <f>Inicial!D105</f>
        <v xml:space="preserve">Calibrado </v>
      </c>
      <c r="E105" s="52" t="str">
        <f>IF(Inicial!J105="SI",Inicial!E105,"N/A")</f>
        <v>06:30 14:50 / 17:30 a 02:50</v>
      </c>
      <c r="F105" s="53">
        <f>IF(Inicial!J105="SI",Inicial!F105,"N/A")</f>
        <v>1</v>
      </c>
      <c r="G105" s="53">
        <f>IF(Inicial!J105="SI",Inicial!G105,"N/A")</f>
        <v>6</v>
      </c>
      <c r="H105" s="53">
        <f>IF(Inicial!J105="SI",Inicial!H105,"N/A")</f>
        <v>36</v>
      </c>
      <c r="I105" s="55">
        <f>IF(Inicial!J105="SI",Inicial!I105,"N/A")</f>
        <v>8</v>
      </c>
      <c r="J105" s="44" t="s">
        <v>64</v>
      </c>
      <c r="K105" s="6" t="s">
        <v>63</v>
      </c>
      <c r="L105" s="6" t="s">
        <v>63</v>
      </c>
      <c r="M105" s="6" t="s">
        <v>63</v>
      </c>
      <c r="N105" s="6" t="s">
        <v>63</v>
      </c>
      <c r="O105" s="6" t="s">
        <v>63</v>
      </c>
      <c r="P105" s="6" t="str">
        <f t="shared" si="2"/>
        <v>No Aceptable</v>
      </c>
      <c r="Q105" s="6" t="s">
        <v>64</v>
      </c>
      <c r="R105" s="6" t="s">
        <v>64</v>
      </c>
      <c r="S105" s="6" t="s">
        <v>64</v>
      </c>
      <c r="T105" s="6" t="s">
        <v>64</v>
      </c>
      <c r="U105" s="6" t="s">
        <v>64</v>
      </c>
      <c r="V105" s="6" t="s">
        <v>64</v>
      </c>
      <c r="W105" s="6" t="str">
        <f t="shared" si="3"/>
        <v>No Critico</v>
      </c>
    </row>
    <row r="106" spans="1:23" ht="30">
      <c r="A106" s="52">
        <f>Inicial!A106</f>
        <v>104</v>
      </c>
      <c r="B106" s="53" t="str">
        <f>Inicial!B106</f>
        <v>Desposte</v>
      </c>
      <c r="C106" s="53" t="str">
        <f>Inicial!C106</f>
        <v xml:space="preserve">Operador Línea Empaque </v>
      </c>
      <c r="D106" s="54" t="str">
        <f>Inicial!D106</f>
        <v xml:space="preserve"> Volteador 500</v>
      </c>
      <c r="E106" s="52" t="str">
        <f>IF(Inicial!J106="SI",Inicial!E106,"N/A")</f>
        <v>06:30 14:50 / 17:30 a 02:50</v>
      </c>
      <c r="F106" s="53">
        <f>IF(Inicial!J106="SI",Inicial!F106,"N/A")</f>
        <v>1</v>
      </c>
      <c r="G106" s="53">
        <f>IF(Inicial!J106="SI",Inicial!G106,"N/A")</f>
        <v>6</v>
      </c>
      <c r="H106" s="53">
        <f>IF(Inicial!J106="SI",Inicial!H106,"N/A")</f>
        <v>36</v>
      </c>
      <c r="I106" s="55">
        <f>IF(Inicial!J106="SI",Inicial!I106,"N/A")</f>
        <v>8</v>
      </c>
      <c r="J106" s="44" t="s">
        <v>64</v>
      </c>
      <c r="K106" s="6" t="s">
        <v>63</v>
      </c>
      <c r="L106" s="6" t="s">
        <v>63</v>
      </c>
      <c r="M106" s="6" t="s">
        <v>63</v>
      </c>
      <c r="N106" s="6" t="s">
        <v>63</v>
      </c>
      <c r="O106" s="6" t="s">
        <v>63</v>
      </c>
      <c r="P106" s="6" t="str">
        <f t="shared" si="2"/>
        <v>No Aceptable</v>
      </c>
      <c r="Q106" s="6" t="s">
        <v>64</v>
      </c>
      <c r="R106" s="6" t="s">
        <v>64</v>
      </c>
      <c r="S106" s="6" t="s">
        <v>64</v>
      </c>
      <c r="T106" s="6" t="s">
        <v>64</v>
      </c>
      <c r="U106" s="6" t="s">
        <v>64</v>
      </c>
      <c r="V106" s="6" t="s">
        <v>64</v>
      </c>
      <c r="W106" s="6" t="str">
        <f t="shared" si="3"/>
        <v>No Critico</v>
      </c>
    </row>
    <row r="107" spans="1:23" ht="30">
      <c r="A107" s="52">
        <f>Inicial!A107</f>
        <v>105</v>
      </c>
      <c r="B107" s="53" t="str">
        <f>Inicial!B107</f>
        <v>Desposte</v>
      </c>
      <c r="C107" s="53" t="str">
        <f>Inicial!C107</f>
        <v xml:space="preserve">Operador Línea Empaque </v>
      </c>
      <c r="D107" s="54" t="str">
        <f>Inicial!D107</f>
        <v>Direccionado</v>
      </c>
      <c r="E107" s="52" t="str">
        <f>IF(Inicial!J107="SI",Inicial!E107,"N/A")</f>
        <v>06:30 14:50 / 17:30 a 02:50</v>
      </c>
      <c r="F107" s="53">
        <f>IF(Inicial!J107="SI",Inicial!F107,"N/A")</f>
        <v>1</v>
      </c>
      <c r="G107" s="53">
        <f>IF(Inicial!J107="SI",Inicial!G107,"N/A")</f>
        <v>6</v>
      </c>
      <c r="H107" s="53">
        <f>IF(Inicial!J107="SI",Inicial!H107,"N/A")</f>
        <v>36</v>
      </c>
      <c r="I107" s="55">
        <f>IF(Inicial!J107="SI",Inicial!I107,"N/A")</f>
        <v>8</v>
      </c>
      <c r="J107" s="44" t="s">
        <v>64</v>
      </c>
      <c r="K107" s="6" t="s">
        <v>63</v>
      </c>
      <c r="L107" s="6" t="s">
        <v>63</v>
      </c>
      <c r="M107" s="6" t="s">
        <v>63</v>
      </c>
      <c r="N107" s="6" t="s">
        <v>63</v>
      </c>
      <c r="O107" s="6" t="s">
        <v>63</v>
      </c>
      <c r="P107" s="6" t="str">
        <f t="shared" si="2"/>
        <v>No Aceptable</v>
      </c>
      <c r="Q107" s="6" t="s">
        <v>64</v>
      </c>
      <c r="R107" s="6" t="s">
        <v>64</v>
      </c>
      <c r="S107" s="6" t="s">
        <v>64</v>
      </c>
      <c r="T107" s="6" t="s">
        <v>64</v>
      </c>
      <c r="U107" s="6" t="s">
        <v>64</v>
      </c>
      <c r="V107" s="6" t="s">
        <v>64</v>
      </c>
      <c r="W107" s="6" t="str">
        <f t="shared" si="3"/>
        <v>No Critico</v>
      </c>
    </row>
    <row r="108" spans="1:23">
      <c r="A108" s="52">
        <f>Inicial!A108</f>
        <v>106</v>
      </c>
      <c r="B108" s="53" t="str">
        <f>Inicial!B108</f>
        <v>Desposte</v>
      </c>
      <c r="C108" s="53" t="str">
        <f>Inicial!C108</f>
        <v xml:space="preserve">Operador Línea Empaque </v>
      </c>
      <c r="D108" s="54" t="str">
        <f>Inicial!D108</f>
        <v>Embalado</v>
      </c>
      <c r="E108" s="52" t="str">
        <f>IF(Inicial!J108="SI",Inicial!E108,"N/A")</f>
        <v>06:30 14:50 / 17:30 a 02:50</v>
      </c>
      <c r="F108" s="53">
        <f>IF(Inicial!J108="SI",Inicial!F108,"N/A")</f>
        <v>1</v>
      </c>
      <c r="G108" s="53">
        <f>IF(Inicial!J108="SI",Inicial!G108,"N/A")</f>
        <v>6</v>
      </c>
      <c r="H108" s="53">
        <f>IF(Inicial!J108="SI",Inicial!H108,"N/A")</f>
        <v>36</v>
      </c>
      <c r="I108" s="55">
        <f>IF(Inicial!J108="SI",Inicial!I108,"N/A")</f>
        <v>8</v>
      </c>
      <c r="P108" s="6" t="str">
        <f t="shared" ref="P108:P129" si="4">IF(OR(J108="NO",K108="NO",L108="NO",M108="NO",N108="NO",O108="NO"),"No Aceptable","Aceptable")</f>
        <v>Aceptable</v>
      </c>
      <c r="Q108" s="6"/>
      <c r="R108" s="6"/>
      <c r="S108" s="6"/>
      <c r="T108" s="6"/>
      <c r="U108" s="6"/>
      <c r="V108" s="6"/>
      <c r="W108" s="6" t="str">
        <f t="shared" ref="W108:W129" si="5">IF(AND(Q108="NO",R108="NO",S108="NO",T108="NO",U108="NO",V108="NO"),"No Critico","Critico")</f>
        <v>Critico</v>
      </c>
    </row>
    <row r="109" spans="1:23">
      <c r="A109" s="52">
        <f>Inicial!A109</f>
        <v>107</v>
      </c>
      <c r="B109" s="53" t="str">
        <f>Inicial!B109</f>
        <v>Desposte</v>
      </c>
      <c r="C109" s="53" t="str">
        <f>Inicial!C109</f>
        <v xml:space="preserve">Operador Línea Empaque </v>
      </c>
      <c r="D109" s="54" t="str">
        <f>Inicial!D109</f>
        <v>PC</v>
      </c>
      <c r="E109" s="52" t="str">
        <f>IF(Inicial!J109="SI",Inicial!E109,"N/A")</f>
        <v>06:30 14:50 / 17:30 a 02:50</v>
      </c>
      <c r="F109" s="53">
        <f>IF(Inicial!J109="SI",Inicial!F109,"N/A")</f>
        <v>1</v>
      </c>
      <c r="G109" s="53">
        <f>IF(Inicial!J109="SI",Inicial!G109,"N/A")</f>
        <v>6</v>
      </c>
      <c r="H109" s="53">
        <f>IF(Inicial!J109="SI",Inicial!H109,"N/A")</f>
        <v>36</v>
      </c>
      <c r="I109" s="55">
        <f>IF(Inicial!J109="SI",Inicial!I109,"N/A")</f>
        <v>8</v>
      </c>
      <c r="P109" s="6" t="str">
        <f t="shared" si="4"/>
        <v>Aceptable</v>
      </c>
      <c r="Q109" s="6"/>
      <c r="R109" s="6"/>
      <c r="S109" s="6"/>
      <c r="T109" s="6"/>
      <c r="U109" s="6"/>
      <c r="V109" s="6"/>
      <c r="W109" s="6" t="str">
        <f t="shared" si="5"/>
        <v>Critico</v>
      </c>
    </row>
    <row r="110" spans="1:23">
      <c r="A110" s="52">
        <f>Inicial!A110</f>
        <v>108</v>
      </c>
      <c r="B110" s="53" t="str">
        <f>Inicial!B110</f>
        <v>Desposte</v>
      </c>
      <c r="C110" s="53" t="str">
        <f>Inicial!C110</f>
        <v xml:space="preserve">Operador Línea Empaque </v>
      </c>
      <c r="D110" s="54" t="str">
        <f>Inicial!D110</f>
        <v>Volteado 100</v>
      </c>
      <c r="E110" s="52" t="str">
        <f>IF(Inicial!J110="SI",Inicial!E110,"N/A")</f>
        <v>06:30 14:50 / 17:30 a 02:50</v>
      </c>
      <c r="F110" s="53">
        <f>IF(Inicial!J110="SI",Inicial!F110,"N/A")</f>
        <v>1</v>
      </c>
      <c r="G110" s="53">
        <f>IF(Inicial!J110="SI",Inicial!G110,"N/A")</f>
        <v>6</v>
      </c>
      <c r="H110" s="53">
        <f>IF(Inicial!J110="SI",Inicial!H110,"N/A")</f>
        <v>36</v>
      </c>
      <c r="I110" s="55">
        <f>IF(Inicial!J110="SI",Inicial!I110,"N/A")</f>
        <v>8</v>
      </c>
      <c r="P110" s="6" t="str">
        <f t="shared" si="4"/>
        <v>Aceptable</v>
      </c>
      <c r="Q110" s="6"/>
      <c r="R110" s="6"/>
      <c r="S110" s="6"/>
      <c r="T110" s="6"/>
      <c r="U110" s="6"/>
      <c r="V110" s="6"/>
      <c r="W110" s="6" t="str">
        <f t="shared" si="5"/>
        <v>Critico</v>
      </c>
    </row>
    <row r="111" spans="1:23" ht="25.5">
      <c r="A111" s="52">
        <f>Inicial!A111</f>
        <v>109</v>
      </c>
      <c r="B111" s="53" t="str">
        <f>Inicial!B111</f>
        <v>Desposte</v>
      </c>
      <c r="C111" s="53" t="str">
        <f>Inicial!C111</f>
        <v>Operador Línea Filete y Cabeza</v>
      </c>
      <c r="D111" s="54" t="str">
        <f>Inicial!D111</f>
        <v>Cortar Cabeza</v>
      </c>
      <c r="E111" s="52" t="str">
        <f>IF(Inicial!J111="SI",Inicial!E111,"N/A")</f>
        <v>06:30 14:50 / 17:30 a 02:50</v>
      </c>
      <c r="F111" s="53">
        <f>IF(Inicial!J111="SI",Inicial!F111,"N/A")</f>
        <v>1</v>
      </c>
      <c r="G111" s="53">
        <f>IF(Inicial!J111="SI",Inicial!G111,"N/A")</f>
        <v>6</v>
      </c>
      <c r="H111" s="53">
        <f>IF(Inicial!J111="SI",Inicial!H111,"N/A")</f>
        <v>20</v>
      </c>
      <c r="I111" s="55">
        <f>IF(Inicial!J111="SI",Inicial!I111,"N/A")</f>
        <v>6</v>
      </c>
      <c r="P111" s="6" t="str">
        <f t="shared" si="4"/>
        <v>Aceptable</v>
      </c>
      <c r="Q111" s="6"/>
      <c r="R111" s="6"/>
      <c r="S111" s="6"/>
      <c r="T111" s="6"/>
      <c r="U111" s="6"/>
      <c r="V111" s="6"/>
      <c r="W111" s="6" t="str">
        <f t="shared" si="5"/>
        <v>Critico</v>
      </c>
    </row>
    <row r="112" spans="1:23" ht="25.5">
      <c r="A112" s="52">
        <f>Inicial!A112</f>
        <v>110</v>
      </c>
      <c r="B112" s="53" t="str">
        <f>Inicial!B112</f>
        <v>Desposte</v>
      </c>
      <c r="C112" s="53" t="str">
        <f>Inicial!C112</f>
        <v>Operador Línea Filete y Cabeza</v>
      </c>
      <c r="D112" s="54" t="str">
        <f>Inicial!D112</f>
        <v>Filetero</v>
      </c>
      <c r="E112" s="52" t="str">
        <f>IF(Inicial!J112="SI",Inicial!E112,"N/A")</f>
        <v>06:30 14:50 / 17:30 a 02:50</v>
      </c>
      <c r="F112" s="53">
        <f>IF(Inicial!J112="SI",Inicial!F112,"N/A")</f>
        <v>1</v>
      </c>
      <c r="G112" s="53">
        <f>IF(Inicial!J112="SI",Inicial!G112,"N/A")</f>
        <v>6</v>
      </c>
      <c r="H112" s="53">
        <f>IF(Inicial!J112="SI",Inicial!H112,"N/A")</f>
        <v>20</v>
      </c>
      <c r="I112" s="55">
        <f>IF(Inicial!J112="SI",Inicial!I112,"N/A")</f>
        <v>6</v>
      </c>
      <c r="P112" s="6" t="str">
        <f t="shared" si="4"/>
        <v>Aceptable</v>
      </c>
      <c r="Q112" s="6"/>
      <c r="R112" s="6"/>
      <c r="S112" s="6"/>
      <c r="T112" s="6"/>
      <c r="U112" s="6"/>
      <c r="V112" s="6"/>
      <c r="W112" s="6" t="str">
        <f t="shared" si="5"/>
        <v>Critico</v>
      </c>
    </row>
    <row r="113" spans="1:23" ht="25.5">
      <c r="A113" s="52">
        <f>Inicial!A113</f>
        <v>111</v>
      </c>
      <c r="B113" s="53" t="str">
        <f>Inicial!B113</f>
        <v>Desposte</v>
      </c>
      <c r="C113" s="53" t="str">
        <f>Inicial!C113</f>
        <v>Operador Línea Filete y Cabeza</v>
      </c>
      <c r="D113" s="54" t="str">
        <f>Inicial!D113</f>
        <v>Exracción de cuero Axilar</v>
      </c>
      <c r="E113" s="52" t="str">
        <f>IF(Inicial!J113="SI",Inicial!E113,"N/A")</f>
        <v>06:30 14:50 / 17:30 a 02:50</v>
      </c>
      <c r="F113" s="53">
        <f>IF(Inicial!J113="SI",Inicial!F113,"N/A")</f>
        <v>1</v>
      </c>
      <c r="G113" s="53">
        <f>IF(Inicial!J113="SI",Inicial!G113,"N/A")</f>
        <v>6</v>
      </c>
      <c r="H113" s="53">
        <f>IF(Inicial!J113="SI",Inicial!H113,"N/A")</f>
        <v>20</v>
      </c>
      <c r="I113" s="55">
        <f>IF(Inicial!J113="SI",Inicial!I113,"N/A")</f>
        <v>6</v>
      </c>
      <c r="P113" s="6" t="str">
        <f t="shared" si="4"/>
        <v>Aceptable</v>
      </c>
      <c r="Q113" s="6"/>
      <c r="R113" s="6"/>
      <c r="S113" s="6"/>
      <c r="T113" s="6"/>
      <c r="U113" s="6"/>
      <c r="V113" s="6"/>
      <c r="W113" s="6" t="str">
        <f t="shared" si="5"/>
        <v>Critico</v>
      </c>
    </row>
    <row r="114" spans="1:23" ht="25.5">
      <c r="A114" s="52">
        <f>Inicial!A114</f>
        <v>112</v>
      </c>
      <c r="B114" s="53" t="str">
        <f>Inicial!B114</f>
        <v>Desposte</v>
      </c>
      <c r="C114" s="53" t="str">
        <f>Inicial!C114</f>
        <v>Operador Línea Filete y Cabeza</v>
      </c>
      <c r="D114" s="54" t="str">
        <f>Inicial!D114</f>
        <v>Embalar Perniles</v>
      </c>
      <c r="E114" s="52" t="str">
        <f>IF(Inicial!J114="SI",Inicial!E114,"N/A")</f>
        <v>06:30 14:50 / 17:30 a 02:50</v>
      </c>
      <c r="F114" s="53">
        <f>IF(Inicial!J114="SI",Inicial!F114,"N/A")</f>
        <v>1</v>
      </c>
      <c r="G114" s="53">
        <f>IF(Inicial!J114="SI",Inicial!G114,"N/A")</f>
        <v>6</v>
      </c>
      <c r="H114" s="53">
        <f>IF(Inicial!J114="SI",Inicial!H114,"N/A")</f>
        <v>20</v>
      </c>
      <c r="I114" s="55">
        <f>IF(Inicial!J114="SI",Inicial!I114,"N/A")</f>
        <v>6</v>
      </c>
      <c r="P114" s="6" t="str">
        <f t="shared" si="4"/>
        <v>Aceptable</v>
      </c>
      <c r="Q114" s="6"/>
      <c r="R114" s="6"/>
      <c r="S114" s="6"/>
      <c r="T114" s="6"/>
      <c r="U114" s="6"/>
      <c r="V114" s="6"/>
      <c r="W114" s="6" t="str">
        <f t="shared" si="5"/>
        <v>Critico</v>
      </c>
    </row>
    <row r="115" spans="1:23" ht="25.5">
      <c r="A115" s="52">
        <f>Inicial!A115</f>
        <v>113</v>
      </c>
      <c r="B115" s="53" t="str">
        <f>Inicial!B115</f>
        <v>Desposte</v>
      </c>
      <c r="C115" s="53" t="str">
        <f>Inicial!C115</f>
        <v>Operador Línea Filete y Cabeza</v>
      </c>
      <c r="D115" s="54" t="str">
        <f>Inicial!D115</f>
        <v>Embalador Perniles</v>
      </c>
      <c r="E115" s="52" t="str">
        <f>IF(Inicial!J115="SI",Inicial!E115,"N/A")</f>
        <v>06:30 14:50 / 17:30 a 02:50</v>
      </c>
      <c r="F115" s="53">
        <f>IF(Inicial!J115="SI",Inicial!F115,"N/A")</f>
        <v>1</v>
      </c>
      <c r="G115" s="53">
        <f>IF(Inicial!J115="SI",Inicial!G115,"N/A")</f>
        <v>6</v>
      </c>
      <c r="H115" s="53">
        <f>IF(Inicial!J115="SI",Inicial!H115,"N/A")</f>
        <v>20</v>
      </c>
      <c r="I115" s="55">
        <f>IF(Inicial!J115="SI",Inicial!I115,"N/A")</f>
        <v>6</v>
      </c>
      <c r="P115" s="6" t="str">
        <f t="shared" si="4"/>
        <v>Aceptable</v>
      </c>
      <c r="Q115" s="6"/>
      <c r="R115" s="6"/>
      <c r="S115" s="6"/>
      <c r="T115" s="6"/>
      <c r="U115" s="6"/>
      <c r="V115" s="6"/>
      <c r="W115" s="6" t="str">
        <f t="shared" si="5"/>
        <v>Critico</v>
      </c>
    </row>
    <row r="116" spans="1:23" ht="25.5">
      <c r="A116" s="52">
        <f>Inicial!A116</f>
        <v>114</v>
      </c>
      <c r="B116" s="53" t="str">
        <f>Inicial!B116</f>
        <v>Desposte</v>
      </c>
      <c r="C116" s="53" t="str">
        <f>Inicial!C116</f>
        <v>Operador Línea Filete y Cabeza</v>
      </c>
      <c r="D116" s="54" t="str">
        <f>Inicial!D116</f>
        <v>Prolijado Entraña</v>
      </c>
      <c r="E116" s="52" t="str">
        <f>IF(Inicial!J116="SI",Inicial!E116,"N/A")</f>
        <v>06:30 14:50 / 17:30 a 02:50</v>
      </c>
      <c r="F116" s="53">
        <f>IF(Inicial!J116="SI",Inicial!F116,"N/A")</f>
        <v>1</v>
      </c>
      <c r="G116" s="53">
        <f>IF(Inicial!J116="SI",Inicial!G116,"N/A")</f>
        <v>6</v>
      </c>
      <c r="H116" s="53">
        <f>IF(Inicial!J116="SI",Inicial!H116,"N/A")</f>
        <v>20</v>
      </c>
      <c r="I116" s="55">
        <f>IF(Inicial!J116="SI",Inicial!I116,"N/A")</f>
        <v>6</v>
      </c>
      <c r="P116" s="6" t="str">
        <f t="shared" si="4"/>
        <v>Aceptable</v>
      </c>
      <c r="Q116" s="6"/>
      <c r="R116" s="6"/>
      <c r="S116" s="6"/>
      <c r="T116" s="6"/>
      <c r="U116" s="6"/>
      <c r="V116" s="6"/>
      <c r="W116" s="6" t="str">
        <f t="shared" si="5"/>
        <v>Critico</v>
      </c>
    </row>
    <row r="117" spans="1:23" ht="25.5">
      <c r="A117" s="52">
        <f>Inicial!A117</f>
        <v>115</v>
      </c>
      <c r="B117" s="53" t="str">
        <f>Inicial!B117</f>
        <v>Desposte</v>
      </c>
      <c r="C117" s="53" t="str">
        <f>Inicial!C117</f>
        <v>Operador Línea Filete y Cabeza</v>
      </c>
      <c r="D117" s="54" t="str">
        <f>Inicial!D117</f>
        <v>Embalaje patas y manos</v>
      </c>
      <c r="E117" s="52" t="str">
        <f>IF(Inicial!J117="SI",Inicial!E117,"N/A")</f>
        <v>06:30 14:50 / 17:30 a 02:50</v>
      </c>
      <c r="F117" s="53">
        <f>IF(Inicial!J117="SI",Inicial!F117,"N/A")</f>
        <v>1</v>
      </c>
      <c r="G117" s="53">
        <f>IF(Inicial!J117="SI",Inicial!G117,"N/A")</f>
        <v>6</v>
      </c>
      <c r="H117" s="53">
        <f>IF(Inicial!J117="SI",Inicial!H117,"N/A")</f>
        <v>20</v>
      </c>
      <c r="I117" s="55">
        <f>IF(Inicial!J117="SI",Inicial!I117,"N/A")</f>
        <v>6</v>
      </c>
      <c r="P117" s="6" t="str">
        <f t="shared" si="4"/>
        <v>Aceptable</v>
      </c>
      <c r="Q117" s="6"/>
      <c r="R117" s="6"/>
      <c r="S117" s="6"/>
      <c r="T117" s="6"/>
      <c r="U117" s="6"/>
      <c r="V117" s="6"/>
      <c r="W117" s="6" t="str">
        <f t="shared" si="5"/>
        <v>Critico</v>
      </c>
    </row>
    <row r="118" spans="1:23">
      <c r="A118" s="52">
        <f>Inicial!A118</f>
        <v>0</v>
      </c>
      <c r="B118" s="53">
        <f>Inicial!B118</f>
        <v>0</v>
      </c>
      <c r="C118" s="53">
        <f>Inicial!C118</f>
        <v>0</v>
      </c>
      <c r="D118" s="54">
        <f>Inicial!D118</f>
        <v>0</v>
      </c>
      <c r="E118" s="52" t="str">
        <f>IF(Inicial!J118="SI",Inicial!E118,"N/A")</f>
        <v>N/A</v>
      </c>
      <c r="F118" s="53" t="str">
        <f>IF(Inicial!J118="SI",Inicial!F118,"N/A")</f>
        <v>N/A</v>
      </c>
      <c r="G118" s="53" t="str">
        <f>IF(Inicial!J118="SI",Inicial!G118,"N/A")</f>
        <v>N/A</v>
      </c>
      <c r="H118" s="53" t="str">
        <f>IF(Inicial!J118="SI",Inicial!H118,"N/A")</f>
        <v>N/A</v>
      </c>
      <c r="I118" s="55" t="str">
        <f>IF(Inicial!J118="SI",Inicial!I118,"N/A")</f>
        <v>N/A</v>
      </c>
      <c r="P118" s="6" t="str">
        <f t="shared" si="4"/>
        <v>Aceptable</v>
      </c>
      <c r="Q118" s="6"/>
      <c r="R118" s="6"/>
      <c r="S118" s="6"/>
      <c r="T118" s="6"/>
      <c r="U118" s="6"/>
      <c r="V118" s="6"/>
      <c r="W118" s="6" t="str">
        <f t="shared" si="5"/>
        <v>Critico</v>
      </c>
    </row>
    <row r="119" spans="1:23">
      <c r="A119" s="52">
        <f>Inicial!A119</f>
        <v>0</v>
      </c>
      <c r="B119" s="53">
        <f>Inicial!B119</f>
        <v>0</v>
      </c>
      <c r="C119" s="53">
        <f>Inicial!C119</f>
        <v>0</v>
      </c>
      <c r="D119" s="54">
        <f>Inicial!D119</f>
        <v>0</v>
      </c>
      <c r="E119" s="52" t="str">
        <f>IF(Inicial!J119="SI",Inicial!E119,"N/A")</f>
        <v>N/A</v>
      </c>
      <c r="F119" s="53" t="str">
        <f>IF(Inicial!J119="SI",Inicial!F119,"N/A")</f>
        <v>N/A</v>
      </c>
      <c r="G119" s="53" t="str">
        <f>IF(Inicial!J119="SI",Inicial!G119,"N/A")</f>
        <v>N/A</v>
      </c>
      <c r="H119" s="53" t="str">
        <f>IF(Inicial!J119="SI",Inicial!H119,"N/A")</f>
        <v>N/A</v>
      </c>
      <c r="I119" s="55" t="str">
        <f>IF(Inicial!J119="SI",Inicial!I119,"N/A")</f>
        <v>N/A</v>
      </c>
      <c r="P119" s="6" t="str">
        <f t="shared" si="4"/>
        <v>Aceptable</v>
      </c>
      <c r="Q119" s="6"/>
      <c r="R119" s="6"/>
      <c r="S119" s="6"/>
      <c r="T119" s="6"/>
      <c r="U119" s="6"/>
      <c r="V119" s="6"/>
      <c r="W119" s="6" t="str">
        <f t="shared" si="5"/>
        <v>Critico</v>
      </c>
    </row>
    <row r="120" spans="1:23">
      <c r="A120" s="52">
        <f>Inicial!A120</f>
        <v>0</v>
      </c>
      <c r="B120" s="53">
        <f>Inicial!B120</f>
        <v>0</v>
      </c>
      <c r="C120" s="53">
        <f>Inicial!C120</f>
        <v>0</v>
      </c>
      <c r="D120" s="54">
        <f>Inicial!D120</f>
        <v>0</v>
      </c>
      <c r="E120" s="52" t="str">
        <f>IF(Inicial!J120="SI",Inicial!E120,"N/A")</f>
        <v>N/A</v>
      </c>
      <c r="F120" s="53" t="str">
        <f>IF(Inicial!J120="SI",Inicial!F120,"N/A")</f>
        <v>N/A</v>
      </c>
      <c r="G120" s="53" t="str">
        <f>IF(Inicial!J120="SI",Inicial!G120,"N/A")</f>
        <v>N/A</v>
      </c>
      <c r="H120" s="53" t="str">
        <f>IF(Inicial!J120="SI",Inicial!H120,"N/A")</f>
        <v>N/A</v>
      </c>
      <c r="I120" s="55" t="str">
        <f>IF(Inicial!J120="SI",Inicial!I120,"N/A")</f>
        <v>N/A</v>
      </c>
      <c r="P120" s="6" t="str">
        <f t="shared" si="4"/>
        <v>Aceptable</v>
      </c>
      <c r="Q120" s="6"/>
      <c r="R120" s="6"/>
      <c r="S120" s="6"/>
      <c r="T120" s="6"/>
      <c r="U120" s="6"/>
      <c r="V120" s="6"/>
      <c r="W120" s="6" t="str">
        <f t="shared" si="5"/>
        <v>Critico</v>
      </c>
    </row>
    <row r="121" spans="1:23">
      <c r="A121" s="52">
        <f>Inicial!A121</f>
        <v>0</v>
      </c>
      <c r="B121" s="53">
        <f>Inicial!B121</f>
        <v>0</v>
      </c>
      <c r="C121" s="53">
        <f>Inicial!C121</f>
        <v>0</v>
      </c>
      <c r="D121" s="54">
        <f>Inicial!D121</f>
        <v>0</v>
      </c>
      <c r="E121" s="52" t="str">
        <f>IF(Inicial!J121="SI",Inicial!E121,"N/A")</f>
        <v>N/A</v>
      </c>
      <c r="F121" s="53" t="str">
        <f>IF(Inicial!J121="SI",Inicial!F121,"N/A")</f>
        <v>N/A</v>
      </c>
      <c r="G121" s="53" t="str">
        <f>IF(Inicial!J121="SI",Inicial!G121,"N/A")</f>
        <v>N/A</v>
      </c>
      <c r="H121" s="53" t="str">
        <f>IF(Inicial!J121="SI",Inicial!H121,"N/A")</f>
        <v>N/A</v>
      </c>
      <c r="I121" s="55" t="str">
        <f>IF(Inicial!J121="SI",Inicial!I121,"N/A")</f>
        <v>N/A</v>
      </c>
      <c r="P121" s="6" t="str">
        <f t="shared" si="4"/>
        <v>Aceptable</v>
      </c>
      <c r="Q121" s="6"/>
      <c r="R121" s="6"/>
      <c r="S121" s="6"/>
      <c r="T121" s="6"/>
      <c r="U121" s="6"/>
      <c r="V121" s="6"/>
      <c r="W121" s="6" t="str">
        <f t="shared" si="5"/>
        <v>Critico</v>
      </c>
    </row>
    <row r="122" spans="1:23">
      <c r="A122" s="52">
        <f>Inicial!A122</f>
        <v>0</v>
      </c>
      <c r="B122" s="53">
        <f>Inicial!B122</f>
        <v>0</v>
      </c>
      <c r="C122" s="53">
        <f>Inicial!C122</f>
        <v>0</v>
      </c>
      <c r="D122" s="54">
        <f>Inicial!D122</f>
        <v>0</v>
      </c>
      <c r="E122" s="52" t="str">
        <f>IF(Inicial!J122="SI",Inicial!E122,"N/A")</f>
        <v>N/A</v>
      </c>
      <c r="F122" s="53" t="str">
        <f>IF(Inicial!J122="SI",Inicial!F122,"N/A")</f>
        <v>N/A</v>
      </c>
      <c r="G122" s="53" t="str">
        <f>IF(Inicial!J122="SI",Inicial!G122,"N/A")</f>
        <v>N/A</v>
      </c>
      <c r="H122" s="53" t="str">
        <f>IF(Inicial!J122="SI",Inicial!H122,"N/A")</f>
        <v>N/A</v>
      </c>
      <c r="I122" s="55" t="str">
        <f>IF(Inicial!J122="SI",Inicial!I122,"N/A")</f>
        <v>N/A</v>
      </c>
      <c r="P122" s="6" t="str">
        <f t="shared" si="4"/>
        <v>Aceptable</v>
      </c>
      <c r="Q122" s="6"/>
      <c r="R122" s="6"/>
      <c r="S122" s="6"/>
      <c r="T122" s="6"/>
      <c r="U122" s="6"/>
      <c r="V122" s="6"/>
      <c r="W122" s="6" t="str">
        <f t="shared" si="5"/>
        <v>Critico</v>
      </c>
    </row>
    <row r="123" spans="1:23">
      <c r="A123" s="52">
        <f>Inicial!A123</f>
        <v>0</v>
      </c>
      <c r="B123" s="53">
        <f>Inicial!B123</f>
        <v>0</v>
      </c>
      <c r="C123" s="53">
        <f>Inicial!C123</f>
        <v>0</v>
      </c>
      <c r="D123" s="54">
        <f>Inicial!D123</f>
        <v>0</v>
      </c>
      <c r="E123" s="52" t="str">
        <f>IF(Inicial!J123="SI",Inicial!E123,"N/A")</f>
        <v>N/A</v>
      </c>
      <c r="F123" s="53" t="str">
        <f>IF(Inicial!J123="SI",Inicial!F123,"N/A")</f>
        <v>N/A</v>
      </c>
      <c r="G123" s="53" t="str">
        <f>IF(Inicial!J123="SI",Inicial!G123,"N/A")</f>
        <v>N/A</v>
      </c>
      <c r="H123" s="53" t="str">
        <f>IF(Inicial!J123="SI",Inicial!H123,"N/A")</f>
        <v>N/A</v>
      </c>
      <c r="I123" s="55" t="str">
        <f>IF(Inicial!J123="SI",Inicial!I123,"N/A")</f>
        <v>N/A</v>
      </c>
      <c r="P123" s="6" t="str">
        <f t="shared" si="4"/>
        <v>Aceptable</v>
      </c>
      <c r="Q123" s="6"/>
      <c r="R123" s="6"/>
      <c r="S123" s="6"/>
      <c r="T123" s="6"/>
      <c r="U123" s="6"/>
      <c r="V123" s="6"/>
      <c r="W123" s="6" t="str">
        <f t="shared" si="5"/>
        <v>Critico</v>
      </c>
    </row>
    <row r="124" spans="1:23">
      <c r="A124" s="52">
        <f>Inicial!A124</f>
        <v>0</v>
      </c>
      <c r="B124" s="53">
        <f>Inicial!B124</f>
        <v>0</v>
      </c>
      <c r="C124" s="53">
        <f>Inicial!C124</f>
        <v>0</v>
      </c>
      <c r="D124" s="54">
        <f>Inicial!D124</f>
        <v>0</v>
      </c>
      <c r="E124" s="52" t="str">
        <f>IF(Inicial!J124="SI",Inicial!E124,"N/A")</f>
        <v>N/A</v>
      </c>
      <c r="F124" s="53" t="str">
        <f>IF(Inicial!J124="SI",Inicial!F124,"N/A")</f>
        <v>N/A</v>
      </c>
      <c r="G124" s="53" t="str">
        <f>IF(Inicial!J124="SI",Inicial!G124,"N/A")</f>
        <v>N/A</v>
      </c>
      <c r="H124" s="53" t="str">
        <f>IF(Inicial!J124="SI",Inicial!H124,"N/A")</f>
        <v>N/A</v>
      </c>
      <c r="I124" s="55" t="str">
        <f>IF(Inicial!J124="SI",Inicial!I124,"N/A")</f>
        <v>N/A</v>
      </c>
      <c r="P124" s="6" t="str">
        <f t="shared" si="4"/>
        <v>Aceptable</v>
      </c>
      <c r="Q124" s="6"/>
      <c r="R124" s="6"/>
      <c r="S124" s="6"/>
      <c r="T124" s="6"/>
      <c r="U124" s="6"/>
      <c r="V124" s="6"/>
      <c r="W124" s="6" t="str">
        <f t="shared" si="5"/>
        <v>Critico</v>
      </c>
    </row>
    <row r="125" spans="1:23">
      <c r="A125" s="52">
        <f>Inicial!A125</f>
        <v>0</v>
      </c>
      <c r="B125" s="53">
        <f>Inicial!B125</f>
        <v>0</v>
      </c>
      <c r="C125" s="53">
        <f>Inicial!C125</f>
        <v>0</v>
      </c>
      <c r="D125" s="54">
        <f>Inicial!D125</f>
        <v>0</v>
      </c>
      <c r="E125" s="52" t="str">
        <f>IF(Inicial!J125="SI",Inicial!E125,"N/A")</f>
        <v>N/A</v>
      </c>
      <c r="F125" s="53" t="str">
        <f>IF(Inicial!J125="SI",Inicial!F125,"N/A")</f>
        <v>N/A</v>
      </c>
      <c r="G125" s="53" t="str">
        <f>IF(Inicial!J125="SI",Inicial!G125,"N/A")</f>
        <v>N/A</v>
      </c>
      <c r="H125" s="53" t="str">
        <f>IF(Inicial!J125="SI",Inicial!H125,"N/A")</f>
        <v>N/A</v>
      </c>
      <c r="I125" s="55" t="str">
        <f>IF(Inicial!J125="SI",Inicial!I125,"N/A")</f>
        <v>N/A</v>
      </c>
      <c r="P125" s="6" t="str">
        <f t="shared" si="4"/>
        <v>Aceptable</v>
      </c>
      <c r="Q125" s="6"/>
      <c r="R125" s="6"/>
      <c r="S125" s="6"/>
      <c r="T125" s="6"/>
      <c r="U125" s="6"/>
      <c r="V125" s="6"/>
      <c r="W125" s="6" t="str">
        <f t="shared" si="5"/>
        <v>Critico</v>
      </c>
    </row>
    <row r="126" spans="1:23">
      <c r="A126" s="52">
        <f>Inicial!A126</f>
        <v>0</v>
      </c>
      <c r="B126" s="53">
        <f>Inicial!B126</f>
        <v>0</v>
      </c>
      <c r="C126" s="53">
        <f>Inicial!C126</f>
        <v>0</v>
      </c>
      <c r="D126" s="54">
        <f>Inicial!D126</f>
        <v>0</v>
      </c>
      <c r="E126" s="52" t="str">
        <f>IF(Inicial!J126="SI",Inicial!E126,"N/A")</f>
        <v>N/A</v>
      </c>
      <c r="F126" s="53" t="str">
        <f>IF(Inicial!J126="SI",Inicial!F126,"N/A")</f>
        <v>N/A</v>
      </c>
      <c r="G126" s="53" t="str">
        <f>IF(Inicial!J126="SI",Inicial!G126,"N/A")</f>
        <v>N/A</v>
      </c>
      <c r="H126" s="53" t="str">
        <f>IF(Inicial!J126="SI",Inicial!H126,"N/A")</f>
        <v>N/A</v>
      </c>
      <c r="I126" s="55" t="str">
        <f>IF(Inicial!J126="SI",Inicial!I126,"N/A")</f>
        <v>N/A</v>
      </c>
      <c r="P126" s="6" t="str">
        <f t="shared" si="4"/>
        <v>Aceptable</v>
      </c>
      <c r="Q126" s="6"/>
      <c r="R126" s="6"/>
      <c r="S126" s="6"/>
      <c r="T126" s="6"/>
      <c r="U126" s="6"/>
      <c r="V126" s="6"/>
      <c r="W126" s="6" t="str">
        <f t="shared" si="5"/>
        <v>Critico</v>
      </c>
    </row>
    <row r="127" spans="1:23">
      <c r="A127" s="52">
        <f>Inicial!A127</f>
        <v>0</v>
      </c>
      <c r="B127" s="53">
        <f>Inicial!B127</f>
        <v>0</v>
      </c>
      <c r="C127" s="53">
        <f>Inicial!C127</f>
        <v>0</v>
      </c>
      <c r="D127" s="54">
        <f>Inicial!D127</f>
        <v>0</v>
      </c>
      <c r="E127" s="52" t="str">
        <f>IF(Inicial!J127="SI",Inicial!E127,"N/A")</f>
        <v>N/A</v>
      </c>
      <c r="F127" s="53" t="str">
        <f>IF(Inicial!J127="SI",Inicial!F127,"N/A")</f>
        <v>N/A</v>
      </c>
      <c r="G127" s="53" t="str">
        <f>IF(Inicial!J127="SI",Inicial!G127,"N/A")</f>
        <v>N/A</v>
      </c>
      <c r="H127" s="53" t="str">
        <f>IF(Inicial!J127="SI",Inicial!H127,"N/A")</f>
        <v>N/A</v>
      </c>
      <c r="I127" s="55" t="str">
        <f>IF(Inicial!J127="SI",Inicial!I127,"N/A")</f>
        <v>N/A</v>
      </c>
      <c r="P127" s="6" t="str">
        <f t="shared" si="4"/>
        <v>Aceptable</v>
      </c>
      <c r="Q127" s="6"/>
      <c r="R127" s="6"/>
      <c r="S127" s="6"/>
      <c r="T127" s="6"/>
      <c r="U127" s="6"/>
      <c r="V127" s="6"/>
      <c r="W127" s="6" t="str">
        <f t="shared" si="5"/>
        <v>Critico</v>
      </c>
    </row>
    <row r="128" spans="1:23">
      <c r="A128" s="52">
        <f>Inicial!A128</f>
        <v>0</v>
      </c>
      <c r="B128" s="53">
        <f>Inicial!B128</f>
        <v>0</v>
      </c>
      <c r="C128" s="53">
        <f>Inicial!C128</f>
        <v>0</v>
      </c>
      <c r="D128" s="54">
        <f>Inicial!D128</f>
        <v>0</v>
      </c>
      <c r="E128" s="52" t="str">
        <f>IF(Inicial!J128="SI",Inicial!E128,"N/A")</f>
        <v>N/A</v>
      </c>
      <c r="F128" s="53" t="str">
        <f>IF(Inicial!J128="SI",Inicial!F128,"N/A")</f>
        <v>N/A</v>
      </c>
      <c r="G128" s="53" t="str">
        <f>IF(Inicial!J128="SI",Inicial!G128,"N/A")</f>
        <v>N/A</v>
      </c>
      <c r="H128" s="53" t="str">
        <f>IF(Inicial!J128="SI",Inicial!H128,"N/A")</f>
        <v>N/A</v>
      </c>
      <c r="I128" s="55" t="str">
        <f>IF(Inicial!J128="SI",Inicial!I128,"N/A")</f>
        <v>N/A</v>
      </c>
      <c r="P128" s="6" t="str">
        <f t="shared" si="4"/>
        <v>Aceptable</v>
      </c>
      <c r="Q128" s="6"/>
      <c r="R128" s="6"/>
      <c r="S128" s="6"/>
      <c r="T128" s="6"/>
      <c r="U128" s="6"/>
      <c r="V128" s="6"/>
      <c r="W128" s="6" t="str">
        <f t="shared" si="5"/>
        <v>Critico</v>
      </c>
    </row>
    <row r="129" spans="1:23">
      <c r="A129" s="52">
        <f>Inicial!A129</f>
        <v>0</v>
      </c>
      <c r="B129" s="53">
        <f>Inicial!B129</f>
        <v>0</v>
      </c>
      <c r="C129" s="53">
        <f>Inicial!C129</f>
        <v>0</v>
      </c>
      <c r="D129" s="54">
        <f>Inicial!D129</f>
        <v>0</v>
      </c>
      <c r="E129" s="52" t="str">
        <f>IF(Inicial!J129="SI",Inicial!E129,"N/A")</f>
        <v>N/A</v>
      </c>
      <c r="F129" s="53" t="str">
        <f>IF(Inicial!J129="SI",Inicial!F129,"N/A")</f>
        <v>N/A</v>
      </c>
      <c r="G129" s="53" t="str">
        <f>IF(Inicial!J129="SI",Inicial!G129,"N/A")</f>
        <v>N/A</v>
      </c>
      <c r="H129" s="53" t="str">
        <f>IF(Inicial!J129="SI",Inicial!H129,"N/A")</f>
        <v>N/A</v>
      </c>
      <c r="I129" s="55" t="str">
        <f>IF(Inicial!J129="SI",Inicial!I129,"N/A")</f>
        <v>N/A</v>
      </c>
      <c r="P129" s="6" t="str">
        <f t="shared" si="4"/>
        <v>Aceptable</v>
      </c>
      <c r="Q129" s="6"/>
      <c r="R129" s="6"/>
      <c r="S129" s="6"/>
      <c r="T129" s="6"/>
      <c r="U129" s="6"/>
      <c r="V129" s="6"/>
      <c r="W129" s="6" t="str">
        <f t="shared" si="5"/>
        <v>Critico</v>
      </c>
    </row>
    <row r="130" spans="1:23">
      <c r="A130" s="52">
        <f>Inicial!A130</f>
        <v>0</v>
      </c>
      <c r="B130" s="53">
        <f>Inicial!B130</f>
        <v>0</v>
      </c>
      <c r="C130" s="53">
        <f>Inicial!C130</f>
        <v>0</v>
      </c>
      <c r="D130" s="54">
        <f>Inicial!D130</f>
        <v>0</v>
      </c>
      <c r="E130" s="52" t="str">
        <f>IF(Inicial!J130="SI",Inicial!E130,"N/A")</f>
        <v>N/A</v>
      </c>
      <c r="F130" s="53" t="str">
        <f>IF(Inicial!J130="SI",Inicial!F130,"N/A")</f>
        <v>N/A</v>
      </c>
      <c r="G130" s="53" t="str">
        <f>IF(Inicial!J130="SI",Inicial!G130,"N/A")</f>
        <v>N/A</v>
      </c>
      <c r="H130" s="53" t="str">
        <f>IF(Inicial!J130="SI",Inicial!H130,"N/A")</f>
        <v>N/A</v>
      </c>
      <c r="I130" s="55" t="str">
        <f>IF(Inicial!J130="SI",Inicial!I130,"N/A")</f>
        <v>N/A</v>
      </c>
      <c r="P130" s="6" t="str">
        <f t="shared" ref="P130:P193" si="6">IF(OR(J130="NO",K130="NO",L130="NO",M130="NO",N130="NO",O130="NO"),"No Aceptable","Aceptable")</f>
        <v>Aceptable</v>
      </c>
      <c r="Q130" s="6"/>
      <c r="R130" s="6"/>
      <c r="S130" s="6"/>
      <c r="T130" s="6"/>
      <c r="U130" s="6"/>
      <c r="V130" s="6"/>
      <c r="W130" s="6" t="str">
        <f t="shared" ref="W130:W193" si="7">IF(AND(Q130="NO",R130="NO",S130="NO",T130="NO",U130="NO",V130="NO"),"No Critico","Critico")</f>
        <v>Critico</v>
      </c>
    </row>
    <row r="131" spans="1:23">
      <c r="A131" s="52">
        <f>Inicial!A131</f>
        <v>0</v>
      </c>
      <c r="B131" s="53">
        <f>Inicial!B131</f>
        <v>0</v>
      </c>
      <c r="C131" s="53">
        <f>Inicial!C131</f>
        <v>0</v>
      </c>
      <c r="D131" s="54">
        <f>Inicial!D131</f>
        <v>0</v>
      </c>
      <c r="E131" s="52" t="str">
        <f>IF(Inicial!J131="SI",Inicial!E131,"N/A")</f>
        <v>N/A</v>
      </c>
      <c r="F131" s="53" t="str">
        <f>IF(Inicial!J131="SI",Inicial!F131,"N/A")</f>
        <v>N/A</v>
      </c>
      <c r="G131" s="53" t="str">
        <f>IF(Inicial!J131="SI",Inicial!G131,"N/A")</f>
        <v>N/A</v>
      </c>
      <c r="H131" s="53" t="str">
        <f>IF(Inicial!J131="SI",Inicial!H131,"N/A")</f>
        <v>N/A</v>
      </c>
      <c r="I131" s="55" t="str">
        <f>IF(Inicial!J131="SI",Inicial!I131,"N/A")</f>
        <v>N/A</v>
      </c>
      <c r="P131" s="6" t="str">
        <f t="shared" si="6"/>
        <v>Aceptable</v>
      </c>
      <c r="Q131" s="6"/>
      <c r="R131" s="6"/>
      <c r="S131" s="6"/>
      <c r="T131" s="6"/>
      <c r="U131" s="6"/>
      <c r="V131" s="6"/>
      <c r="W131" s="6" t="str">
        <f t="shared" si="7"/>
        <v>Critico</v>
      </c>
    </row>
    <row r="132" spans="1:23">
      <c r="A132" s="52">
        <f>Inicial!A132</f>
        <v>0</v>
      </c>
      <c r="B132" s="53">
        <f>Inicial!B132</f>
        <v>0</v>
      </c>
      <c r="C132" s="53">
        <f>Inicial!C132</f>
        <v>0</v>
      </c>
      <c r="D132" s="54">
        <f>Inicial!D132</f>
        <v>0</v>
      </c>
      <c r="E132" s="52" t="str">
        <f>IF(Inicial!J132="SI",Inicial!E132,"N/A")</f>
        <v>N/A</v>
      </c>
      <c r="F132" s="53" t="str">
        <f>IF(Inicial!J132="SI",Inicial!F132,"N/A")</f>
        <v>N/A</v>
      </c>
      <c r="G132" s="53" t="str">
        <f>IF(Inicial!J132="SI",Inicial!G132,"N/A")</f>
        <v>N/A</v>
      </c>
      <c r="H132" s="53" t="str">
        <f>IF(Inicial!J132="SI",Inicial!H132,"N/A")</f>
        <v>N/A</v>
      </c>
      <c r="I132" s="55" t="str">
        <f>IF(Inicial!J132="SI",Inicial!I132,"N/A")</f>
        <v>N/A</v>
      </c>
      <c r="P132" s="6" t="str">
        <f t="shared" si="6"/>
        <v>Aceptable</v>
      </c>
      <c r="Q132" s="6"/>
      <c r="R132" s="6"/>
      <c r="S132" s="6"/>
      <c r="T132" s="6"/>
      <c r="U132" s="6"/>
      <c r="V132" s="6"/>
      <c r="W132" s="6" t="str">
        <f t="shared" si="7"/>
        <v>Critico</v>
      </c>
    </row>
    <row r="133" spans="1:23">
      <c r="A133" s="52">
        <f>Inicial!A133</f>
        <v>0</v>
      </c>
      <c r="B133" s="53">
        <f>Inicial!B133</f>
        <v>0</v>
      </c>
      <c r="C133" s="53">
        <f>Inicial!C133</f>
        <v>0</v>
      </c>
      <c r="D133" s="54">
        <f>Inicial!D133</f>
        <v>0</v>
      </c>
      <c r="E133" s="52" t="str">
        <f>IF(Inicial!J133="SI",Inicial!E133,"N/A")</f>
        <v>N/A</v>
      </c>
      <c r="F133" s="53" t="str">
        <f>IF(Inicial!J133="SI",Inicial!F133,"N/A")</f>
        <v>N/A</v>
      </c>
      <c r="G133" s="53" t="str">
        <f>IF(Inicial!J133="SI",Inicial!G133,"N/A")</f>
        <v>N/A</v>
      </c>
      <c r="H133" s="53" t="str">
        <f>IF(Inicial!J133="SI",Inicial!H133,"N/A")</f>
        <v>N/A</v>
      </c>
      <c r="I133" s="55" t="str">
        <f>IF(Inicial!J133="SI",Inicial!I133,"N/A")</f>
        <v>N/A</v>
      </c>
      <c r="P133" s="6" t="str">
        <f t="shared" si="6"/>
        <v>Aceptable</v>
      </c>
      <c r="Q133" s="6"/>
      <c r="R133" s="6"/>
      <c r="S133" s="6"/>
      <c r="T133" s="6"/>
      <c r="U133" s="6"/>
      <c r="V133" s="6"/>
      <c r="W133" s="6" t="str">
        <f t="shared" si="7"/>
        <v>Critico</v>
      </c>
    </row>
    <row r="134" spans="1:23">
      <c r="A134" s="52">
        <f>Inicial!A134</f>
        <v>0</v>
      </c>
      <c r="B134" s="53">
        <f>Inicial!B134</f>
        <v>0</v>
      </c>
      <c r="C134" s="53">
        <f>Inicial!C134</f>
        <v>0</v>
      </c>
      <c r="D134" s="54">
        <f>Inicial!D134</f>
        <v>0</v>
      </c>
      <c r="E134" s="52" t="str">
        <f>IF(Inicial!J134="SI",Inicial!E134,"N/A")</f>
        <v>N/A</v>
      </c>
      <c r="F134" s="53" t="str">
        <f>IF(Inicial!J134="SI",Inicial!F134,"N/A")</f>
        <v>N/A</v>
      </c>
      <c r="G134" s="53" t="str">
        <f>IF(Inicial!J134="SI",Inicial!G134,"N/A")</f>
        <v>N/A</v>
      </c>
      <c r="H134" s="53" t="str">
        <f>IF(Inicial!J134="SI",Inicial!H134,"N/A")</f>
        <v>N/A</v>
      </c>
      <c r="I134" s="55" t="str">
        <f>IF(Inicial!J134="SI",Inicial!I134,"N/A")</f>
        <v>N/A</v>
      </c>
      <c r="P134" s="6" t="str">
        <f t="shared" si="6"/>
        <v>Aceptable</v>
      </c>
      <c r="Q134" s="6"/>
      <c r="R134" s="6"/>
      <c r="S134" s="6"/>
      <c r="T134" s="6"/>
      <c r="U134" s="6"/>
      <c r="V134" s="6"/>
      <c r="W134" s="6" t="str">
        <f t="shared" si="7"/>
        <v>Critico</v>
      </c>
    </row>
    <row r="135" spans="1:23">
      <c r="A135" s="52">
        <f>Inicial!A135</f>
        <v>0</v>
      </c>
      <c r="B135" s="53">
        <f>Inicial!B135</f>
        <v>0</v>
      </c>
      <c r="C135" s="53">
        <f>Inicial!C135</f>
        <v>0</v>
      </c>
      <c r="D135" s="54">
        <f>Inicial!D135</f>
        <v>0</v>
      </c>
      <c r="E135" s="52" t="str">
        <f>IF(Inicial!J135="SI",Inicial!E135,"N/A")</f>
        <v>N/A</v>
      </c>
      <c r="F135" s="53" t="str">
        <f>IF(Inicial!J135="SI",Inicial!F135,"N/A")</f>
        <v>N/A</v>
      </c>
      <c r="G135" s="53" t="str">
        <f>IF(Inicial!J135="SI",Inicial!G135,"N/A")</f>
        <v>N/A</v>
      </c>
      <c r="H135" s="53" t="str">
        <f>IF(Inicial!J135="SI",Inicial!H135,"N/A")</f>
        <v>N/A</v>
      </c>
      <c r="I135" s="55" t="str">
        <f>IF(Inicial!J135="SI",Inicial!I135,"N/A")</f>
        <v>N/A</v>
      </c>
      <c r="P135" s="6" t="str">
        <f t="shared" si="6"/>
        <v>Aceptable</v>
      </c>
      <c r="Q135" s="6"/>
      <c r="R135" s="6"/>
      <c r="S135" s="6"/>
      <c r="T135" s="6"/>
      <c r="U135" s="6"/>
      <c r="V135" s="6"/>
      <c r="W135" s="6" t="str">
        <f t="shared" si="7"/>
        <v>Critico</v>
      </c>
    </row>
    <row r="136" spans="1:23">
      <c r="A136" s="52">
        <f>Inicial!A136</f>
        <v>0</v>
      </c>
      <c r="B136" s="53">
        <f>Inicial!B136</f>
        <v>0</v>
      </c>
      <c r="C136" s="53">
        <f>Inicial!C136</f>
        <v>0</v>
      </c>
      <c r="D136" s="54">
        <f>Inicial!D136</f>
        <v>0</v>
      </c>
      <c r="E136" s="52" t="str">
        <f>IF(Inicial!J136="SI",Inicial!E136,"N/A")</f>
        <v>N/A</v>
      </c>
      <c r="F136" s="53" t="str">
        <f>IF(Inicial!J136="SI",Inicial!F136,"N/A")</f>
        <v>N/A</v>
      </c>
      <c r="G136" s="53" t="str">
        <f>IF(Inicial!J136="SI",Inicial!G136,"N/A")</f>
        <v>N/A</v>
      </c>
      <c r="H136" s="53" t="str">
        <f>IF(Inicial!J136="SI",Inicial!H136,"N/A")</f>
        <v>N/A</v>
      </c>
      <c r="I136" s="55" t="str">
        <f>IF(Inicial!J136="SI",Inicial!I136,"N/A")</f>
        <v>N/A</v>
      </c>
      <c r="P136" s="6" t="str">
        <f t="shared" si="6"/>
        <v>Aceptable</v>
      </c>
      <c r="Q136" s="6"/>
      <c r="R136" s="6"/>
      <c r="S136" s="6"/>
      <c r="T136" s="6"/>
      <c r="U136" s="6"/>
      <c r="V136" s="6"/>
      <c r="W136" s="6" t="str">
        <f t="shared" si="7"/>
        <v>Critico</v>
      </c>
    </row>
    <row r="137" spans="1:23">
      <c r="A137" s="52">
        <f>Inicial!A137</f>
        <v>0</v>
      </c>
      <c r="B137" s="53">
        <f>Inicial!B137</f>
        <v>0</v>
      </c>
      <c r="C137" s="53">
        <f>Inicial!C137</f>
        <v>0</v>
      </c>
      <c r="D137" s="54">
        <f>Inicial!D137</f>
        <v>0</v>
      </c>
      <c r="E137" s="52" t="str">
        <f>IF(Inicial!J137="SI",Inicial!E137,"N/A")</f>
        <v>N/A</v>
      </c>
      <c r="F137" s="53" t="str">
        <f>IF(Inicial!J137="SI",Inicial!F137,"N/A")</f>
        <v>N/A</v>
      </c>
      <c r="G137" s="53" t="str">
        <f>IF(Inicial!J137="SI",Inicial!G137,"N/A")</f>
        <v>N/A</v>
      </c>
      <c r="H137" s="53" t="str">
        <f>IF(Inicial!J137="SI",Inicial!H137,"N/A")</f>
        <v>N/A</v>
      </c>
      <c r="I137" s="55" t="str">
        <f>IF(Inicial!J137="SI",Inicial!I137,"N/A")</f>
        <v>N/A</v>
      </c>
      <c r="P137" s="6" t="str">
        <f t="shared" si="6"/>
        <v>Aceptable</v>
      </c>
      <c r="Q137" s="6"/>
      <c r="R137" s="6"/>
      <c r="S137" s="6"/>
      <c r="T137" s="6"/>
      <c r="U137" s="6"/>
      <c r="V137" s="6"/>
      <c r="W137" s="6" t="str">
        <f t="shared" si="7"/>
        <v>Critico</v>
      </c>
    </row>
    <row r="138" spans="1:23">
      <c r="A138" s="52">
        <f>Inicial!A138</f>
        <v>0</v>
      </c>
      <c r="B138" s="53">
        <f>Inicial!B138</f>
        <v>0</v>
      </c>
      <c r="C138" s="53">
        <f>Inicial!C138</f>
        <v>0</v>
      </c>
      <c r="D138" s="54">
        <f>Inicial!D138</f>
        <v>0</v>
      </c>
      <c r="E138" s="52" t="str">
        <f>IF(Inicial!J138="SI",Inicial!E138,"N/A")</f>
        <v>N/A</v>
      </c>
      <c r="F138" s="53" t="str">
        <f>IF(Inicial!J138="SI",Inicial!F138,"N/A")</f>
        <v>N/A</v>
      </c>
      <c r="G138" s="53" t="str">
        <f>IF(Inicial!J138="SI",Inicial!G138,"N/A")</f>
        <v>N/A</v>
      </c>
      <c r="H138" s="53" t="str">
        <f>IF(Inicial!J138="SI",Inicial!H138,"N/A")</f>
        <v>N/A</v>
      </c>
      <c r="I138" s="55" t="str">
        <f>IF(Inicial!J138="SI",Inicial!I138,"N/A")</f>
        <v>N/A</v>
      </c>
      <c r="P138" s="6" t="str">
        <f t="shared" si="6"/>
        <v>Aceptable</v>
      </c>
      <c r="Q138" s="6"/>
      <c r="R138" s="6"/>
      <c r="S138" s="6"/>
      <c r="T138" s="6"/>
      <c r="U138" s="6"/>
      <c r="V138" s="6"/>
      <c r="W138" s="6" t="str">
        <f t="shared" si="7"/>
        <v>Critico</v>
      </c>
    </row>
    <row r="139" spans="1:23">
      <c r="A139" s="52">
        <f>Inicial!A139</f>
        <v>0</v>
      </c>
      <c r="B139" s="53">
        <f>Inicial!B139</f>
        <v>0</v>
      </c>
      <c r="C139" s="53">
        <f>Inicial!C139</f>
        <v>0</v>
      </c>
      <c r="D139" s="54">
        <f>Inicial!D139</f>
        <v>0</v>
      </c>
      <c r="E139" s="52" t="str">
        <f>IF(Inicial!J139="SI",Inicial!E139,"N/A")</f>
        <v>N/A</v>
      </c>
      <c r="F139" s="53" t="str">
        <f>IF(Inicial!J139="SI",Inicial!F139,"N/A")</f>
        <v>N/A</v>
      </c>
      <c r="G139" s="53" t="str">
        <f>IF(Inicial!J139="SI",Inicial!G139,"N/A")</f>
        <v>N/A</v>
      </c>
      <c r="H139" s="53" t="str">
        <f>IF(Inicial!J139="SI",Inicial!H139,"N/A")</f>
        <v>N/A</v>
      </c>
      <c r="I139" s="55" t="str">
        <f>IF(Inicial!J139="SI",Inicial!I139,"N/A")</f>
        <v>N/A</v>
      </c>
      <c r="P139" s="6" t="str">
        <f t="shared" si="6"/>
        <v>Aceptable</v>
      </c>
      <c r="Q139" s="6"/>
      <c r="R139" s="6"/>
      <c r="S139" s="6"/>
      <c r="T139" s="6"/>
      <c r="U139" s="6"/>
      <c r="V139" s="6"/>
      <c r="W139" s="6" t="str">
        <f t="shared" si="7"/>
        <v>Critico</v>
      </c>
    </row>
    <row r="140" spans="1:23">
      <c r="A140" s="52">
        <f>Inicial!A140</f>
        <v>0</v>
      </c>
      <c r="B140" s="53">
        <f>Inicial!B140</f>
        <v>0</v>
      </c>
      <c r="C140" s="53">
        <f>Inicial!C140</f>
        <v>0</v>
      </c>
      <c r="D140" s="54">
        <f>Inicial!D140</f>
        <v>0</v>
      </c>
      <c r="E140" s="52" t="str">
        <f>IF(Inicial!J140="SI",Inicial!E140,"N/A")</f>
        <v>N/A</v>
      </c>
      <c r="F140" s="53" t="str">
        <f>IF(Inicial!J140="SI",Inicial!F140,"N/A")</f>
        <v>N/A</v>
      </c>
      <c r="G140" s="53" t="str">
        <f>IF(Inicial!J140="SI",Inicial!G140,"N/A")</f>
        <v>N/A</v>
      </c>
      <c r="H140" s="53" t="str">
        <f>IF(Inicial!J140="SI",Inicial!H140,"N/A")</f>
        <v>N/A</v>
      </c>
      <c r="I140" s="55" t="str">
        <f>IF(Inicial!J140="SI",Inicial!I140,"N/A")</f>
        <v>N/A</v>
      </c>
      <c r="P140" s="6" t="str">
        <f t="shared" si="6"/>
        <v>Aceptable</v>
      </c>
      <c r="Q140" s="6"/>
      <c r="R140" s="6"/>
      <c r="S140" s="6"/>
      <c r="T140" s="6"/>
      <c r="U140" s="6"/>
      <c r="V140" s="6"/>
      <c r="W140" s="6" t="str">
        <f t="shared" si="7"/>
        <v>Critico</v>
      </c>
    </row>
    <row r="141" spans="1:23">
      <c r="A141" s="52">
        <f>Inicial!A141</f>
        <v>0</v>
      </c>
      <c r="B141" s="53">
        <f>Inicial!B141</f>
        <v>0</v>
      </c>
      <c r="C141" s="53">
        <f>Inicial!C141</f>
        <v>0</v>
      </c>
      <c r="D141" s="54">
        <f>Inicial!D141</f>
        <v>0</v>
      </c>
      <c r="E141" s="52" t="str">
        <f>IF(Inicial!J141="SI",Inicial!E141,"N/A")</f>
        <v>N/A</v>
      </c>
      <c r="F141" s="53" t="str">
        <f>IF(Inicial!J141="SI",Inicial!F141,"N/A")</f>
        <v>N/A</v>
      </c>
      <c r="G141" s="53" t="str">
        <f>IF(Inicial!J141="SI",Inicial!G141,"N/A")</f>
        <v>N/A</v>
      </c>
      <c r="H141" s="53" t="str">
        <f>IF(Inicial!J141="SI",Inicial!H141,"N/A")</f>
        <v>N/A</v>
      </c>
      <c r="I141" s="55" t="str">
        <f>IF(Inicial!J141="SI",Inicial!I141,"N/A")</f>
        <v>N/A</v>
      </c>
      <c r="P141" s="6" t="str">
        <f t="shared" si="6"/>
        <v>Aceptable</v>
      </c>
      <c r="Q141" s="6"/>
      <c r="R141" s="6"/>
      <c r="S141" s="6"/>
      <c r="T141" s="6"/>
      <c r="U141" s="6"/>
      <c r="V141" s="6"/>
      <c r="W141" s="6" t="str">
        <f t="shared" si="7"/>
        <v>Critico</v>
      </c>
    </row>
    <row r="142" spans="1:23">
      <c r="A142" s="52">
        <f>Inicial!A142</f>
        <v>0</v>
      </c>
      <c r="B142" s="53">
        <f>Inicial!B142</f>
        <v>0</v>
      </c>
      <c r="C142" s="53">
        <f>Inicial!C142</f>
        <v>0</v>
      </c>
      <c r="D142" s="54">
        <f>Inicial!D142</f>
        <v>0</v>
      </c>
      <c r="E142" s="52" t="str">
        <f>IF(Inicial!J142="SI",Inicial!E142,"N/A")</f>
        <v>N/A</v>
      </c>
      <c r="F142" s="53" t="str">
        <f>IF(Inicial!J142="SI",Inicial!F142,"N/A")</f>
        <v>N/A</v>
      </c>
      <c r="G142" s="53" t="str">
        <f>IF(Inicial!J142="SI",Inicial!G142,"N/A")</f>
        <v>N/A</v>
      </c>
      <c r="H142" s="53" t="str">
        <f>IF(Inicial!J142="SI",Inicial!H142,"N/A")</f>
        <v>N/A</v>
      </c>
      <c r="I142" s="55" t="str">
        <f>IF(Inicial!J142="SI",Inicial!I142,"N/A")</f>
        <v>N/A</v>
      </c>
      <c r="P142" s="6" t="str">
        <f t="shared" si="6"/>
        <v>Aceptable</v>
      </c>
      <c r="Q142" s="6"/>
      <c r="R142" s="6"/>
      <c r="S142" s="6"/>
      <c r="T142" s="6"/>
      <c r="U142" s="6"/>
      <c r="V142" s="6"/>
      <c r="W142" s="6" t="str">
        <f t="shared" si="7"/>
        <v>Critico</v>
      </c>
    </row>
    <row r="143" spans="1:23">
      <c r="A143" s="52">
        <f>Inicial!A143</f>
        <v>0</v>
      </c>
      <c r="B143" s="53">
        <f>Inicial!B143</f>
        <v>0</v>
      </c>
      <c r="C143" s="53">
        <f>Inicial!C143</f>
        <v>0</v>
      </c>
      <c r="D143" s="54">
        <f>Inicial!D143</f>
        <v>0</v>
      </c>
      <c r="E143" s="52" t="str">
        <f>IF(Inicial!J143="SI",Inicial!E143,"N/A")</f>
        <v>N/A</v>
      </c>
      <c r="F143" s="53" t="str">
        <f>IF(Inicial!J143="SI",Inicial!F143,"N/A")</f>
        <v>N/A</v>
      </c>
      <c r="G143" s="53" t="str">
        <f>IF(Inicial!J143="SI",Inicial!G143,"N/A")</f>
        <v>N/A</v>
      </c>
      <c r="H143" s="53" t="str">
        <f>IF(Inicial!J143="SI",Inicial!H143,"N/A")</f>
        <v>N/A</v>
      </c>
      <c r="I143" s="55" t="str">
        <f>IF(Inicial!J143="SI",Inicial!I143,"N/A")</f>
        <v>N/A</v>
      </c>
      <c r="P143" s="6" t="str">
        <f t="shared" si="6"/>
        <v>Aceptable</v>
      </c>
      <c r="Q143" s="6"/>
      <c r="R143" s="6"/>
      <c r="S143" s="6"/>
      <c r="T143" s="6"/>
      <c r="U143" s="6"/>
      <c r="V143" s="6"/>
      <c r="W143" s="6" t="str">
        <f t="shared" si="7"/>
        <v>Critico</v>
      </c>
    </row>
    <row r="144" spans="1:23">
      <c r="A144" s="52">
        <f>Inicial!A144</f>
        <v>0</v>
      </c>
      <c r="B144" s="53">
        <f>Inicial!B144</f>
        <v>0</v>
      </c>
      <c r="C144" s="53">
        <f>Inicial!C144</f>
        <v>0</v>
      </c>
      <c r="D144" s="54">
        <f>Inicial!D144</f>
        <v>0</v>
      </c>
      <c r="E144" s="52" t="str">
        <f>IF(Inicial!J144="SI",Inicial!E144,"N/A")</f>
        <v>N/A</v>
      </c>
      <c r="F144" s="53" t="str">
        <f>IF(Inicial!J144="SI",Inicial!F144,"N/A")</f>
        <v>N/A</v>
      </c>
      <c r="G144" s="53" t="str">
        <f>IF(Inicial!J144="SI",Inicial!G144,"N/A")</f>
        <v>N/A</v>
      </c>
      <c r="H144" s="53" t="str">
        <f>IF(Inicial!J144="SI",Inicial!H144,"N/A")</f>
        <v>N/A</v>
      </c>
      <c r="I144" s="55" t="str">
        <f>IF(Inicial!J144="SI",Inicial!I144,"N/A")</f>
        <v>N/A</v>
      </c>
      <c r="P144" s="6" t="str">
        <f t="shared" si="6"/>
        <v>Aceptable</v>
      </c>
      <c r="Q144" s="6"/>
      <c r="R144" s="6"/>
      <c r="S144" s="6"/>
      <c r="T144" s="6"/>
      <c r="U144" s="6"/>
      <c r="V144" s="6"/>
      <c r="W144" s="6" t="str">
        <f t="shared" si="7"/>
        <v>Critico</v>
      </c>
    </row>
    <row r="145" spans="1:23">
      <c r="A145" s="52">
        <f>Inicial!A145</f>
        <v>0</v>
      </c>
      <c r="B145" s="53">
        <f>Inicial!B145</f>
        <v>0</v>
      </c>
      <c r="C145" s="53">
        <f>Inicial!C145</f>
        <v>0</v>
      </c>
      <c r="D145" s="54">
        <f>Inicial!D145</f>
        <v>0</v>
      </c>
      <c r="E145" s="52" t="str">
        <f>IF(Inicial!J145="SI",Inicial!E145,"N/A")</f>
        <v>N/A</v>
      </c>
      <c r="F145" s="53" t="str">
        <f>IF(Inicial!J145="SI",Inicial!F145,"N/A")</f>
        <v>N/A</v>
      </c>
      <c r="G145" s="53" t="str">
        <f>IF(Inicial!J145="SI",Inicial!G145,"N/A")</f>
        <v>N/A</v>
      </c>
      <c r="H145" s="53" t="str">
        <f>IF(Inicial!J145="SI",Inicial!H145,"N/A")</f>
        <v>N/A</v>
      </c>
      <c r="I145" s="55" t="str">
        <f>IF(Inicial!J145="SI",Inicial!I145,"N/A")</f>
        <v>N/A</v>
      </c>
      <c r="P145" s="6" t="str">
        <f t="shared" si="6"/>
        <v>Aceptable</v>
      </c>
      <c r="Q145" s="6"/>
      <c r="R145" s="6"/>
      <c r="S145" s="6"/>
      <c r="T145" s="6"/>
      <c r="U145" s="6"/>
      <c r="V145" s="6"/>
      <c r="W145" s="6" t="str">
        <f t="shared" si="7"/>
        <v>Critico</v>
      </c>
    </row>
    <row r="146" spans="1:23">
      <c r="A146" s="52">
        <f>Inicial!A146</f>
        <v>0</v>
      </c>
      <c r="B146" s="53">
        <f>Inicial!B146</f>
        <v>0</v>
      </c>
      <c r="C146" s="53">
        <f>Inicial!C146</f>
        <v>0</v>
      </c>
      <c r="D146" s="54">
        <f>Inicial!D146</f>
        <v>0</v>
      </c>
      <c r="E146" s="52" t="str">
        <f>IF(Inicial!J146="SI",Inicial!E146,"N/A")</f>
        <v>N/A</v>
      </c>
      <c r="F146" s="53" t="str">
        <f>IF(Inicial!J146="SI",Inicial!F146,"N/A")</f>
        <v>N/A</v>
      </c>
      <c r="G146" s="53" t="str">
        <f>IF(Inicial!J146="SI",Inicial!G146,"N/A")</f>
        <v>N/A</v>
      </c>
      <c r="H146" s="53" t="str">
        <f>IF(Inicial!J146="SI",Inicial!H146,"N/A")</f>
        <v>N/A</v>
      </c>
      <c r="I146" s="55" t="str">
        <f>IF(Inicial!J146="SI",Inicial!I146,"N/A")</f>
        <v>N/A</v>
      </c>
      <c r="P146" s="6" t="str">
        <f t="shared" si="6"/>
        <v>Aceptable</v>
      </c>
      <c r="Q146" s="6"/>
      <c r="R146" s="6"/>
      <c r="S146" s="6"/>
      <c r="T146" s="6"/>
      <c r="U146" s="6"/>
      <c r="V146" s="6"/>
      <c r="W146" s="6" t="str">
        <f t="shared" si="7"/>
        <v>Critico</v>
      </c>
    </row>
    <row r="147" spans="1:23">
      <c r="A147" s="52">
        <f>Inicial!A147</f>
        <v>0</v>
      </c>
      <c r="B147" s="53">
        <f>Inicial!B147</f>
        <v>0</v>
      </c>
      <c r="C147" s="53">
        <f>Inicial!C147</f>
        <v>0</v>
      </c>
      <c r="D147" s="54">
        <f>Inicial!D147</f>
        <v>0</v>
      </c>
      <c r="E147" s="52" t="str">
        <f>IF(Inicial!J147="SI",Inicial!E147,"N/A")</f>
        <v>N/A</v>
      </c>
      <c r="F147" s="53" t="str">
        <f>IF(Inicial!J147="SI",Inicial!F147,"N/A")</f>
        <v>N/A</v>
      </c>
      <c r="G147" s="53" t="str">
        <f>IF(Inicial!J147="SI",Inicial!G147,"N/A")</f>
        <v>N/A</v>
      </c>
      <c r="H147" s="53" t="str">
        <f>IF(Inicial!J147="SI",Inicial!H147,"N/A")</f>
        <v>N/A</v>
      </c>
      <c r="I147" s="55" t="str">
        <f>IF(Inicial!J147="SI",Inicial!I147,"N/A")</f>
        <v>N/A</v>
      </c>
      <c r="P147" s="6" t="str">
        <f t="shared" si="6"/>
        <v>Aceptable</v>
      </c>
      <c r="Q147" s="6"/>
      <c r="R147" s="6"/>
      <c r="S147" s="6"/>
      <c r="T147" s="6"/>
      <c r="U147" s="6"/>
      <c r="V147" s="6"/>
      <c r="W147" s="6" t="str">
        <f t="shared" si="7"/>
        <v>Critico</v>
      </c>
    </row>
    <row r="148" spans="1:23">
      <c r="A148" s="52">
        <f>Inicial!A148</f>
        <v>0</v>
      </c>
      <c r="B148" s="53">
        <f>Inicial!B148</f>
        <v>0</v>
      </c>
      <c r="C148" s="53">
        <f>Inicial!C148</f>
        <v>0</v>
      </c>
      <c r="D148" s="54">
        <f>Inicial!D148</f>
        <v>0</v>
      </c>
      <c r="E148" s="52" t="str">
        <f>IF(Inicial!J148="SI",Inicial!E148,"N/A")</f>
        <v>N/A</v>
      </c>
      <c r="F148" s="53" t="str">
        <f>IF(Inicial!J148="SI",Inicial!F148,"N/A")</f>
        <v>N/A</v>
      </c>
      <c r="G148" s="53" t="str">
        <f>IF(Inicial!J148="SI",Inicial!G148,"N/A")</f>
        <v>N/A</v>
      </c>
      <c r="H148" s="53" t="str">
        <f>IF(Inicial!J148="SI",Inicial!H148,"N/A")</f>
        <v>N/A</v>
      </c>
      <c r="I148" s="55" t="str">
        <f>IF(Inicial!J148="SI",Inicial!I148,"N/A")</f>
        <v>N/A</v>
      </c>
      <c r="P148" s="6" t="str">
        <f t="shared" si="6"/>
        <v>Aceptable</v>
      </c>
      <c r="Q148" s="6"/>
      <c r="R148" s="6"/>
      <c r="S148" s="6"/>
      <c r="T148" s="6"/>
      <c r="U148" s="6"/>
      <c r="V148" s="6"/>
      <c r="W148" s="6" t="str">
        <f t="shared" si="7"/>
        <v>Critico</v>
      </c>
    </row>
    <row r="149" spans="1:23">
      <c r="A149" s="52">
        <f>Inicial!A149</f>
        <v>0</v>
      </c>
      <c r="B149" s="53">
        <f>Inicial!B149</f>
        <v>0</v>
      </c>
      <c r="C149" s="53">
        <f>Inicial!C149</f>
        <v>0</v>
      </c>
      <c r="D149" s="54">
        <f>Inicial!D149</f>
        <v>0</v>
      </c>
      <c r="E149" s="52" t="str">
        <f>IF(Inicial!J149="SI",Inicial!E149,"N/A")</f>
        <v>N/A</v>
      </c>
      <c r="F149" s="53" t="str">
        <f>IF(Inicial!J149="SI",Inicial!F149,"N/A")</f>
        <v>N/A</v>
      </c>
      <c r="G149" s="53" t="str">
        <f>IF(Inicial!J149="SI",Inicial!G149,"N/A")</f>
        <v>N/A</v>
      </c>
      <c r="H149" s="53" t="str">
        <f>IF(Inicial!J149="SI",Inicial!H149,"N/A")</f>
        <v>N/A</v>
      </c>
      <c r="I149" s="55" t="str">
        <f>IF(Inicial!J149="SI",Inicial!I149,"N/A")</f>
        <v>N/A</v>
      </c>
      <c r="P149" s="6" t="str">
        <f t="shared" si="6"/>
        <v>Aceptable</v>
      </c>
      <c r="Q149" s="6"/>
      <c r="R149" s="6"/>
      <c r="S149" s="6"/>
      <c r="T149" s="6"/>
      <c r="U149" s="6"/>
      <c r="V149" s="6"/>
      <c r="W149" s="6" t="str">
        <f t="shared" si="7"/>
        <v>Critico</v>
      </c>
    </row>
    <row r="150" spans="1:23">
      <c r="A150" s="52">
        <f>Inicial!A150</f>
        <v>0</v>
      </c>
      <c r="B150" s="53">
        <f>Inicial!B150</f>
        <v>0</v>
      </c>
      <c r="C150" s="53">
        <f>Inicial!C150</f>
        <v>0</v>
      </c>
      <c r="D150" s="54">
        <f>Inicial!D150</f>
        <v>0</v>
      </c>
      <c r="E150" s="52" t="str">
        <f>IF(Inicial!J150="SI",Inicial!E150,"N/A")</f>
        <v>N/A</v>
      </c>
      <c r="F150" s="53" t="str">
        <f>IF(Inicial!J150="SI",Inicial!F150,"N/A")</f>
        <v>N/A</v>
      </c>
      <c r="G150" s="53" t="str">
        <f>IF(Inicial!J150="SI",Inicial!G150,"N/A")</f>
        <v>N/A</v>
      </c>
      <c r="H150" s="53" t="str">
        <f>IF(Inicial!J150="SI",Inicial!H150,"N/A")</f>
        <v>N/A</v>
      </c>
      <c r="I150" s="55" t="str">
        <f>IF(Inicial!J150="SI",Inicial!I150,"N/A")</f>
        <v>N/A</v>
      </c>
      <c r="P150" s="6" t="str">
        <f t="shared" si="6"/>
        <v>Aceptable</v>
      </c>
      <c r="Q150" s="6"/>
      <c r="R150" s="6"/>
      <c r="S150" s="6"/>
      <c r="T150" s="6"/>
      <c r="U150" s="6"/>
      <c r="V150" s="6"/>
      <c r="W150" s="6" t="str">
        <f t="shared" si="7"/>
        <v>Critico</v>
      </c>
    </row>
    <row r="151" spans="1:23">
      <c r="A151" s="52">
        <f>Inicial!A151</f>
        <v>0</v>
      </c>
      <c r="B151" s="53">
        <f>Inicial!B151</f>
        <v>0</v>
      </c>
      <c r="C151" s="53">
        <f>Inicial!C151</f>
        <v>0</v>
      </c>
      <c r="D151" s="54">
        <f>Inicial!D151</f>
        <v>0</v>
      </c>
      <c r="E151" s="52" t="str">
        <f>IF(Inicial!J151="SI",Inicial!E151,"N/A")</f>
        <v>N/A</v>
      </c>
      <c r="F151" s="53" t="str">
        <f>IF(Inicial!J151="SI",Inicial!F151,"N/A")</f>
        <v>N/A</v>
      </c>
      <c r="G151" s="53" t="str">
        <f>IF(Inicial!J151="SI",Inicial!G151,"N/A")</f>
        <v>N/A</v>
      </c>
      <c r="H151" s="53" t="str">
        <f>IF(Inicial!J151="SI",Inicial!H151,"N/A")</f>
        <v>N/A</v>
      </c>
      <c r="I151" s="55" t="str">
        <f>IF(Inicial!J151="SI",Inicial!I151,"N/A")</f>
        <v>N/A</v>
      </c>
      <c r="P151" s="6" t="str">
        <f t="shared" si="6"/>
        <v>Aceptable</v>
      </c>
      <c r="Q151" s="6"/>
      <c r="R151" s="6"/>
      <c r="S151" s="6"/>
      <c r="T151" s="6"/>
      <c r="U151" s="6"/>
      <c r="V151" s="6"/>
      <c r="W151" s="6" t="str">
        <f t="shared" si="7"/>
        <v>Critico</v>
      </c>
    </row>
    <row r="152" spans="1:23">
      <c r="A152" s="52">
        <f>Inicial!A152</f>
        <v>0</v>
      </c>
      <c r="B152" s="53">
        <f>Inicial!B152</f>
        <v>0</v>
      </c>
      <c r="C152" s="53">
        <f>Inicial!C152</f>
        <v>0</v>
      </c>
      <c r="D152" s="54">
        <f>Inicial!D152</f>
        <v>0</v>
      </c>
      <c r="E152" s="52" t="str">
        <f>IF(Inicial!J152="SI",Inicial!E152,"N/A")</f>
        <v>N/A</v>
      </c>
      <c r="F152" s="53" t="str">
        <f>IF(Inicial!J152="SI",Inicial!F152,"N/A")</f>
        <v>N/A</v>
      </c>
      <c r="G152" s="53" t="str">
        <f>IF(Inicial!J152="SI",Inicial!G152,"N/A")</f>
        <v>N/A</v>
      </c>
      <c r="H152" s="53" t="str">
        <f>IF(Inicial!J152="SI",Inicial!H152,"N/A")</f>
        <v>N/A</v>
      </c>
      <c r="I152" s="55" t="str">
        <f>IF(Inicial!J152="SI",Inicial!I152,"N/A")</f>
        <v>N/A</v>
      </c>
      <c r="P152" s="6" t="str">
        <f t="shared" si="6"/>
        <v>Aceptable</v>
      </c>
      <c r="Q152" s="6"/>
      <c r="R152" s="6"/>
      <c r="S152" s="6"/>
      <c r="T152" s="6"/>
      <c r="U152" s="6"/>
      <c r="V152" s="6"/>
      <c r="W152" s="6" t="str">
        <f t="shared" si="7"/>
        <v>Critico</v>
      </c>
    </row>
    <row r="153" spans="1:23">
      <c r="A153" s="52">
        <f>Inicial!A153</f>
        <v>0</v>
      </c>
      <c r="B153" s="53">
        <f>Inicial!B153</f>
        <v>0</v>
      </c>
      <c r="C153" s="53">
        <f>Inicial!C153</f>
        <v>0</v>
      </c>
      <c r="D153" s="54">
        <f>Inicial!D153</f>
        <v>0</v>
      </c>
      <c r="E153" s="52" t="str">
        <f>IF(Inicial!J153="SI",Inicial!E153,"N/A")</f>
        <v>N/A</v>
      </c>
      <c r="F153" s="53" t="str">
        <f>IF(Inicial!J153="SI",Inicial!F153,"N/A")</f>
        <v>N/A</v>
      </c>
      <c r="G153" s="53" t="str">
        <f>IF(Inicial!J153="SI",Inicial!G153,"N/A")</f>
        <v>N/A</v>
      </c>
      <c r="H153" s="53" t="str">
        <f>IF(Inicial!J153="SI",Inicial!H153,"N/A")</f>
        <v>N/A</v>
      </c>
      <c r="I153" s="55" t="str">
        <f>IF(Inicial!J153="SI",Inicial!I153,"N/A")</f>
        <v>N/A</v>
      </c>
      <c r="P153" s="6" t="str">
        <f t="shared" si="6"/>
        <v>Aceptable</v>
      </c>
      <c r="Q153" s="6"/>
      <c r="R153" s="6"/>
      <c r="S153" s="6"/>
      <c r="T153" s="6"/>
      <c r="U153" s="6"/>
      <c r="V153" s="6"/>
      <c r="W153" s="6" t="str">
        <f t="shared" si="7"/>
        <v>Critico</v>
      </c>
    </row>
    <row r="154" spans="1:23">
      <c r="A154" s="52">
        <f>Inicial!A154</f>
        <v>0</v>
      </c>
      <c r="B154" s="53">
        <f>Inicial!B154</f>
        <v>0</v>
      </c>
      <c r="C154" s="53">
        <f>Inicial!C154</f>
        <v>0</v>
      </c>
      <c r="D154" s="54">
        <f>Inicial!D154</f>
        <v>0</v>
      </c>
      <c r="E154" s="52" t="str">
        <f>IF(Inicial!J154="SI",Inicial!E154,"N/A")</f>
        <v>N/A</v>
      </c>
      <c r="F154" s="53" t="str">
        <f>IF(Inicial!J154="SI",Inicial!F154,"N/A")</f>
        <v>N/A</v>
      </c>
      <c r="G154" s="53" t="str">
        <f>IF(Inicial!J154="SI",Inicial!G154,"N/A")</f>
        <v>N/A</v>
      </c>
      <c r="H154" s="53" t="str">
        <f>IF(Inicial!J154="SI",Inicial!H154,"N/A")</f>
        <v>N/A</v>
      </c>
      <c r="I154" s="55" t="str">
        <f>IF(Inicial!J154="SI",Inicial!I154,"N/A")</f>
        <v>N/A</v>
      </c>
      <c r="P154" s="6" t="str">
        <f t="shared" si="6"/>
        <v>Aceptable</v>
      </c>
      <c r="Q154" s="6"/>
      <c r="R154" s="6"/>
      <c r="S154" s="6"/>
      <c r="T154" s="6"/>
      <c r="U154" s="6"/>
      <c r="V154" s="6"/>
      <c r="W154" s="6" t="str">
        <f t="shared" si="7"/>
        <v>Critico</v>
      </c>
    </row>
    <row r="155" spans="1:23">
      <c r="A155" s="52">
        <f>Inicial!A155</f>
        <v>0</v>
      </c>
      <c r="B155" s="53">
        <f>Inicial!B155</f>
        <v>0</v>
      </c>
      <c r="C155" s="53">
        <f>Inicial!C155</f>
        <v>0</v>
      </c>
      <c r="D155" s="54">
        <f>Inicial!D155</f>
        <v>0</v>
      </c>
      <c r="E155" s="52" t="str">
        <f>IF(Inicial!J155="SI",Inicial!E155,"N/A")</f>
        <v>N/A</v>
      </c>
      <c r="F155" s="53" t="str">
        <f>IF(Inicial!J155="SI",Inicial!F155,"N/A")</f>
        <v>N/A</v>
      </c>
      <c r="G155" s="53" t="str">
        <f>IF(Inicial!J155="SI",Inicial!G155,"N/A")</f>
        <v>N/A</v>
      </c>
      <c r="H155" s="53" t="str">
        <f>IF(Inicial!J155="SI",Inicial!H155,"N/A")</f>
        <v>N/A</v>
      </c>
      <c r="I155" s="55" t="str">
        <f>IF(Inicial!J155="SI",Inicial!I155,"N/A")</f>
        <v>N/A</v>
      </c>
      <c r="P155" s="6" t="str">
        <f t="shared" si="6"/>
        <v>Aceptable</v>
      </c>
      <c r="Q155" s="6"/>
      <c r="R155" s="6"/>
      <c r="S155" s="6"/>
      <c r="T155" s="6"/>
      <c r="U155" s="6"/>
      <c r="V155" s="6"/>
      <c r="W155" s="6" t="str">
        <f t="shared" si="7"/>
        <v>Critico</v>
      </c>
    </row>
    <row r="156" spans="1:23">
      <c r="A156" s="52">
        <f>Inicial!A156</f>
        <v>0</v>
      </c>
      <c r="B156" s="53">
        <f>Inicial!B156</f>
        <v>0</v>
      </c>
      <c r="C156" s="53">
        <f>Inicial!C156</f>
        <v>0</v>
      </c>
      <c r="D156" s="54">
        <f>Inicial!D156</f>
        <v>0</v>
      </c>
      <c r="E156" s="52" t="str">
        <f>IF(Inicial!J156="SI",Inicial!E156,"N/A")</f>
        <v>N/A</v>
      </c>
      <c r="F156" s="53" t="str">
        <f>IF(Inicial!J156="SI",Inicial!F156,"N/A")</f>
        <v>N/A</v>
      </c>
      <c r="G156" s="53" t="str">
        <f>IF(Inicial!J156="SI",Inicial!G156,"N/A")</f>
        <v>N/A</v>
      </c>
      <c r="H156" s="53" t="str">
        <f>IF(Inicial!J156="SI",Inicial!H156,"N/A")</f>
        <v>N/A</v>
      </c>
      <c r="I156" s="55" t="str">
        <f>IF(Inicial!J156="SI",Inicial!I156,"N/A")</f>
        <v>N/A</v>
      </c>
      <c r="P156" s="6" t="str">
        <f t="shared" si="6"/>
        <v>Aceptable</v>
      </c>
      <c r="Q156" s="6"/>
      <c r="R156" s="6"/>
      <c r="S156" s="6"/>
      <c r="T156" s="6"/>
      <c r="U156" s="6"/>
      <c r="V156" s="6"/>
      <c r="W156" s="6" t="str">
        <f t="shared" si="7"/>
        <v>Critico</v>
      </c>
    </row>
    <row r="157" spans="1:23">
      <c r="A157" s="52">
        <f>Inicial!A157</f>
        <v>0</v>
      </c>
      <c r="B157" s="53">
        <f>Inicial!B157</f>
        <v>0</v>
      </c>
      <c r="C157" s="53">
        <f>Inicial!C157</f>
        <v>0</v>
      </c>
      <c r="D157" s="54">
        <f>Inicial!D157</f>
        <v>0</v>
      </c>
      <c r="E157" s="52" t="str">
        <f>IF(Inicial!J157="SI",Inicial!E157,"N/A")</f>
        <v>N/A</v>
      </c>
      <c r="F157" s="53" t="str">
        <f>IF(Inicial!J157="SI",Inicial!F157,"N/A")</f>
        <v>N/A</v>
      </c>
      <c r="G157" s="53" t="str">
        <f>IF(Inicial!J157="SI",Inicial!G157,"N/A")</f>
        <v>N/A</v>
      </c>
      <c r="H157" s="53" t="str">
        <f>IF(Inicial!J157="SI",Inicial!H157,"N/A")</f>
        <v>N/A</v>
      </c>
      <c r="I157" s="55" t="str">
        <f>IF(Inicial!J157="SI",Inicial!I157,"N/A")</f>
        <v>N/A</v>
      </c>
      <c r="P157" s="6" t="str">
        <f t="shared" si="6"/>
        <v>Aceptable</v>
      </c>
      <c r="Q157" s="6"/>
      <c r="R157" s="6"/>
      <c r="S157" s="6"/>
      <c r="T157" s="6"/>
      <c r="U157" s="6"/>
      <c r="V157" s="6"/>
      <c r="W157" s="6" t="str">
        <f t="shared" si="7"/>
        <v>Critico</v>
      </c>
    </row>
    <row r="158" spans="1:23">
      <c r="A158" s="52">
        <f>Inicial!A158</f>
        <v>0</v>
      </c>
      <c r="B158" s="53">
        <f>Inicial!B158</f>
        <v>0</v>
      </c>
      <c r="C158" s="53">
        <f>Inicial!C158</f>
        <v>0</v>
      </c>
      <c r="D158" s="54">
        <f>Inicial!D158</f>
        <v>0</v>
      </c>
      <c r="E158" s="52" t="str">
        <f>IF(Inicial!J158="SI",Inicial!E158,"N/A")</f>
        <v>N/A</v>
      </c>
      <c r="F158" s="53" t="str">
        <f>IF(Inicial!J158="SI",Inicial!F158,"N/A")</f>
        <v>N/A</v>
      </c>
      <c r="G158" s="53" t="str">
        <f>IF(Inicial!J158="SI",Inicial!G158,"N/A")</f>
        <v>N/A</v>
      </c>
      <c r="H158" s="53" t="str">
        <f>IF(Inicial!J158="SI",Inicial!H158,"N/A")</f>
        <v>N/A</v>
      </c>
      <c r="I158" s="55" t="str">
        <f>IF(Inicial!J158="SI",Inicial!I158,"N/A")</f>
        <v>N/A</v>
      </c>
      <c r="P158" s="6" t="str">
        <f t="shared" si="6"/>
        <v>Aceptable</v>
      </c>
      <c r="Q158" s="6"/>
      <c r="R158" s="6"/>
      <c r="S158" s="6"/>
      <c r="T158" s="6"/>
      <c r="U158" s="6"/>
      <c r="V158" s="6"/>
      <c r="W158" s="6" t="str">
        <f t="shared" si="7"/>
        <v>Critico</v>
      </c>
    </row>
    <row r="159" spans="1:23">
      <c r="A159" s="52">
        <f>Inicial!A159</f>
        <v>0</v>
      </c>
      <c r="B159" s="53">
        <f>Inicial!B159</f>
        <v>0</v>
      </c>
      <c r="C159" s="53">
        <f>Inicial!C159</f>
        <v>0</v>
      </c>
      <c r="D159" s="54">
        <f>Inicial!D159</f>
        <v>0</v>
      </c>
      <c r="E159" s="52" t="str">
        <f>IF(Inicial!J159="SI",Inicial!E159,"N/A")</f>
        <v>N/A</v>
      </c>
      <c r="F159" s="53" t="str">
        <f>IF(Inicial!J159="SI",Inicial!F159,"N/A")</f>
        <v>N/A</v>
      </c>
      <c r="G159" s="53" t="str">
        <f>IF(Inicial!J159="SI",Inicial!G159,"N/A")</f>
        <v>N/A</v>
      </c>
      <c r="H159" s="53" t="str">
        <f>IF(Inicial!J159="SI",Inicial!H159,"N/A")</f>
        <v>N/A</v>
      </c>
      <c r="I159" s="55" t="str">
        <f>IF(Inicial!J159="SI",Inicial!I159,"N/A")</f>
        <v>N/A</v>
      </c>
      <c r="P159" s="6" t="str">
        <f t="shared" si="6"/>
        <v>Aceptable</v>
      </c>
      <c r="Q159" s="6"/>
      <c r="R159" s="6"/>
      <c r="S159" s="6"/>
      <c r="T159" s="6"/>
      <c r="U159" s="6"/>
      <c r="V159" s="6"/>
      <c r="W159" s="6" t="str">
        <f t="shared" si="7"/>
        <v>Critico</v>
      </c>
    </row>
    <row r="160" spans="1:23">
      <c r="A160" s="52">
        <f>Inicial!A160</f>
        <v>0</v>
      </c>
      <c r="B160" s="53">
        <f>Inicial!B160</f>
        <v>0</v>
      </c>
      <c r="C160" s="53">
        <f>Inicial!C160</f>
        <v>0</v>
      </c>
      <c r="D160" s="54">
        <f>Inicial!D160</f>
        <v>0</v>
      </c>
      <c r="E160" s="52" t="str">
        <f>IF(Inicial!J160="SI",Inicial!E160,"N/A")</f>
        <v>N/A</v>
      </c>
      <c r="F160" s="53" t="str">
        <f>IF(Inicial!J160="SI",Inicial!F160,"N/A")</f>
        <v>N/A</v>
      </c>
      <c r="G160" s="53" t="str">
        <f>IF(Inicial!J160="SI",Inicial!G160,"N/A")</f>
        <v>N/A</v>
      </c>
      <c r="H160" s="53" t="str">
        <f>IF(Inicial!J160="SI",Inicial!H160,"N/A")</f>
        <v>N/A</v>
      </c>
      <c r="I160" s="55" t="str">
        <f>IF(Inicial!J160="SI",Inicial!I160,"N/A")</f>
        <v>N/A</v>
      </c>
      <c r="P160" s="6" t="str">
        <f t="shared" si="6"/>
        <v>Aceptable</v>
      </c>
      <c r="Q160" s="6"/>
      <c r="R160" s="6"/>
      <c r="S160" s="6"/>
      <c r="T160" s="6"/>
      <c r="U160" s="6"/>
      <c r="V160" s="6"/>
      <c r="W160" s="6" t="str">
        <f t="shared" si="7"/>
        <v>Critico</v>
      </c>
    </row>
    <row r="161" spans="1:23">
      <c r="A161" s="52">
        <f>Inicial!A161</f>
        <v>0</v>
      </c>
      <c r="B161" s="53">
        <f>Inicial!B161</f>
        <v>0</v>
      </c>
      <c r="C161" s="53">
        <f>Inicial!C161</f>
        <v>0</v>
      </c>
      <c r="D161" s="54">
        <f>Inicial!D161</f>
        <v>0</v>
      </c>
      <c r="E161" s="52" t="str">
        <f>IF(Inicial!J161="SI",Inicial!E161,"N/A")</f>
        <v>N/A</v>
      </c>
      <c r="F161" s="53" t="str">
        <f>IF(Inicial!J161="SI",Inicial!F161,"N/A")</f>
        <v>N/A</v>
      </c>
      <c r="G161" s="53" t="str">
        <f>IF(Inicial!J161="SI",Inicial!G161,"N/A")</f>
        <v>N/A</v>
      </c>
      <c r="H161" s="53" t="str">
        <f>IF(Inicial!J161="SI",Inicial!H161,"N/A")</f>
        <v>N/A</v>
      </c>
      <c r="I161" s="55" t="str">
        <f>IF(Inicial!J161="SI",Inicial!I161,"N/A")</f>
        <v>N/A</v>
      </c>
      <c r="P161" s="6" t="str">
        <f t="shared" si="6"/>
        <v>Aceptable</v>
      </c>
      <c r="Q161" s="6"/>
      <c r="R161" s="6"/>
      <c r="S161" s="6"/>
      <c r="T161" s="6"/>
      <c r="U161" s="6"/>
      <c r="V161" s="6"/>
      <c r="W161" s="6" t="str">
        <f t="shared" si="7"/>
        <v>Critico</v>
      </c>
    </row>
    <row r="162" spans="1:23">
      <c r="A162" s="52">
        <f>Inicial!A162</f>
        <v>0</v>
      </c>
      <c r="B162" s="53">
        <f>Inicial!B162</f>
        <v>0</v>
      </c>
      <c r="C162" s="53">
        <f>Inicial!C162</f>
        <v>0</v>
      </c>
      <c r="D162" s="54">
        <f>Inicial!D162</f>
        <v>0</v>
      </c>
      <c r="E162" s="52" t="str">
        <f>IF(Inicial!J162="SI",Inicial!E162,"N/A")</f>
        <v>N/A</v>
      </c>
      <c r="F162" s="53" t="str">
        <f>IF(Inicial!J162="SI",Inicial!F162,"N/A")</f>
        <v>N/A</v>
      </c>
      <c r="G162" s="53" t="str">
        <f>IF(Inicial!J162="SI",Inicial!G162,"N/A")</f>
        <v>N/A</v>
      </c>
      <c r="H162" s="53" t="str">
        <f>IF(Inicial!J162="SI",Inicial!H162,"N/A")</f>
        <v>N/A</v>
      </c>
      <c r="I162" s="55" t="str">
        <f>IF(Inicial!J162="SI",Inicial!I162,"N/A")</f>
        <v>N/A</v>
      </c>
      <c r="P162" s="6" t="str">
        <f t="shared" si="6"/>
        <v>Aceptable</v>
      </c>
      <c r="Q162" s="6"/>
      <c r="R162" s="6"/>
      <c r="S162" s="6"/>
      <c r="T162" s="6"/>
      <c r="U162" s="6"/>
      <c r="V162" s="6"/>
      <c r="W162" s="6" t="str">
        <f t="shared" si="7"/>
        <v>Critico</v>
      </c>
    </row>
    <row r="163" spans="1:23">
      <c r="A163" s="52">
        <f>Inicial!A163</f>
        <v>0</v>
      </c>
      <c r="B163" s="53">
        <f>Inicial!B163</f>
        <v>0</v>
      </c>
      <c r="C163" s="53">
        <f>Inicial!C163</f>
        <v>0</v>
      </c>
      <c r="D163" s="54">
        <f>Inicial!D163</f>
        <v>0</v>
      </c>
      <c r="E163" s="52" t="str">
        <f>IF(Inicial!J163="SI",Inicial!E163,"N/A")</f>
        <v>N/A</v>
      </c>
      <c r="F163" s="53" t="str">
        <f>IF(Inicial!J163="SI",Inicial!F163,"N/A")</f>
        <v>N/A</v>
      </c>
      <c r="G163" s="53" t="str">
        <f>IF(Inicial!J163="SI",Inicial!G163,"N/A")</f>
        <v>N/A</v>
      </c>
      <c r="H163" s="53" t="str">
        <f>IF(Inicial!J163="SI",Inicial!H163,"N/A")</f>
        <v>N/A</v>
      </c>
      <c r="I163" s="55" t="str">
        <f>IF(Inicial!J163="SI",Inicial!I163,"N/A")</f>
        <v>N/A</v>
      </c>
      <c r="P163" s="6" t="str">
        <f t="shared" si="6"/>
        <v>Aceptable</v>
      </c>
      <c r="Q163" s="6"/>
      <c r="R163" s="6"/>
      <c r="S163" s="6"/>
      <c r="T163" s="6"/>
      <c r="U163" s="6"/>
      <c r="V163" s="6"/>
      <c r="W163" s="6" t="str">
        <f t="shared" si="7"/>
        <v>Critico</v>
      </c>
    </row>
    <row r="164" spans="1:23">
      <c r="A164" s="52">
        <f>Inicial!A164</f>
        <v>0</v>
      </c>
      <c r="B164" s="53">
        <f>Inicial!B164</f>
        <v>0</v>
      </c>
      <c r="C164" s="53">
        <f>Inicial!C164</f>
        <v>0</v>
      </c>
      <c r="D164" s="54">
        <f>Inicial!D164</f>
        <v>0</v>
      </c>
      <c r="E164" s="52" t="str">
        <f>IF(Inicial!J164="SI",Inicial!E164,"N/A")</f>
        <v>N/A</v>
      </c>
      <c r="F164" s="53" t="str">
        <f>IF(Inicial!J164="SI",Inicial!F164,"N/A")</f>
        <v>N/A</v>
      </c>
      <c r="G164" s="53" t="str">
        <f>IF(Inicial!J164="SI",Inicial!G164,"N/A")</f>
        <v>N/A</v>
      </c>
      <c r="H164" s="53" t="str">
        <f>IF(Inicial!J164="SI",Inicial!H164,"N/A")</f>
        <v>N/A</v>
      </c>
      <c r="I164" s="55" t="str">
        <f>IF(Inicial!J164="SI",Inicial!I164,"N/A")</f>
        <v>N/A</v>
      </c>
      <c r="P164" s="6" t="str">
        <f t="shared" si="6"/>
        <v>Aceptable</v>
      </c>
      <c r="Q164" s="6"/>
      <c r="R164" s="6"/>
      <c r="S164" s="6"/>
      <c r="T164" s="6"/>
      <c r="U164" s="6"/>
      <c r="V164" s="6"/>
      <c r="W164" s="6" t="str">
        <f t="shared" si="7"/>
        <v>Critico</v>
      </c>
    </row>
    <row r="165" spans="1:23">
      <c r="A165" s="52">
        <f>Inicial!A165</f>
        <v>0</v>
      </c>
      <c r="B165" s="53">
        <f>Inicial!B165</f>
        <v>0</v>
      </c>
      <c r="C165" s="53">
        <f>Inicial!C165</f>
        <v>0</v>
      </c>
      <c r="D165" s="54">
        <f>Inicial!D165</f>
        <v>0</v>
      </c>
      <c r="E165" s="52" t="str">
        <f>IF(Inicial!J165="SI",Inicial!E165,"N/A")</f>
        <v>N/A</v>
      </c>
      <c r="F165" s="53" t="str">
        <f>IF(Inicial!J165="SI",Inicial!F165,"N/A")</f>
        <v>N/A</v>
      </c>
      <c r="G165" s="53" t="str">
        <f>IF(Inicial!J165="SI",Inicial!G165,"N/A")</f>
        <v>N/A</v>
      </c>
      <c r="H165" s="53" t="str">
        <f>IF(Inicial!J165="SI",Inicial!H165,"N/A")</f>
        <v>N/A</v>
      </c>
      <c r="I165" s="55" t="str">
        <f>IF(Inicial!J165="SI",Inicial!I165,"N/A")</f>
        <v>N/A</v>
      </c>
      <c r="P165" s="6" t="str">
        <f t="shared" si="6"/>
        <v>Aceptable</v>
      </c>
      <c r="Q165" s="6"/>
      <c r="R165" s="6"/>
      <c r="S165" s="6"/>
      <c r="T165" s="6"/>
      <c r="U165" s="6"/>
      <c r="V165" s="6"/>
      <c r="W165" s="6" t="str">
        <f t="shared" si="7"/>
        <v>Critico</v>
      </c>
    </row>
    <row r="166" spans="1:23">
      <c r="A166" s="52">
        <f>Inicial!A166</f>
        <v>0</v>
      </c>
      <c r="B166" s="53">
        <f>Inicial!B166</f>
        <v>0</v>
      </c>
      <c r="C166" s="53">
        <f>Inicial!C166</f>
        <v>0</v>
      </c>
      <c r="D166" s="54">
        <f>Inicial!D166</f>
        <v>0</v>
      </c>
      <c r="E166" s="52" t="str">
        <f>IF(Inicial!J166="SI",Inicial!E166,"N/A")</f>
        <v>N/A</v>
      </c>
      <c r="F166" s="53" t="str">
        <f>IF(Inicial!J166="SI",Inicial!F166,"N/A")</f>
        <v>N/A</v>
      </c>
      <c r="G166" s="53" t="str">
        <f>IF(Inicial!J166="SI",Inicial!G166,"N/A")</f>
        <v>N/A</v>
      </c>
      <c r="H166" s="53" t="str">
        <f>IF(Inicial!J166="SI",Inicial!H166,"N/A")</f>
        <v>N/A</v>
      </c>
      <c r="I166" s="55" t="str">
        <f>IF(Inicial!J166="SI",Inicial!I166,"N/A")</f>
        <v>N/A</v>
      </c>
      <c r="P166" s="6" t="str">
        <f t="shared" si="6"/>
        <v>Aceptable</v>
      </c>
      <c r="Q166" s="6"/>
      <c r="R166" s="6"/>
      <c r="S166" s="6"/>
      <c r="T166" s="6"/>
      <c r="U166" s="6"/>
      <c r="V166" s="6"/>
      <c r="W166" s="6" t="str">
        <f t="shared" si="7"/>
        <v>Critico</v>
      </c>
    </row>
    <row r="167" spans="1:23">
      <c r="A167" s="52">
        <f>Inicial!A167</f>
        <v>0</v>
      </c>
      <c r="B167" s="53">
        <f>Inicial!B167</f>
        <v>0</v>
      </c>
      <c r="C167" s="53">
        <f>Inicial!C167</f>
        <v>0</v>
      </c>
      <c r="D167" s="54">
        <f>Inicial!D167</f>
        <v>0</v>
      </c>
      <c r="E167" s="52" t="str">
        <f>IF(Inicial!J167="SI",Inicial!E167,"N/A")</f>
        <v>N/A</v>
      </c>
      <c r="F167" s="53" t="str">
        <f>IF(Inicial!J167="SI",Inicial!F167,"N/A")</f>
        <v>N/A</v>
      </c>
      <c r="G167" s="53" t="str">
        <f>IF(Inicial!J167="SI",Inicial!G167,"N/A")</f>
        <v>N/A</v>
      </c>
      <c r="H167" s="53" t="str">
        <f>IF(Inicial!J167="SI",Inicial!H167,"N/A")</f>
        <v>N/A</v>
      </c>
      <c r="I167" s="55" t="str">
        <f>IF(Inicial!J167="SI",Inicial!I167,"N/A")</f>
        <v>N/A</v>
      </c>
      <c r="P167" s="6" t="str">
        <f t="shared" si="6"/>
        <v>Aceptable</v>
      </c>
      <c r="Q167" s="6"/>
      <c r="R167" s="6"/>
      <c r="S167" s="6"/>
      <c r="T167" s="6"/>
      <c r="U167" s="6"/>
      <c r="V167" s="6"/>
      <c r="W167" s="6" t="str">
        <f t="shared" si="7"/>
        <v>Critico</v>
      </c>
    </row>
    <row r="168" spans="1:23">
      <c r="A168" s="52">
        <f>Inicial!A168</f>
        <v>0</v>
      </c>
      <c r="B168" s="53">
        <f>Inicial!B168</f>
        <v>0</v>
      </c>
      <c r="C168" s="53">
        <f>Inicial!C168</f>
        <v>0</v>
      </c>
      <c r="D168" s="54">
        <f>Inicial!D168</f>
        <v>0</v>
      </c>
      <c r="E168" s="52" t="str">
        <f>IF(Inicial!J168="SI",Inicial!E168,"N/A")</f>
        <v>N/A</v>
      </c>
      <c r="F168" s="53" t="str">
        <f>IF(Inicial!J168="SI",Inicial!F168,"N/A")</f>
        <v>N/A</v>
      </c>
      <c r="G168" s="53" t="str">
        <f>IF(Inicial!J168="SI",Inicial!G168,"N/A")</f>
        <v>N/A</v>
      </c>
      <c r="H168" s="53" t="str">
        <f>IF(Inicial!J168="SI",Inicial!H168,"N/A")</f>
        <v>N/A</v>
      </c>
      <c r="I168" s="55" t="str">
        <f>IF(Inicial!J168="SI",Inicial!I168,"N/A")</f>
        <v>N/A</v>
      </c>
      <c r="P168" s="6" t="str">
        <f t="shared" si="6"/>
        <v>Aceptable</v>
      </c>
      <c r="Q168" s="6"/>
      <c r="R168" s="6"/>
      <c r="S168" s="6"/>
      <c r="T168" s="6"/>
      <c r="U168" s="6"/>
      <c r="V168" s="6"/>
      <c r="W168" s="6" t="str">
        <f t="shared" si="7"/>
        <v>Critico</v>
      </c>
    </row>
    <row r="169" spans="1:23">
      <c r="A169" s="52">
        <f>Inicial!A169</f>
        <v>0</v>
      </c>
      <c r="B169" s="53">
        <f>Inicial!B169</f>
        <v>0</v>
      </c>
      <c r="C169" s="53">
        <f>Inicial!C169</f>
        <v>0</v>
      </c>
      <c r="D169" s="54">
        <f>Inicial!D169</f>
        <v>0</v>
      </c>
      <c r="E169" s="52" t="str">
        <f>IF(Inicial!J169="SI",Inicial!E169,"N/A")</f>
        <v>N/A</v>
      </c>
      <c r="F169" s="53" t="str">
        <f>IF(Inicial!J169="SI",Inicial!F169,"N/A")</f>
        <v>N/A</v>
      </c>
      <c r="G169" s="53" t="str">
        <f>IF(Inicial!J169="SI",Inicial!G169,"N/A")</f>
        <v>N/A</v>
      </c>
      <c r="H169" s="53" t="str">
        <f>IF(Inicial!J169="SI",Inicial!H169,"N/A")</f>
        <v>N/A</v>
      </c>
      <c r="I169" s="55" t="str">
        <f>IF(Inicial!J169="SI",Inicial!I169,"N/A")</f>
        <v>N/A</v>
      </c>
      <c r="P169" s="6" t="str">
        <f t="shared" si="6"/>
        <v>Aceptable</v>
      </c>
      <c r="Q169" s="6"/>
      <c r="R169" s="6"/>
      <c r="S169" s="6"/>
      <c r="T169" s="6"/>
      <c r="U169" s="6"/>
      <c r="V169" s="6"/>
      <c r="W169" s="6" t="str">
        <f t="shared" si="7"/>
        <v>Critico</v>
      </c>
    </row>
    <row r="170" spans="1:23">
      <c r="A170" s="52">
        <f>Inicial!A170</f>
        <v>0</v>
      </c>
      <c r="B170" s="53">
        <f>Inicial!B170</f>
        <v>0</v>
      </c>
      <c r="C170" s="53">
        <f>Inicial!C170</f>
        <v>0</v>
      </c>
      <c r="D170" s="54">
        <f>Inicial!D170</f>
        <v>0</v>
      </c>
      <c r="E170" s="52" t="str">
        <f>IF(Inicial!J170="SI",Inicial!E170,"N/A")</f>
        <v>N/A</v>
      </c>
      <c r="F170" s="53" t="str">
        <f>IF(Inicial!J170="SI",Inicial!F170,"N/A")</f>
        <v>N/A</v>
      </c>
      <c r="G170" s="53" t="str">
        <f>IF(Inicial!J170="SI",Inicial!G170,"N/A")</f>
        <v>N/A</v>
      </c>
      <c r="H170" s="53" t="str">
        <f>IF(Inicial!J170="SI",Inicial!H170,"N/A")</f>
        <v>N/A</v>
      </c>
      <c r="I170" s="55" t="str">
        <f>IF(Inicial!J170="SI",Inicial!I170,"N/A")</f>
        <v>N/A</v>
      </c>
      <c r="P170" s="6" t="str">
        <f t="shared" si="6"/>
        <v>Aceptable</v>
      </c>
      <c r="Q170" s="6"/>
      <c r="R170" s="6"/>
      <c r="S170" s="6"/>
      <c r="T170" s="6"/>
      <c r="U170" s="6"/>
      <c r="V170" s="6"/>
      <c r="W170" s="6" t="str">
        <f t="shared" si="7"/>
        <v>Critico</v>
      </c>
    </row>
    <row r="171" spans="1:23">
      <c r="A171" s="52">
        <f>Inicial!A171</f>
        <v>0</v>
      </c>
      <c r="B171" s="53">
        <f>Inicial!B171</f>
        <v>0</v>
      </c>
      <c r="C171" s="53">
        <f>Inicial!C171</f>
        <v>0</v>
      </c>
      <c r="D171" s="54">
        <f>Inicial!D171</f>
        <v>0</v>
      </c>
      <c r="E171" s="52" t="str">
        <f>IF(Inicial!J171="SI",Inicial!E171,"N/A")</f>
        <v>N/A</v>
      </c>
      <c r="F171" s="53" t="str">
        <f>IF(Inicial!J171="SI",Inicial!F171,"N/A")</f>
        <v>N/A</v>
      </c>
      <c r="G171" s="53" t="str">
        <f>IF(Inicial!J171="SI",Inicial!G171,"N/A")</f>
        <v>N/A</v>
      </c>
      <c r="H171" s="53" t="str">
        <f>IF(Inicial!J171="SI",Inicial!H171,"N/A")</f>
        <v>N/A</v>
      </c>
      <c r="I171" s="55" t="str">
        <f>IF(Inicial!J171="SI",Inicial!I171,"N/A")</f>
        <v>N/A</v>
      </c>
      <c r="P171" s="6" t="str">
        <f t="shared" si="6"/>
        <v>Aceptable</v>
      </c>
      <c r="Q171" s="6"/>
      <c r="R171" s="6"/>
      <c r="S171" s="6"/>
      <c r="T171" s="6"/>
      <c r="U171" s="6"/>
      <c r="V171" s="6"/>
      <c r="W171" s="6" t="str">
        <f t="shared" si="7"/>
        <v>Critico</v>
      </c>
    </row>
    <row r="172" spans="1:23">
      <c r="A172" s="52">
        <f>Inicial!A172</f>
        <v>0</v>
      </c>
      <c r="B172" s="53">
        <f>Inicial!B172</f>
        <v>0</v>
      </c>
      <c r="C172" s="53">
        <f>Inicial!C172</f>
        <v>0</v>
      </c>
      <c r="D172" s="54">
        <f>Inicial!D172</f>
        <v>0</v>
      </c>
      <c r="E172" s="52" t="str">
        <f>IF(Inicial!J172="SI",Inicial!E172,"N/A")</f>
        <v>N/A</v>
      </c>
      <c r="F172" s="53" t="str">
        <f>IF(Inicial!J172="SI",Inicial!F172,"N/A")</f>
        <v>N/A</v>
      </c>
      <c r="G172" s="53" t="str">
        <f>IF(Inicial!J172="SI",Inicial!G172,"N/A")</f>
        <v>N/A</v>
      </c>
      <c r="H172" s="53" t="str">
        <f>IF(Inicial!J172="SI",Inicial!H172,"N/A")</f>
        <v>N/A</v>
      </c>
      <c r="I172" s="55" t="str">
        <f>IF(Inicial!J172="SI",Inicial!I172,"N/A")</f>
        <v>N/A</v>
      </c>
      <c r="P172" s="6" t="str">
        <f t="shared" si="6"/>
        <v>Aceptable</v>
      </c>
      <c r="Q172" s="6"/>
      <c r="R172" s="6"/>
      <c r="S172" s="6"/>
      <c r="T172" s="6"/>
      <c r="U172" s="6"/>
      <c r="V172" s="6"/>
      <c r="W172" s="6" t="str">
        <f t="shared" si="7"/>
        <v>Critico</v>
      </c>
    </row>
    <row r="173" spans="1:23">
      <c r="A173" s="52">
        <f>Inicial!A173</f>
        <v>0</v>
      </c>
      <c r="B173" s="53">
        <f>Inicial!B173</f>
        <v>0</v>
      </c>
      <c r="C173" s="53">
        <f>Inicial!C173</f>
        <v>0</v>
      </c>
      <c r="D173" s="54">
        <f>Inicial!D173</f>
        <v>0</v>
      </c>
      <c r="E173" s="52" t="str">
        <f>IF(Inicial!J173="SI",Inicial!E173,"N/A")</f>
        <v>N/A</v>
      </c>
      <c r="F173" s="53" t="str">
        <f>IF(Inicial!J173="SI",Inicial!F173,"N/A")</f>
        <v>N/A</v>
      </c>
      <c r="G173" s="53" t="str">
        <f>IF(Inicial!J173="SI",Inicial!G173,"N/A")</f>
        <v>N/A</v>
      </c>
      <c r="H173" s="53" t="str">
        <f>IF(Inicial!J173="SI",Inicial!H173,"N/A")</f>
        <v>N/A</v>
      </c>
      <c r="I173" s="55" t="str">
        <f>IF(Inicial!J173="SI",Inicial!I173,"N/A")</f>
        <v>N/A</v>
      </c>
      <c r="P173" s="6" t="str">
        <f t="shared" si="6"/>
        <v>Aceptable</v>
      </c>
      <c r="Q173" s="6"/>
      <c r="R173" s="6"/>
      <c r="S173" s="6"/>
      <c r="T173" s="6"/>
      <c r="U173" s="6"/>
      <c r="V173" s="6"/>
      <c r="W173" s="6" t="str">
        <f t="shared" si="7"/>
        <v>Critico</v>
      </c>
    </row>
    <row r="174" spans="1:23">
      <c r="A174" s="52">
        <f>Inicial!A174</f>
        <v>0</v>
      </c>
      <c r="B174" s="53">
        <f>Inicial!B174</f>
        <v>0</v>
      </c>
      <c r="C174" s="53">
        <f>Inicial!C174</f>
        <v>0</v>
      </c>
      <c r="D174" s="54">
        <f>Inicial!D174</f>
        <v>0</v>
      </c>
      <c r="E174" s="52" t="str">
        <f>IF(Inicial!J174="SI",Inicial!E174,"N/A")</f>
        <v>N/A</v>
      </c>
      <c r="F174" s="53" t="str">
        <f>IF(Inicial!J174="SI",Inicial!F174,"N/A")</f>
        <v>N/A</v>
      </c>
      <c r="G174" s="53" t="str">
        <f>IF(Inicial!J174="SI",Inicial!G174,"N/A")</f>
        <v>N/A</v>
      </c>
      <c r="H174" s="53" t="str">
        <f>IF(Inicial!J174="SI",Inicial!H174,"N/A")</f>
        <v>N/A</v>
      </c>
      <c r="I174" s="55" t="str">
        <f>IF(Inicial!J174="SI",Inicial!I174,"N/A")</f>
        <v>N/A</v>
      </c>
      <c r="P174" s="6" t="str">
        <f t="shared" si="6"/>
        <v>Aceptable</v>
      </c>
      <c r="Q174" s="6"/>
      <c r="R174" s="6"/>
      <c r="S174" s="6"/>
      <c r="T174" s="6"/>
      <c r="U174" s="6"/>
      <c r="V174" s="6"/>
      <c r="W174" s="6" t="str">
        <f t="shared" si="7"/>
        <v>Critico</v>
      </c>
    </row>
    <row r="175" spans="1:23">
      <c r="A175" s="52">
        <f>Inicial!A175</f>
        <v>0</v>
      </c>
      <c r="B175" s="53">
        <f>Inicial!B175</f>
        <v>0</v>
      </c>
      <c r="C175" s="53">
        <f>Inicial!C175</f>
        <v>0</v>
      </c>
      <c r="D175" s="54">
        <f>Inicial!D175</f>
        <v>0</v>
      </c>
      <c r="E175" s="52" t="str">
        <f>IF(Inicial!J175="SI",Inicial!E175,"N/A")</f>
        <v>N/A</v>
      </c>
      <c r="F175" s="53" t="str">
        <f>IF(Inicial!J175="SI",Inicial!F175,"N/A")</f>
        <v>N/A</v>
      </c>
      <c r="G175" s="53" t="str">
        <f>IF(Inicial!J175="SI",Inicial!G175,"N/A")</f>
        <v>N/A</v>
      </c>
      <c r="H175" s="53" t="str">
        <f>IF(Inicial!J175="SI",Inicial!H175,"N/A")</f>
        <v>N/A</v>
      </c>
      <c r="I175" s="55" t="str">
        <f>IF(Inicial!J175="SI",Inicial!I175,"N/A")</f>
        <v>N/A</v>
      </c>
      <c r="P175" s="6" t="str">
        <f t="shared" si="6"/>
        <v>Aceptable</v>
      </c>
      <c r="Q175" s="6"/>
      <c r="R175" s="6"/>
      <c r="S175" s="6"/>
      <c r="T175" s="6"/>
      <c r="U175" s="6"/>
      <c r="V175" s="6"/>
      <c r="W175" s="6" t="str">
        <f t="shared" si="7"/>
        <v>Critico</v>
      </c>
    </row>
    <row r="176" spans="1:23">
      <c r="A176" s="52">
        <f>Inicial!A176</f>
        <v>0</v>
      </c>
      <c r="B176" s="53">
        <f>Inicial!B176</f>
        <v>0</v>
      </c>
      <c r="C176" s="53">
        <f>Inicial!C176</f>
        <v>0</v>
      </c>
      <c r="D176" s="54">
        <f>Inicial!D176</f>
        <v>0</v>
      </c>
      <c r="E176" s="52" t="str">
        <f>IF(Inicial!J176="SI",Inicial!E176,"N/A")</f>
        <v>N/A</v>
      </c>
      <c r="F176" s="53" t="str">
        <f>IF(Inicial!J176="SI",Inicial!F176,"N/A")</f>
        <v>N/A</v>
      </c>
      <c r="G176" s="53" t="str">
        <f>IF(Inicial!J176="SI",Inicial!G176,"N/A")</f>
        <v>N/A</v>
      </c>
      <c r="H176" s="53" t="str">
        <f>IF(Inicial!J176="SI",Inicial!H176,"N/A")</f>
        <v>N/A</v>
      </c>
      <c r="I176" s="55" t="str">
        <f>IF(Inicial!J176="SI",Inicial!I176,"N/A")</f>
        <v>N/A</v>
      </c>
      <c r="P176" s="6" t="str">
        <f t="shared" si="6"/>
        <v>Aceptable</v>
      </c>
      <c r="Q176" s="6"/>
      <c r="R176" s="6"/>
      <c r="S176" s="6"/>
      <c r="T176" s="6"/>
      <c r="U176" s="6"/>
      <c r="V176" s="6"/>
      <c r="W176" s="6" t="str">
        <f t="shared" si="7"/>
        <v>Critico</v>
      </c>
    </row>
    <row r="177" spans="1:23">
      <c r="A177" s="52">
        <f>Inicial!A177</f>
        <v>0</v>
      </c>
      <c r="B177" s="53">
        <f>Inicial!B177</f>
        <v>0</v>
      </c>
      <c r="C177" s="53">
        <f>Inicial!C177</f>
        <v>0</v>
      </c>
      <c r="D177" s="54">
        <f>Inicial!D177</f>
        <v>0</v>
      </c>
      <c r="E177" s="52" t="str">
        <f>IF(Inicial!J177="SI",Inicial!E177,"N/A")</f>
        <v>N/A</v>
      </c>
      <c r="F177" s="53" t="str">
        <f>IF(Inicial!J177="SI",Inicial!F177,"N/A")</f>
        <v>N/A</v>
      </c>
      <c r="G177" s="53" t="str">
        <f>IF(Inicial!J177="SI",Inicial!G177,"N/A")</f>
        <v>N/A</v>
      </c>
      <c r="H177" s="53" t="str">
        <f>IF(Inicial!J177="SI",Inicial!H177,"N/A")</f>
        <v>N/A</v>
      </c>
      <c r="I177" s="55" t="str">
        <f>IF(Inicial!J177="SI",Inicial!I177,"N/A")</f>
        <v>N/A</v>
      </c>
      <c r="P177" s="6" t="str">
        <f t="shared" si="6"/>
        <v>Aceptable</v>
      </c>
      <c r="Q177" s="6"/>
      <c r="R177" s="6"/>
      <c r="S177" s="6"/>
      <c r="T177" s="6"/>
      <c r="U177" s="6"/>
      <c r="V177" s="6"/>
      <c r="W177" s="6" t="str">
        <f t="shared" si="7"/>
        <v>Critico</v>
      </c>
    </row>
    <row r="178" spans="1:23">
      <c r="A178" s="52">
        <f>Inicial!A178</f>
        <v>0</v>
      </c>
      <c r="B178" s="53">
        <f>Inicial!B178</f>
        <v>0</v>
      </c>
      <c r="C178" s="53">
        <f>Inicial!C178</f>
        <v>0</v>
      </c>
      <c r="D178" s="54">
        <f>Inicial!D178</f>
        <v>0</v>
      </c>
      <c r="E178" s="52" t="str">
        <f>IF(Inicial!J178="SI",Inicial!E178,"N/A")</f>
        <v>N/A</v>
      </c>
      <c r="F178" s="53" t="str">
        <f>IF(Inicial!J178="SI",Inicial!F178,"N/A")</f>
        <v>N/A</v>
      </c>
      <c r="G178" s="53" t="str">
        <f>IF(Inicial!J178="SI",Inicial!G178,"N/A")</f>
        <v>N/A</v>
      </c>
      <c r="H178" s="53" t="str">
        <f>IF(Inicial!J178="SI",Inicial!H178,"N/A")</f>
        <v>N/A</v>
      </c>
      <c r="I178" s="55" t="str">
        <f>IF(Inicial!J178="SI",Inicial!I178,"N/A")</f>
        <v>N/A</v>
      </c>
      <c r="P178" s="6" t="str">
        <f t="shared" si="6"/>
        <v>Aceptable</v>
      </c>
      <c r="Q178" s="6"/>
      <c r="R178" s="6"/>
      <c r="S178" s="6"/>
      <c r="T178" s="6"/>
      <c r="U178" s="6"/>
      <c r="V178" s="6"/>
      <c r="W178" s="6" t="str">
        <f t="shared" si="7"/>
        <v>Critico</v>
      </c>
    </row>
    <row r="179" spans="1:23">
      <c r="A179" s="52">
        <f>Inicial!A179</f>
        <v>0</v>
      </c>
      <c r="B179" s="53">
        <f>Inicial!B179</f>
        <v>0</v>
      </c>
      <c r="C179" s="53">
        <f>Inicial!C179</f>
        <v>0</v>
      </c>
      <c r="D179" s="54">
        <f>Inicial!D179</f>
        <v>0</v>
      </c>
      <c r="E179" s="52" t="str">
        <f>IF(Inicial!J179="SI",Inicial!E179,"N/A")</f>
        <v>N/A</v>
      </c>
      <c r="F179" s="53" t="str">
        <f>IF(Inicial!J179="SI",Inicial!F179,"N/A")</f>
        <v>N/A</v>
      </c>
      <c r="G179" s="53" t="str">
        <f>IF(Inicial!J179="SI",Inicial!G179,"N/A")</f>
        <v>N/A</v>
      </c>
      <c r="H179" s="53" t="str">
        <f>IF(Inicial!J179="SI",Inicial!H179,"N/A")</f>
        <v>N/A</v>
      </c>
      <c r="I179" s="55" t="str">
        <f>IF(Inicial!J179="SI",Inicial!I179,"N/A")</f>
        <v>N/A</v>
      </c>
      <c r="P179" s="6" t="str">
        <f t="shared" si="6"/>
        <v>Aceptable</v>
      </c>
      <c r="Q179" s="6"/>
      <c r="R179" s="6"/>
      <c r="S179" s="6"/>
      <c r="T179" s="6"/>
      <c r="U179" s="6"/>
      <c r="V179" s="6"/>
      <c r="W179" s="6" t="str">
        <f t="shared" si="7"/>
        <v>Critico</v>
      </c>
    </row>
    <row r="180" spans="1:23">
      <c r="A180" s="52">
        <f>Inicial!A180</f>
        <v>0</v>
      </c>
      <c r="B180" s="53">
        <f>Inicial!B180</f>
        <v>0</v>
      </c>
      <c r="C180" s="53">
        <f>Inicial!C180</f>
        <v>0</v>
      </c>
      <c r="D180" s="54">
        <f>Inicial!D180</f>
        <v>0</v>
      </c>
      <c r="E180" s="52" t="str">
        <f>IF(Inicial!J180="SI",Inicial!E180,"N/A")</f>
        <v>N/A</v>
      </c>
      <c r="F180" s="53" t="str">
        <f>IF(Inicial!J180="SI",Inicial!F180,"N/A")</f>
        <v>N/A</v>
      </c>
      <c r="G180" s="53" t="str">
        <f>IF(Inicial!J180="SI",Inicial!G180,"N/A")</f>
        <v>N/A</v>
      </c>
      <c r="H180" s="53" t="str">
        <f>IF(Inicial!J180="SI",Inicial!H180,"N/A")</f>
        <v>N/A</v>
      </c>
      <c r="I180" s="55" t="str">
        <f>IF(Inicial!J180="SI",Inicial!I180,"N/A")</f>
        <v>N/A</v>
      </c>
      <c r="P180" s="6" t="str">
        <f t="shared" si="6"/>
        <v>Aceptable</v>
      </c>
      <c r="Q180" s="6"/>
      <c r="R180" s="6"/>
      <c r="S180" s="6"/>
      <c r="T180" s="6"/>
      <c r="U180" s="6"/>
      <c r="V180" s="6"/>
      <c r="W180" s="6" t="str">
        <f t="shared" si="7"/>
        <v>Critico</v>
      </c>
    </row>
    <row r="181" spans="1:23">
      <c r="A181" s="52">
        <f>Inicial!A181</f>
        <v>0</v>
      </c>
      <c r="B181" s="53">
        <f>Inicial!B181</f>
        <v>0</v>
      </c>
      <c r="C181" s="53">
        <f>Inicial!C181</f>
        <v>0</v>
      </c>
      <c r="D181" s="54">
        <f>Inicial!D181</f>
        <v>0</v>
      </c>
      <c r="E181" s="52" t="str">
        <f>IF(Inicial!J181="SI",Inicial!E181,"N/A")</f>
        <v>N/A</v>
      </c>
      <c r="F181" s="53" t="str">
        <f>IF(Inicial!J181="SI",Inicial!F181,"N/A")</f>
        <v>N/A</v>
      </c>
      <c r="G181" s="53" t="str">
        <f>IF(Inicial!J181="SI",Inicial!G181,"N/A")</f>
        <v>N/A</v>
      </c>
      <c r="H181" s="53" t="str">
        <f>IF(Inicial!J181="SI",Inicial!H181,"N/A")</f>
        <v>N/A</v>
      </c>
      <c r="I181" s="55" t="str">
        <f>IF(Inicial!J181="SI",Inicial!I181,"N/A")</f>
        <v>N/A</v>
      </c>
      <c r="P181" s="6" t="str">
        <f t="shared" si="6"/>
        <v>Aceptable</v>
      </c>
      <c r="Q181" s="6"/>
      <c r="R181" s="6"/>
      <c r="S181" s="6"/>
      <c r="T181" s="6"/>
      <c r="U181" s="6"/>
      <c r="V181" s="6"/>
      <c r="W181" s="6" t="str">
        <f t="shared" si="7"/>
        <v>Critico</v>
      </c>
    </row>
    <row r="182" spans="1:23">
      <c r="A182" s="52">
        <f>Inicial!A182</f>
        <v>0</v>
      </c>
      <c r="B182" s="53">
        <f>Inicial!B182</f>
        <v>0</v>
      </c>
      <c r="C182" s="53">
        <f>Inicial!C182</f>
        <v>0</v>
      </c>
      <c r="D182" s="54">
        <f>Inicial!D182</f>
        <v>0</v>
      </c>
      <c r="E182" s="52" t="str">
        <f>IF(Inicial!J182="SI",Inicial!E182,"N/A")</f>
        <v>N/A</v>
      </c>
      <c r="F182" s="53" t="str">
        <f>IF(Inicial!J182="SI",Inicial!F182,"N/A")</f>
        <v>N/A</v>
      </c>
      <c r="G182" s="53" t="str">
        <f>IF(Inicial!J182="SI",Inicial!G182,"N/A")</f>
        <v>N/A</v>
      </c>
      <c r="H182" s="53" t="str">
        <f>IF(Inicial!J182="SI",Inicial!H182,"N/A")</f>
        <v>N/A</v>
      </c>
      <c r="I182" s="55" t="str">
        <f>IF(Inicial!J182="SI",Inicial!I182,"N/A")</f>
        <v>N/A</v>
      </c>
      <c r="P182" s="6" t="str">
        <f t="shared" si="6"/>
        <v>Aceptable</v>
      </c>
      <c r="Q182" s="6"/>
      <c r="R182" s="6"/>
      <c r="S182" s="6"/>
      <c r="T182" s="6"/>
      <c r="U182" s="6"/>
      <c r="V182" s="6"/>
      <c r="W182" s="6" t="str">
        <f t="shared" si="7"/>
        <v>Critico</v>
      </c>
    </row>
    <row r="183" spans="1:23">
      <c r="A183" s="52">
        <f>Inicial!A183</f>
        <v>0</v>
      </c>
      <c r="B183" s="53">
        <f>Inicial!B183</f>
        <v>0</v>
      </c>
      <c r="C183" s="53">
        <f>Inicial!C183</f>
        <v>0</v>
      </c>
      <c r="D183" s="54">
        <f>Inicial!D183</f>
        <v>0</v>
      </c>
      <c r="E183" s="52" t="str">
        <f>IF(Inicial!J183="SI",Inicial!E183,"N/A")</f>
        <v>N/A</v>
      </c>
      <c r="F183" s="53" t="str">
        <f>IF(Inicial!J183="SI",Inicial!F183,"N/A")</f>
        <v>N/A</v>
      </c>
      <c r="G183" s="53" t="str">
        <f>IF(Inicial!J183="SI",Inicial!G183,"N/A")</f>
        <v>N/A</v>
      </c>
      <c r="H183" s="53" t="str">
        <f>IF(Inicial!J183="SI",Inicial!H183,"N/A")</f>
        <v>N/A</v>
      </c>
      <c r="I183" s="55" t="str">
        <f>IF(Inicial!J183="SI",Inicial!I183,"N/A")</f>
        <v>N/A</v>
      </c>
      <c r="P183" s="6" t="str">
        <f t="shared" si="6"/>
        <v>Aceptable</v>
      </c>
      <c r="Q183" s="6"/>
      <c r="R183" s="6"/>
      <c r="S183" s="6"/>
      <c r="T183" s="6"/>
      <c r="U183" s="6"/>
      <c r="V183" s="6"/>
      <c r="W183" s="6" t="str">
        <f t="shared" si="7"/>
        <v>Critico</v>
      </c>
    </row>
    <row r="184" spans="1:23">
      <c r="A184" s="52">
        <f>Inicial!A184</f>
        <v>0</v>
      </c>
      <c r="B184" s="53">
        <f>Inicial!B184</f>
        <v>0</v>
      </c>
      <c r="C184" s="53">
        <f>Inicial!C184</f>
        <v>0</v>
      </c>
      <c r="D184" s="54">
        <f>Inicial!D184</f>
        <v>0</v>
      </c>
      <c r="E184" s="52" t="str">
        <f>IF(Inicial!J184="SI",Inicial!E184,"N/A")</f>
        <v>N/A</v>
      </c>
      <c r="F184" s="53" t="str">
        <f>IF(Inicial!J184="SI",Inicial!F184,"N/A")</f>
        <v>N/A</v>
      </c>
      <c r="G184" s="53" t="str">
        <f>IF(Inicial!J184="SI",Inicial!G184,"N/A")</f>
        <v>N/A</v>
      </c>
      <c r="H184" s="53" t="str">
        <f>IF(Inicial!J184="SI",Inicial!H184,"N/A")</f>
        <v>N/A</v>
      </c>
      <c r="I184" s="55" t="str">
        <f>IF(Inicial!J184="SI",Inicial!I184,"N/A")</f>
        <v>N/A</v>
      </c>
      <c r="P184" s="6" t="str">
        <f t="shared" si="6"/>
        <v>Aceptable</v>
      </c>
      <c r="Q184" s="6"/>
      <c r="R184" s="6"/>
      <c r="S184" s="6"/>
      <c r="T184" s="6"/>
      <c r="U184" s="6"/>
      <c r="V184" s="6"/>
      <c r="W184" s="6" t="str">
        <f t="shared" si="7"/>
        <v>Critico</v>
      </c>
    </row>
    <row r="185" spans="1:23">
      <c r="A185" s="52">
        <f>Inicial!A185</f>
        <v>0</v>
      </c>
      <c r="B185" s="53">
        <f>Inicial!B185</f>
        <v>0</v>
      </c>
      <c r="C185" s="53">
        <f>Inicial!C185</f>
        <v>0</v>
      </c>
      <c r="D185" s="54">
        <f>Inicial!D185</f>
        <v>0</v>
      </c>
      <c r="E185" s="52" t="str">
        <f>IF(Inicial!J185="SI",Inicial!E185,"N/A")</f>
        <v>N/A</v>
      </c>
      <c r="F185" s="53" t="str">
        <f>IF(Inicial!J185="SI",Inicial!F185,"N/A")</f>
        <v>N/A</v>
      </c>
      <c r="G185" s="53" t="str">
        <f>IF(Inicial!J185="SI",Inicial!G185,"N/A")</f>
        <v>N/A</v>
      </c>
      <c r="H185" s="53" t="str">
        <f>IF(Inicial!J185="SI",Inicial!H185,"N/A")</f>
        <v>N/A</v>
      </c>
      <c r="I185" s="55" t="str">
        <f>IF(Inicial!J185="SI",Inicial!I185,"N/A")</f>
        <v>N/A</v>
      </c>
      <c r="P185" s="6" t="str">
        <f t="shared" si="6"/>
        <v>Aceptable</v>
      </c>
      <c r="Q185" s="6"/>
      <c r="R185" s="6"/>
      <c r="S185" s="6"/>
      <c r="T185" s="6"/>
      <c r="U185" s="6"/>
      <c r="V185" s="6"/>
      <c r="W185" s="6" t="str">
        <f t="shared" si="7"/>
        <v>Critico</v>
      </c>
    </row>
    <row r="186" spans="1:23">
      <c r="A186" s="52">
        <f>Inicial!A186</f>
        <v>0</v>
      </c>
      <c r="B186" s="53">
        <f>Inicial!B186</f>
        <v>0</v>
      </c>
      <c r="C186" s="53">
        <f>Inicial!C186</f>
        <v>0</v>
      </c>
      <c r="D186" s="54">
        <f>Inicial!D186</f>
        <v>0</v>
      </c>
      <c r="E186" s="52" t="str">
        <f>IF(Inicial!J186="SI",Inicial!E186,"N/A")</f>
        <v>N/A</v>
      </c>
      <c r="F186" s="53" t="str">
        <f>IF(Inicial!J186="SI",Inicial!F186,"N/A")</f>
        <v>N/A</v>
      </c>
      <c r="G186" s="53" t="str">
        <f>IF(Inicial!J186="SI",Inicial!G186,"N/A")</f>
        <v>N/A</v>
      </c>
      <c r="H186" s="53" t="str">
        <f>IF(Inicial!J186="SI",Inicial!H186,"N/A")</f>
        <v>N/A</v>
      </c>
      <c r="I186" s="55" t="str">
        <f>IF(Inicial!J186="SI",Inicial!I186,"N/A")</f>
        <v>N/A</v>
      </c>
      <c r="P186" s="6" t="str">
        <f t="shared" si="6"/>
        <v>Aceptable</v>
      </c>
      <c r="Q186" s="6"/>
      <c r="R186" s="6"/>
      <c r="S186" s="6"/>
      <c r="T186" s="6"/>
      <c r="U186" s="6"/>
      <c r="V186" s="6"/>
      <c r="W186" s="6" t="str">
        <f t="shared" si="7"/>
        <v>Critico</v>
      </c>
    </row>
    <row r="187" spans="1:23">
      <c r="A187" s="52">
        <f>Inicial!A187</f>
        <v>0</v>
      </c>
      <c r="B187" s="53">
        <f>Inicial!B187</f>
        <v>0</v>
      </c>
      <c r="C187" s="53">
        <f>Inicial!C187</f>
        <v>0</v>
      </c>
      <c r="D187" s="54">
        <f>Inicial!D187</f>
        <v>0</v>
      </c>
      <c r="E187" s="52" t="str">
        <f>IF(Inicial!J187="SI",Inicial!E187,"N/A")</f>
        <v>N/A</v>
      </c>
      <c r="F187" s="53" t="str">
        <f>IF(Inicial!J187="SI",Inicial!F187,"N/A")</f>
        <v>N/A</v>
      </c>
      <c r="G187" s="53" t="str">
        <f>IF(Inicial!J187="SI",Inicial!G187,"N/A")</f>
        <v>N/A</v>
      </c>
      <c r="H187" s="53" t="str">
        <f>IF(Inicial!J187="SI",Inicial!H187,"N/A")</f>
        <v>N/A</v>
      </c>
      <c r="I187" s="55" t="str">
        <f>IF(Inicial!J187="SI",Inicial!I187,"N/A")</f>
        <v>N/A</v>
      </c>
      <c r="P187" s="6" t="str">
        <f t="shared" si="6"/>
        <v>Aceptable</v>
      </c>
      <c r="Q187" s="6"/>
      <c r="R187" s="6"/>
      <c r="S187" s="6"/>
      <c r="T187" s="6"/>
      <c r="U187" s="6"/>
      <c r="V187" s="6"/>
      <c r="W187" s="6" t="str">
        <f t="shared" si="7"/>
        <v>Critico</v>
      </c>
    </row>
    <row r="188" spans="1:23">
      <c r="A188" s="52">
        <f>Inicial!A188</f>
        <v>0</v>
      </c>
      <c r="B188" s="53">
        <f>Inicial!B188</f>
        <v>0</v>
      </c>
      <c r="C188" s="53">
        <f>Inicial!C188</f>
        <v>0</v>
      </c>
      <c r="D188" s="54">
        <f>Inicial!D188</f>
        <v>0</v>
      </c>
      <c r="E188" s="52" t="str">
        <f>IF(Inicial!J188="SI",Inicial!E188,"N/A")</f>
        <v>N/A</v>
      </c>
      <c r="F188" s="53" t="str">
        <f>IF(Inicial!J188="SI",Inicial!F188,"N/A")</f>
        <v>N/A</v>
      </c>
      <c r="G188" s="53" t="str">
        <f>IF(Inicial!J188="SI",Inicial!G188,"N/A")</f>
        <v>N/A</v>
      </c>
      <c r="H188" s="53" t="str">
        <f>IF(Inicial!J188="SI",Inicial!H188,"N/A")</f>
        <v>N/A</v>
      </c>
      <c r="I188" s="55" t="str">
        <f>IF(Inicial!J188="SI",Inicial!I188,"N/A")</f>
        <v>N/A</v>
      </c>
      <c r="P188" s="6" t="str">
        <f t="shared" si="6"/>
        <v>Aceptable</v>
      </c>
      <c r="Q188" s="6"/>
      <c r="R188" s="6"/>
      <c r="S188" s="6"/>
      <c r="T188" s="6"/>
      <c r="U188" s="6"/>
      <c r="V188" s="6"/>
      <c r="W188" s="6" t="str">
        <f t="shared" si="7"/>
        <v>Critico</v>
      </c>
    </row>
    <row r="189" spans="1:23">
      <c r="A189" s="52">
        <f>Inicial!A189</f>
        <v>0</v>
      </c>
      <c r="B189" s="53">
        <f>Inicial!B189</f>
        <v>0</v>
      </c>
      <c r="C189" s="53">
        <f>Inicial!C189</f>
        <v>0</v>
      </c>
      <c r="D189" s="54">
        <f>Inicial!D189</f>
        <v>0</v>
      </c>
      <c r="E189" s="52" t="str">
        <f>IF(Inicial!J189="SI",Inicial!E189,"N/A")</f>
        <v>N/A</v>
      </c>
      <c r="F189" s="53" t="str">
        <f>IF(Inicial!J189="SI",Inicial!F189,"N/A")</f>
        <v>N/A</v>
      </c>
      <c r="G189" s="53" t="str">
        <f>IF(Inicial!J189="SI",Inicial!G189,"N/A")</f>
        <v>N/A</v>
      </c>
      <c r="H189" s="53" t="str">
        <f>IF(Inicial!J189="SI",Inicial!H189,"N/A")</f>
        <v>N/A</v>
      </c>
      <c r="I189" s="55" t="str">
        <f>IF(Inicial!J189="SI",Inicial!I189,"N/A")</f>
        <v>N/A</v>
      </c>
      <c r="P189" s="6" t="str">
        <f t="shared" si="6"/>
        <v>Aceptable</v>
      </c>
      <c r="Q189" s="6"/>
      <c r="R189" s="6"/>
      <c r="S189" s="6"/>
      <c r="T189" s="6"/>
      <c r="U189" s="6"/>
      <c r="V189" s="6"/>
      <c r="W189" s="6" t="str">
        <f t="shared" si="7"/>
        <v>Critico</v>
      </c>
    </row>
    <row r="190" spans="1:23">
      <c r="A190" s="52">
        <f>Inicial!A190</f>
        <v>0</v>
      </c>
      <c r="B190" s="53">
        <f>Inicial!B190</f>
        <v>0</v>
      </c>
      <c r="C190" s="53">
        <f>Inicial!C190</f>
        <v>0</v>
      </c>
      <c r="D190" s="54">
        <f>Inicial!D190</f>
        <v>0</v>
      </c>
      <c r="E190" s="52" t="str">
        <f>IF(Inicial!J190="SI",Inicial!E190,"N/A")</f>
        <v>N/A</v>
      </c>
      <c r="F190" s="53" t="str">
        <f>IF(Inicial!J190="SI",Inicial!F190,"N/A")</f>
        <v>N/A</v>
      </c>
      <c r="G190" s="53" t="str">
        <f>IF(Inicial!J190="SI",Inicial!G190,"N/A")</f>
        <v>N/A</v>
      </c>
      <c r="H190" s="53" t="str">
        <f>IF(Inicial!J190="SI",Inicial!H190,"N/A")</f>
        <v>N/A</v>
      </c>
      <c r="I190" s="55" t="str">
        <f>IF(Inicial!J190="SI",Inicial!I190,"N/A")</f>
        <v>N/A</v>
      </c>
      <c r="P190" s="6" t="str">
        <f t="shared" si="6"/>
        <v>Aceptable</v>
      </c>
      <c r="Q190" s="6"/>
      <c r="R190" s="6"/>
      <c r="S190" s="6"/>
      <c r="T190" s="6"/>
      <c r="U190" s="6"/>
      <c r="V190" s="6"/>
      <c r="W190" s="6" t="str">
        <f t="shared" si="7"/>
        <v>Critico</v>
      </c>
    </row>
    <row r="191" spans="1:23">
      <c r="A191" s="52">
        <f>Inicial!A191</f>
        <v>0</v>
      </c>
      <c r="B191" s="53">
        <f>Inicial!B191</f>
        <v>0</v>
      </c>
      <c r="C191" s="53">
        <f>Inicial!C191</f>
        <v>0</v>
      </c>
      <c r="D191" s="54">
        <f>Inicial!D191</f>
        <v>0</v>
      </c>
      <c r="E191" s="52" t="str">
        <f>IF(Inicial!J191="SI",Inicial!E191,"N/A")</f>
        <v>N/A</v>
      </c>
      <c r="F191" s="53" t="str">
        <f>IF(Inicial!J191="SI",Inicial!F191,"N/A")</f>
        <v>N/A</v>
      </c>
      <c r="G191" s="53" t="str">
        <f>IF(Inicial!J191="SI",Inicial!G191,"N/A")</f>
        <v>N/A</v>
      </c>
      <c r="H191" s="53" t="str">
        <f>IF(Inicial!J191="SI",Inicial!H191,"N/A")</f>
        <v>N/A</v>
      </c>
      <c r="I191" s="55" t="str">
        <f>IF(Inicial!J191="SI",Inicial!I191,"N/A")</f>
        <v>N/A</v>
      </c>
      <c r="P191" s="6" t="str">
        <f t="shared" si="6"/>
        <v>Aceptable</v>
      </c>
      <c r="Q191" s="6"/>
      <c r="R191" s="6"/>
      <c r="S191" s="6"/>
      <c r="T191" s="6"/>
      <c r="U191" s="6"/>
      <c r="V191" s="6"/>
      <c r="W191" s="6" t="str">
        <f t="shared" si="7"/>
        <v>Critico</v>
      </c>
    </row>
    <row r="192" spans="1:23">
      <c r="A192" s="52">
        <f>Inicial!A192</f>
        <v>0</v>
      </c>
      <c r="B192" s="53">
        <f>Inicial!B192</f>
        <v>0</v>
      </c>
      <c r="C192" s="53">
        <f>Inicial!C192</f>
        <v>0</v>
      </c>
      <c r="D192" s="54">
        <f>Inicial!D192</f>
        <v>0</v>
      </c>
      <c r="E192" s="52" t="str">
        <f>IF(Inicial!J192="SI",Inicial!E192,"N/A")</f>
        <v>N/A</v>
      </c>
      <c r="F192" s="53" t="str">
        <f>IF(Inicial!J192="SI",Inicial!F192,"N/A")</f>
        <v>N/A</v>
      </c>
      <c r="G192" s="53" t="str">
        <f>IF(Inicial!J192="SI",Inicial!G192,"N/A")</f>
        <v>N/A</v>
      </c>
      <c r="H192" s="53" t="str">
        <f>IF(Inicial!J192="SI",Inicial!H192,"N/A")</f>
        <v>N/A</v>
      </c>
      <c r="I192" s="55" t="str">
        <f>IF(Inicial!J192="SI",Inicial!I192,"N/A")</f>
        <v>N/A</v>
      </c>
      <c r="P192" s="6" t="str">
        <f t="shared" si="6"/>
        <v>Aceptable</v>
      </c>
      <c r="Q192" s="6"/>
      <c r="R192" s="6"/>
      <c r="S192" s="6"/>
      <c r="T192" s="6"/>
      <c r="U192" s="6"/>
      <c r="V192" s="6"/>
      <c r="W192" s="6" t="str">
        <f t="shared" si="7"/>
        <v>Critico</v>
      </c>
    </row>
    <row r="193" spans="1:23">
      <c r="A193" s="52">
        <f>Inicial!A193</f>
        <v>0</v>
      </c>
      <c r="B193" s="53">
        <f>Inicial!B193</f>
        <v>0</v>
      </c>
      <c r="C193" s="53">
        <f>Inicial!C193</f>
        <v>0</v>
      </c>
      <c r="D193" s="54">
        <f>Inicial!D193</f>
        <v>0</v>
      </c>
      <c r="E193" s="52" t="str">
        <f>IF(Inicial!J193="SI",Inicial!E193,"N/A")</f>
        <v>N/A</v>
      </c>
      <c r="F193" s="53" t="str">
        <f>IF(Inicial!J193="SI",Inicial!F193,"N/A")</f>
        <v>N/A</v>
      </c>
      <c r="G193" s="53" t="str">
        <f>IF(Inicial!J193="SI",Inicial!G193,"N/A")</f>
        <v>N/A</v>
      </c>
      <c r="H193" s="53" t="str">
        <f>IF(Inicial!J193="SI",Inicial!H193,"N/A")</f>
        <v>N/A</v>
      </c>
      <c r="I193" s="55" t="str">
        <f>IF(Inicial!J193="SI",Inicial!I193,"N/A")</f>
        <v>N/A</v>
      </c>
      <c r="P193" s="6" t="str">
        <f t="shared" si="6"/>
        <v>Aceptable</v>
      </c>
      <c r="Q193" s="6"/>
      <c r="R193" s="6"/>
      <c r="S193" s="6"/>
      <c r="T193" s="6"/>
      <c r="U193" s="6"/>
      <c r="V193" s="6"/>
      <c r="W193" s="6" t="str">
        <f t="shared" si="7"/>
        <v>Critico</v>
      </c>
    </row>
    <row r="194" spans="1:23">
      <c r="A194" s="52">
        <f>Inicial!A194</f>
        <v>0</v>
      </c>
      <c r="B194" s="53">
        <f>Inicial!B194</f>
        <v>0</v>
      </c>
      <c r="C194" s="53">
        <f>Inicial!C194</f>
        <v>0</v>
      </c>
      <c r="D194" s="54">
        <f>Inicial!D194</f>
        <v>0</v>
      </c>
      <c r="E194" s="52" t="str">
        <f>IF(Inicial!J194="SI",Inicial!E194,"N/A")</f>
        <v>N/A</v>
      </c>
      <c r="F194" s="53" t="str">
        <f>IF(Inicial!J194="SI",Inicial!F194,"N/A")</f>
        <v>N/A</v>
      </c>
      <c r="G194" s="53" t="str">
        <f>IF(Inicial!J194="SI",Inicial!G194,"N/A")</f>
        <v>N/A</v>
      </c>
      <c r="H194" s="53" t="str">
        <f>IF(Inicial!J194="SI",Inicial!H194,"N/A")</f>
        <v>N/A</v>
      </c>
      <c r="I194" s="55" t="str">
        <f>IF(Inicial!J194="SI",Inicial!I194,"N/A")</f>
        <v>N/A</v>
      </c>
      <c r="P194" s="6" t="str">
        <f t="shared" ref="P194:P249" si="8">IF(OR(J194="NO",K194="NO",L194="NO",M194="NO",N194="NO",O194="NO"),"No Aceptable","Aceptable")</f>
        <v>Aceptable</v>
      </c>
      <c r="Q194" s="6"/>
      <c r="R194" s="6"/>
      <c r="S194" s="6"/>
      <c r="T194" s="6"/>
      <c r="U194" s="6"/>
      <c r="V194" s="6"/>
      <c r="W194" s="6" t="str">
        <f t="shared" ref="W194:W249" si="9">IF(AND(Q194="NO",R194="NO",S194="NO",T194="NO",U194="NO",V194="NO"),"No Critico","Critico")</f>
        <v>Critico</v>
      </c>
    </row>
    <row r="195" spans="1:23">
      <c r="A195" s="52">
        <f>Inicial!A195</f>
        <v>0</v>
      </c>
      <c r="B195" s="53">
        <f>Inicial!B195</f>
        <v>0</v>
      </c>
      <c r="C195" s="53">
        <f>Inicial!C195</f>
        <v>0</v>
      </c>
      <c r="D195" s="54">
        <f>Inicial!D195</f>
        <v>0</v>
      </c>
      <c r="E195" s="52" t="str">
        <f>IF(Inicial!J195="SI",Inicial!E195,"N/A")</f>
        <v>N/A</v>
      </c>
      <c r="F195" s="53" t="str">
        <f>IF(Inicial!J195="SI",Inicial!F195,"N/A")</f>
        <v>N/A</v>
      </c>
      <c r="G195" s="53" t="str">
        <f>IF(Inicial!J195="SI",Inicial!G195,"N/A")</f>
        <v>N/A</v>
      </c>
      <c r="H195" s="53" t="str">
        <f>IF(Inicial!J195="SI",Inicial!H195,"N/A")</f>
        <v>N/A</v>
      </c>
      <c r="I195" s="55" t="str">
        <f>IF(Inicial!J195="SI",Inicial!I195,"N/A")</f>
        <v>N/A</v>
      </c>
      <c r="P195" s="6" t="str">
        <f t="shared" si="8"/>
        <v>Aceptable</v>
      </c>
      <c r="Q195" s="6"/>
      <c r="R195" s="6"/>
      <c r="S195" s="6"/>
      <c r="T195" s="6"/>
      <c r="U195" s="6"/>
      <c r="V195" s="6"/>
      <c r="W195" s="6" t="str">
        <f t="shared" si="9"/>
        <v>Critico</v>
      </c>
    </row>
    <row r="196" spans="1:23">
      <c r="A196" s="52">
        <f>Inicial!A196</f>
        <v>0</v>
      </c>
      <c r="B196" s="53">
        <f>Inicial!B196</f>
        <v>0</v>
      </c>
      <c r="C196" s="53">
        <f>Inicial!C196</f>
        <v>0</v>
      </c>
      <c r="D196" s="54">
        <f>Inicial!D196</f>
        <v>0</v>
      </c>
      <c r="E196" s="52" t="str">
        <f>IF(Inicial!J196="SI",Inicial!E196,"N/A")</f>
        <v>N/A</v>
      </c>
      <c r="F196" s="53" t="str">
        <f>IF(Inicial!J196="SI",Inicial!F196,"N/A")</f>
        <v>N/A</v>
      </c>
      <c r="G196" s="53" t="str">
        <f>IF(Inicial!J196="SI",Inicial!G196,"N/A")</f>
        <v>N/A</v>
      </c>
      <c r="H196" s="53" t="str">
        <f>IF(Inicial!J196="SI",Inicial!H196,"N/A")</f>
        <v>N/A</v>
      </c>
      <c r="I196" s="55" t="str">
        <f>IF(Inicial!J196="SI",Inicial!I196,"N/A")</f>
        <v>N/A</v>
      </c>
      <c r="P196" s="6" t="str">
        <f t="shared" si="8"/>
        <v>Aceptable</v>
      </c>
      <c r="Q196" s="6"/>
      <c r="R196" s="6"/>
      <c r="S196" s="6"/>
      <c r="T196" s="6"/>
      <c r="U196" s="6"/>
      <c r="V196" s="6"/>
      <c r="W196" s="6" t="str">
        <f t="shared" si="9"/>
        <v>Critico</v>
      </c>
    </row>
    <row r="197" spans="1:23">
      <c r="A197" s="52">
        <f>Inicial!A197</f>
        <v>0</v>
      </c>
      <c r="B197" s="53">
        <f>Inicial!B197</f>
        <v>0</v>
      </c>
      <c r="C197" s="53">
        <f>Inicial!C197</f>
        <v>0</v>
      </c>
      <c r="D197" s="54">
        <f>Inicial!D197</f>
        <v>0</v>
      </c>
      <c r="E197" s="52" t="str">
        <f>IF(Inicial!J197="SI",Inicial!E197,"N/A")</f>
        <v>N/A</v>
      </c>
      <c r="F197" s="53" t="str">
        <f>IF(Inicial!J197="SI",Inicial!F197,"N/A")</f>
        <v>N/A</v>
      </c>
      <c r="G197" s="53" t="str">
        <f>IF(Inicial!J197="SI",Inicial!G197,"N/A")</f>
        <v>N/A</v>
      </c>
      <c r="H197" s="53" t="str">
        <f>IF(Inicial!J197="SI",Inicial!H197,"N/A")</f>
        <v>N/A</v>
      </c>
      <c r="I197" s="55" t="str">
        <f>IF(Inicial!J197="SI",Inicial!I197,"N/A")</f>
        <v>N/A</v>
      </c>
      <c r="P197" s="6" t="str">
        <f t="shared" si="8"/>
        <v>Aceptable</v>
      </c>
      <c r="Q197" s="6"/>
      <c r="R197" s="6"/>
      <c r="S197" s="6"/>
      <c r="T197" s="6"/>
      <c r="U197" s="6"/>
      <c r="V197" s="6"/>
      <c r="W197" s="6" t="str">
        <f t="shared" si="9"/>
        <v>Critico</v>
      </c>
    </row>
    <row r="198" spans="1:23">
      <c r="A198" s="52">
        <f>Inicial!A198</f>
        <v>0</v>
      </c>
      <c r="B198" s="53">
        <f>Inicial!B198</f>
        <v>0</v>
      </c>
      <c r="C198" s="53">
        <f>Inicial!C198</f>
        <v>0</v>
      </c>
      <c r="D198" s="54">
        <f>Inicial!D198</f>
        <v>0</v>
      </c>
      <c r="E198" s="52" t="str">
        <f>IF(Inicial!J198="SI",Inicial!E198,"N/A")</f>
        <v>N/A</v>
      </c>
      <c r="F198" s="53" t="str">
        <f>IF(Inicial!J198="SI",Inicial!F198,"N/A")</f>
        <v>N/A</v>
      </c>
      <c r="G198" s="53" t="str">
        <f>IF(Inicial!J198="SI",Inicial!G198,"N/A")</f>
        <v>N/A</v>
      </c>
      <c r="H198" s="53" t="str">
        <f>IF(Inicial!J198="SI",Inicial!H198,"N/A")</f>
        <v>N/A</v>
      </c>
      <c r="I198" s="55" t="str">
        <f>IF(Inicial!J198="SI",Inicial!I198,"N/A")</f>
        <v>N/A</v>
      </c>
      <c r="P198" s="6" t="str">
        <f t="shared" si="8"/>
        <v>Aceptable</v>
      </c>
      <c r="Q198" s="6"/>
      <c r="R198" s="6"/>
      <c r="S198" s="6"/>
      <c r="T198" s="6"/>
      <c r="U198" s="6"/>
      <c r="V198" s="6"/>
      <c r="W198" s="6" t="str">
        <f t="shared" si="9"/>
        <v>Critico</v>
      </c>
    </row>
    <row r="199" spans="1:23">
      <c r="A199" s="52">
        <f>Inicial!A199</f>
        <v>0</v>
      </c>
      <c r="B199" s="53">
        <f>Inicial!B199</f>
        <v>0</v>
      </c>
      <c r="C199" s="53">
        <f>Inicial!C199</f>
        <v>0</v>
      </c>
      <c r="D199" s="54">
        <f>Inicial!D199</f>
        <v>0</v>
      </c>
      <c r="E199" s="52" t="str">
        <f>IF(Inicial!J199="SI",Inicial!E199,"N/A")</f>
        <v>N/A</v>
      </c>
      <c r="F199" s="53" t="str">
        <f>IF(Inicial!J199="SI",Inicial!F199,"N/A")</f>
        <v>N/A</v>
      </c>
      <c r="G199" s="53" t="str">
        <f>IF(Inicial!J199="SI",Inicial!G199,"N/A")</f>
        <v>N/A</v>
      </c>
      <c r="H199" s="53" t="str">
        <f>IF(Inicial!J199="SI",Inicial!H199,"N/A")</f>
        <v>N/A</v>
      </c>
      <c r="I199" s="55" t="str">
        <f>IF(Inicial!J199="SI",Inicial!I199,"N/A")</f>
        <v>N/A</v>
      </c>
      <c r="P199" s="6" t="str">
        <f t="shared" si="8"/>
        <v>Aceptable</v>
      </c>
      <c r="Q199" s="6"/>
      <c r="R199" s="6"/>
      <c r="S199" s="6"/>
      <c r="T199" s="6"/>
      <c r="U199" s="6"/>
      <c r="V199" s="6"/>
      <c r="W199" s="6" t="str">
        <f t="shared" si="9"/>
        <v>Critico</v>
      </c>
    </row>
    <row r="200" spans="1:23">
      <c r="A200" s="52">
        <f>Inicial!A200</f>
        <v>0</v>
      </c>
      <c r="B200" s="53">
        <f>Inicial!B200</f>
        <v>0</v>
      </c>
      <c r="C200" s="53">
        <f>Inicial!C200</f>
        <v>0</v>
      </c>
      <c r="D200" s="54">
        <f>Inicial!D200</f>
        <v>0</v>
      </c>
      <c r="E200" s="52" t="str">
        <f>IF(Inicial!J200="SI",Inicial!E200,"N/A")</f>
        <v>N/A</v>
      </c>
      <c r="F200" s="53" t="str">
        <f>IF(Inicial!J200="SI",Inicial!F200,"N/A")</f>
        <v>N/A</v>
      </c>
      <c r="G200" s="53" t="str">
        <f>IF(Inicial!J200="SI",Inicial!G200,"N/A")</f>
        <v>N/A</v>
      </c>
      <c r="H200" s="53" t="str">
        <f>IF(Inicial!J200="SI",Inicial!H200,"N/A")</f>
        <v>N/A</v>
      </c>
      <c r="I200" s="55" t="str">
        <f>IF(Inicial!J200="SI",Inicial!I200,"N/A")</f>
        <v>N/A</v>
      </c>
      <c r="P200" s="6" t="str">
        <f t="shared" si="8"/>
        <v>Aceptable</v>
      </c>
      <c r="Q200" s="6"/>
      <c r="R200" s="6"/>
      <c r="S200" s="6"/>
      <c r="T200" s="6"/>
      <c r="U200" s="6"/>
      <c r="V200" s="6"/>
      <c r="W200" s="6" t="str">
        <f t="shared" si="9"/>
        <v>Critico</v>
      </c>
    </row>
    <row r="201" spans="1:23">
      <c r="A201" s="52">
        <f>Inicial!A201</f>
        <v>0</v>
      </c>
      <c r="B201" s="53">
        <f>Inicial!B201</f>
        <v>0</v>
      </c>
      <c r="C201" s="53">
        <f>Inicial!C201</f>
        <v>0</v>
      </c>
      <c r="D201" s="54">
        <f>Inicial!D201</f>
        <v>0</v>
      </c>
      <c r="E201" s="52" t="str">
        <f>IF(Inicial!J201="SI",Inicial!E201,"N/A")</f>
        <v>N/A</v>
      </c>
      <c r="F201" s="53" t="str">
        <f>IF(Inicial!J201="SI",Inicial!F201,"N/A")</f>
        <v>N/A</v>
      </c>
      <c r="G201" s="53" t="str">
        <f>IF(Inicial!J201="SI",Inicial!G201,"N/A")</f>
        <v>N/A</v>
      </c>
      <c r="H201" s="53" t="str">
        <f>IF(Inicial!J201="SI",Inicial!H201,"N/A")</f>
        <v>N/A</v>
      </c>
      <c r="I201" s="55" t="str">
        <f>IF(Inicial!J201="SI",Inicial!I201,"N/A")</f>
        <v>N/A</v>
      </c>
      <c r="P201" s="6" t="str">
        <f t="shared" si="8"/>
        <v>Aceptable</v>
      </c>
      <c r="Q201" s="6"/>
      <c r="R201" s="6"/>
      <c r="S201" s="6"/>
      <c r="T201" s="6"/>
      <c r="U201" s="6"/>
      <c r="V201" s="6"/>
      <c r="W201" s="6" t="str">
        <f t="shared" si="9"/>
        <v>Critico</v>
      </c>
    </row>
    <row r="202" spans="1:23">
      <c r="A202" s="52">
        <f>Inicial!A202</f>
        <v>0</v>
      </c>
      <c r="B202" s="53">
        <f>Inicial!B202</f>
        <v>0</v>
      </c>
      <c r="C202" s="53">
        <f>Inicial!C202</f>
        <v>0</v>
      </c>
      <c r="D202" s="54">
        <f>Inicial!D202</f>
        <v>0</v>
      </c>
      <c r="E202" s="52" t="str">
        <f>IF(Inicial!J202="SI",Inicial!E202,"N/A")</f>
        <v>N/A</v>
      </c>
      <c r="F202" s="53" t="str">
        <f>IF(Inicial!J202="SI",Inicial!F202,"N/A")</f>
        <v>N/A</v>
      </c>
      <c r="G202" s="53" t="str">
        <f>IF(Inicial!J202="SI",Inicial!G202,"N/A")</f>
        <v>N/A</v>
      </c>
      <c r="H202" s="53" t="str">
        <f>IF(Inicial!J202="SI",Inicial!H202,"N/A")</f>
        <v>N/A</v>
      </c>
      <c r="I202" s="55" t="str">
        <f>IF(Inicial!J202="SI",Inicial!I202,"N/A")</f>
        <v>N/A</v>
      </c>
      <c r="P202" s="6" t="str">
        <f t="shared" si="8"/>
        <v>Aceptable</v>
      </c>
      <c r="Q202" s="6"/>
      <c r="R202" s="6"/>
      <c r="S202" s="6"/>
      <c r="T202" s="6"/>
      <c r="U202" s="6"/>
      <c r="V202" s="6"/>
      <c r="W202" s="6" t="str">
        <f t="shared" si="9"/>
        <v>Critico</v>
      </c>
    </row>
    <row r="203" spans="1:23">
      <c r="A203" s="52">
        <f>Inicial!A203</f>
        <v>0</v>
      </c>
      <c r="B203" s="53">
        <f>Inicial!B203</f>
        <v>0</v>
      </c>
      <c r="C203" s="53">
        <f>Inicial!C203</f>
        <v>0</v>
      </c>
      <c r="D203" s="54">
        <f>Inicial!D203</f>
        <v>0</v>
      </c>
      <c r="E203" s="52" t="str">
        <f>IF(Inicial!J203="SI",Inicial!E203,"N/A")</f>
        <v>N/A</v>
      </c>
      <c r="F203" s="53" t="str">
        <f>IF(Inicial!J203="SI",Inicial!F203,"N/A")</f>
        <v>N/A</v>
      </c>
      <c r="G203" s="53" t="str">
        <f>IF(Inicial!J203="SI",Inicial!G203,"N/A")</f>
        <v>N/A</v>
      </c>
      <c r="H203" s="53" t="str">
        <f>IF(Inicial!J203="SI",Inicial!H203,"N/A")</f>
        <v>N/A</v>
      </c>
      <c r="I203" s="55" t="str">
        <f>IF(Inicial!J203="SI",Inicial!I203,"N/A")</f>
        <v>N/A</v>
      </c>
      <c r="P203" s="6" t="str">
        <f t="shared" si="8"/>
        <v>Aceptable</v>
      </c>
      <c r="Q203" s="6"/>
      <c r="R203" s="6"/>
      <c r="S203" s="6"/>
      <c r="T203" s="6"/>
      <c r="U203" s="6"/>
      <c r="V203" s="6"/>
      <c r="W203" s="6" t="str">
        <f t="shared" si="9"/>
        <v>Critico</v>
      </c>
    </row>
    <row r="204" spans="1:23">
      <c r="A204" s="52">
        <f>Inicial!A204</f>
        <v>0</v>
      </c>
      <c r="B204" s="53">
        <f>Inicial!B204</f>
        <v>0</v>
      </c>
      <c r="C204" s="53">
        <f>Inicial!C204</f>
        <v>0</v>
      </c>
      <c r="D204" s="54">
        <f>Inicial!D204</f>
        <v>0</v>
      </c>
      <c r="E204" s="52" t="str">
        <f>IF(Inicial!J204="SI",Inicial!E204,"N/A")</f>
        <v>N/A</v>
      </c>
      <c r="F204" s="53" t="str">
        <f>IF(Inicial!J204="SI",Inicial!F204,"N/A")</f>
        <v>N/A</v>
      </c>
      <c r="G204" s="53" t="str">
        <f>IF(Inicial!J204="SI",Inicial!G204,"N/A")</f>
        <v>N/A</v>
      </c>
      <c r="H204" s="53" t="str">
        <f>IF(Inicial!J204="SI",Inicial!H204,"N/A")</f>
        <v>N/A</v>
      </c>
      <c r="I204" s="55" t="str">
        <f>IF(Inicial!J204="SI",Inicial!I204,"N/A")</f>
        <v>N/A</v>
      </c>
      <c r="P204" s="6" t="str">
        <f t="shared" si="8"/>
        <v>Aceptable</v>
      </c>
      <c r="Q204" s="6"/>
      <c r="R204" s="6"/>
      <c r="S204" s="6"/>
      <c r="T204" s="6"/>
      <c r="U204" s="6"/>
      <c r="V204" s="6"/>
      <c r="W204" s="6" t="str">
        <f t="shared" si="9"/>
        <v>Critico</v>
      </c>
    </row>
    <row r="205" spans="1:23">
      <c r="A205" s="52">
        <f>Inicial!A205</f>
        <v>0</v>
      </c>
      <c r="B205" s="53">
        <f>Inicial!B205</f>
        <v>0</v>
      </c>
      <c r="C205" s="53">
        <f>Inicial!C205</f>
        <v>0</v>
      </c>
      <c r="D205" s="54">
        <f>Inicial!D205</f>
        <v>0</v>
      </c>
      <c r="E205" s="52" t="str">
        <f>IF(Inicial!J205="SI",Inicial!E205,"N/A")</f>
        <v>N/A</v>
      </c>
      <c r="F205" s="53" t="str">
        <f>IF(Inicial!J205="SI",Inicial!F205,"N/A")</f>
        <v>N/A</v>
      </c>
      <c r="G205" s="53" t="str">
        <f>IF(Inicial!J205="SI",Inicial!G205,"N/A")</f>
        <v>N/A</v>
      </c>
      <c r="H205" s="53" t="str">
        <f>IF(Inicial!J205="SI",Inicial!H205,"N/A")</f>
        <v>N/A</v>
      </c>
      <c r="I205" s="55" t="str">
        <f>IF(Inicial!J205="SI",Inicial!I205,"N/A")</f>
        <v>N/A</v>
      </c>
      <c r="P205" s="6" t="str">
        <f t="shared" si="8"/>
        <v>Aceptable</v>
      </c>
      <c r="Q205" s="6"/>
      <c r="R205" s="6"/>
      <c r="S205" s="6"/>
      <c r="T205" s="6"/>
      <c r="U205" s="6"/>
      <c r="V205" s="6"/>
      <c r="W205" s="6" t="str">
        <f t="shared" si="9"/>
        <v>Critico</v>
      </c>
    </row>
    <row r="206" spans="1:23">
      <c r="A206" s="52">
        <f>Inicial!A206</f>
        <v>0</v>
      </c>
      <c r="B206" s="53">
        <f>Inicial!B206</f>
        <v>0</v>
      </c>
      <c r="C206" s="53">
        <f>Inicial!C206</f>
        <v>0</v>
      </c>
      <c r="D206" s="54">
        <f>Inicial!D206</f>
        <v>0</v>
      </c>
      <c r="E206" s="52" t="str">
        <f>IF(Inicial!J206="SI",Inicial!E206,"N/A")</f>
        <v>N/A</v>
      </c>
      <c r="F206" s="53" t="str">
        <f>IF(Inicial!J206="SI",Inicial!F206,"N/A")</f>
        <v>N/A</v>
      </c>
      <c r="G206" s="53" t="str">
        <f>IF(Inicial!J206="SI",Inicial!G206,"N/A")</f>
        <v>N/A</v>
      </c>
      <c r="H206" s="53" t="str">
        <f>IF(Inicial!J206="SI",Inicial!H206,"N/A")</f>
        <v>N/A</v>
      </c>
      <c r="I206" s="55" t="str">
        <f>IF(Inicial!J206="SI",Inicial!I206,"N/A")</f>
        <v>N/A</v>
      </c>
      <c r="P206" s="6" t="str">
        <f t="shared" si="8"/>
        <v>Aceptable</v>
      </c>
      <c r="Q206" s="6"/>
      <c r="R206" s="6"/>
      <c r="S206" s="6"/>
      <c r="T206" s="6"/>
      <c r="U206" s="6"/>
      <c r="V206" s="6"/>
      <c r="W206" s="6" t="str">
        <f t="shared" si="9"/>
        <v>Critico</v>
      </c>
    </row>
    <row r="207" spans="1:23">
      <c r="A207" s="52">
        <f>Inicial!A207</f>
        <v>0</v>
      </c>
      <c r="B207" s="53">
        <f>Inicial!B207</f>
        <v>0</v>
      </c>
      <c r="C207" s="53">
        <f>Inicial!C207</f>
        <v>0</v>
      </c>
      <c r="D207" s="54">
        <f>Inicial!D207</f>
        <v>0</v>
      </c>
      <c r="E207" s="52" t="str">
        <f>IF(Inicial!J207="SI",Inicial!E207,"N/A")</f>
        <v>N/A</v>
      </c>
      <c r="F207" s="53" t="str">
        <f>IF(Inicial!J207="SI",Inicial!F207,"N/A")</f>
        <v>N/A</v>
      </c>
      <c r="G207" s="53" t="str">
        <f>IF(Inicial!J207="SI",Inicial!G207,"N/A")</f>
        <v>N/A</v>
      </c>
      <c r="H207" s="53" t="str">
        <f>IF(Inicial!J207="SI",Inicial!H207,"N/A")</f>
        <v>N/A</v>
      </c>
      <c r="I207" s="55" t="str">
        <f>IF(Inicial!J207="SI",Inicial!I207,"N/A")</f>
        <v>N/A</v>
      </c>
      <c r="P207" s="6" t="str">
        <f t="shared" si="8"/>
        <v>Aceptable</v>
      </c>
      <c r="Q207" s="6"/>
      <c r="R207" s="6"/>
      <c r="S207" s="6"/>
      <c r="T207" s="6"/>
      <c r="U207" s="6"/>
      <c r="V207" s="6"/>
      <c r="W207" s="6" t="str">
        <f t="shared" si="9"/>
        <v>Critico</v>
      </c>
    </row>
    <row r="208" spans="1:23">
      <c r="A208" s="52">
        <f>Inicial!A208</f>
        <v>0</v>
      </c>
      <c r="B208" s="53">
        <f>Inicial!B208</f>
        <v>0</v>
      </c>
      <c r="C208" s="53">
        <f>Inicial!C208</f>
        <v>0</v>
      </c>
      <c r="D208" s="54">
        <f>Inicial!D208</f>
        <v>0</v>
      </c>
      <c r="E208" s="52" t="str">
        <f>IF(Inicial!J208="SI",Inicial!E208,"N/A")</f>
        <v>N/A</v>
      </c>
      <c r="F208" s="53" t="str">
        <f>IF(Inicial!J208="SI",Inicial!F208,"N/A")</f>
        <v>N/A</v>
      </c>
      <c r="G208" s="53" t="str">
        <f>IF(Inicial!J208="SI",Inicial!G208,"N/A")</f>
        <v>N/A</v>
      </c>
      <c r="H208" s="53" t="str">
        <f>IF(Inicial!J208="SI",Inicial!H208,"N/A")</f>
        <v>N/A</v>
      </c>
      <c r="I208" s="55" t="str">
        <f>IF(Inicial!J208="SI",Inicial!I208,"N/A")</f>
        <v>N/A</v>
      </c>
      <c r="P208" s="6" t="str">
        <f t="shared" si="8"/>
        <v>Aceptable</v>
      </c>
      <c r="Q208" s="6"/>
      <c r="R208" s="6"/>
      <c r="S208" s="6"/>
      <c r="T208" s="6"/>
      <c r="U208" s="6"/>
      <c r="V208" s="6"/>
      <c r="W208" s="6" t="str">
        <f t="shared" si="9"/>
        <v>Critico</v>
      </c>
    </row>
    <row r="209" spans="1:23">
      <c r="A209" s="52">
        <f>Inicial!A205</f>
        <v>0</v>
      </c>
      <c r="B209" s="53">
        <f>Inicial!B205</f>
        <v>0</v>
      </c>
      <c r="C209" s="53">
        <f>Inicial!C205</f>
        <v>0</v>
      </c>
      <c r="D209" s="54">
        <f>Inicial!D205</f>
        <v>0</v>
      </c>
      <c r="E209" s="52" t="str">
        <f>IF(Inicial!J205="SI",Inicial!E205,"N/A")</f>
        <v>N/A</v>
      </c>
      <c r="F209" s="53" t="str">
        <f>IF(Inicial!J205="SI",Inicial!F205,"N/A")</f>
        <v>N/A</v>
      </c>
      <c r="G209" s="53" t="str">
        <f>IF(Inicial!J205="SI",Inicial!G205,"N/A")</f>
        <v>N/A</v>
      </c>
      <c r="H209" s="53" t="str">
        <f>IF(Inicial!J205="SI",Inicial!H205,"N/A")</f>
        <v>N/A</v>
      </c>
      <c r="I209" s="55" t="str">
        <f>IF(Inicial!J205="SI",Inicial!I205,"N/A")</f>
        <v>N/A</v>
      </c>
      <c r="P209" s="6" t="str">
        <f t="shared" si="8"/>
        <v>Aceptable</v>
      </c>
      <c r="Q209" s="6"/>
      <c r="R209" s="6"/>
      <c r="S209" s="6"/>
      <c r="T209" s="6"/>
      <c r="U209" s="6"/>
      <c r="V209" s="6"/>
      <c r="W209" s="6" t="str">
        <f t="shared" si="9"/>
        <v>Critico</v>
      </c>
    </row>
    <row r="210" spans="1:23">
      <c r="A210" s="52">
        <f>Inicial!A206</f>
        <v>0</v>
      </c>
      <c r="B210" s="53">
        <f>Inicial!B206</f>
        <v>0</v>
      </c>
      <c r="C210" s="53">
        <f>Inicial!C206</f>
        <v>0</v>
      </c>
      <c r="D210" s="54">
        <f>Inicial!D206</f>
        <v>0</v>
      </c>
      <c r="E210" s="52" t="str">
        <f>IF(Inicial!J206="SI",Inicial!E206,"N/A")</f>
        <v>N/A</v>
      </c>
      <c r="F210" s="53" t="str">
        <f>IF(Inicial!J206="SI",Inicial!F206,"N/A")</f>
        <v>N/A</v>
      </c>
      <c r="G210" s="53" t="str">
        <f>IF(Inicial!J206="SI",Inicial!G206,"N/A")</f>
        <v>N/A</v>
      </c>
      <c r="H210" s="53" t="str">
        <f>IF(Inicial!J206="SI",Inicial!H206,"N/A")</f>
        <v>N/A</v>
      </c>
      <c r="I210" s="55" t="str">
        <f>IF(Inicial!J206="SI",Inicial!I206,"N/A")</f>
        <v>N/A</v>
      </c>
      <c r="P210" s="6" t="str">
        <f t="shared" si="8"/>
        <v>Aceptable</v>
      </c>
      <c r="Q210" s="6"/>
      <c r="R210" s="6"/>
      <c r="S210" s="6"/>
      <c r="T210" s="6"/>
      <c r="U210" s="6"/>
      <c r="V210" s="6"/>
      <c r="W210" s="6" t="str">
        <f t="shared" si="9"/>
        <v>Critico</v>
      </c>
    </row>
    <row r="211" spans="1:23">
      <c r="A211" s="52">
        <f>Inicial!A207</f>
        <v>0</v>
      </c>
      <c r="B211" s="53">
        <f>Inicial!B207</f>
        <v>0</v>
      </c>
      <c r="C211" s="53">
        <f>Inicial!C207</f>
        <v>0</v>
      </c>
      <c r="D211" s="54">
        <f>Inicial!D207</f>
        <v>0</v>
      </c>
      <c r="E211" s="52" t="str">
        <f>IF(Inicial!J207="SI",Inicial!E207,"N/A")</f>
        <v>N/A</v>
      </c>
      <c r="F211" s="53" t="str">
        <f>IF(Inicial!J207="SI",Inicial!F207,"N/A")</f>
        <v>N/A</v>
      </c>
      <c r="G211" s="53" t="str">
        <f>IF(Inicial!J207="SI",Inicial!G207,"N/A")</f>
        <v>N/A</v>
      </c>
      <c r="H211" s="53" t="str">
        <f>IF(Inicial!J207="SI",Inicial!H207,"N/A")</f>
        <v>N/A</v>
      </c>
      <c r="I211" s="55" t="str">
        <f>IF(Inicial!J207="SI",Inicial!I207,"N/A")</f>
        <v>N/A</v>
      </c>
      <c r="P211" s="6" t="str">
        <f t="shared" si="8"/>
        <v>Aceptable</v>
      </c>
      <c r="Q211" s="6"/>
      <c r="R211" s="6"/>
      <c r="S211" s="6"/>
      <c r="T211" s="6"/>
      <c r="U211" s="6"/>
      <c r="V211" s="6"/>
      <c r="W211" s="6" t="str">
        <f t="shared" si="9"/>
        <v>Critico</v>
      </c>
    </row>
    <row r="212" spans="1:23">
      <c r="A212" s="52">
        <f>Inicial!A208</f>
        <v>0</v>
      </c>
      <c r="B212" s="53">
        <f>Inicial!B208</f>
        <v>0</v>
      </c>
      <c r="C212" s="53">
        <f>Inicial!C208</f>
        <v>0</v>
      </c>
      <c r="D212" s="54">
        <f>Inicial!D208</f>
        <v>0</v>
      </c>
      <c r="E212" s="52" t="str">
        <f>IF(Inicial!J208="SI",Inicial!E208,"N/A")</f>
        <v>N/A</v>
      </c>
      <c r="F212" s="53" t="str">
        <f>IF(Inicial!J208="SI",Inicial!F208,"N/A")</f>
        <v>N/A</v>
      </c>
      <c r="G212" s="53" t="str">
        <f>IF(Inicial!J208="SI",Inicial!G208,"N/A")</f>
        <v>N/A</v>
      </c>
      <c r="H212" s="53" t="str">
        <f>IF(Inicial!J208="SI",Inicial!H208,"N/A")</f>
        <v>N/A</v>
      </c>
      <c r="I212" s="55" t="str">
        <f>IF(Inicial!J208="SI",Inicial!I208,"N/A")</f>
        <v>N/A</v>
      </c>
      <c r="P212" s="6" t="str">
        <f t="shared" si="8"/>
        <v>Aceptable</v>
      </c>
      <c r="Q212" s="6"/>
      <c r="R212" s="6"/>
      <c r="S212" s="6"/>
      <c r="T212" s="6"/>
      <c r="U212" s="6"/>
      <c r="V212" s="6"/>
      <c r="W212" s="6" t="str">
        <f t="shared" si="9"/>
        <v>Critico</v>
      </c>
    </row>
    <row r="213" spans="1:23">
      <c r="A213" s="52">
        <f>Inicial!A209</f>
        <v>0</v>
      </c>
      <c r="B213" s="53">
        <f>Inicial!B209</f>
        <v>0</v>
      </c>
      <c r="C213" s="53">
        <f>Inicial!C209</f>
        <v>0</v>
      </c>
      <c r="D213" s="54">
        <f>Inicial!D209</f>
        <v>0</v>
      </c>
      <c r="E213" s="52" t="str">
        <f>IF(Inicial!J209="SI",Inicial!E209,"N/A")</f>
        <v>N/A</v>
      </c>
      <c r="F213" s="53" t="str">
        <f>IF(Inicial!J209="SI",Inicial!F209,"N/A")</f>
        <v>N/A</v>
      </c>
      <c r="G213" s="53" t="str">
        <f>IF(Inicial!J209="SI",Inicial!G209,"N/A")</f>
        <v>N/A</v>
      </c>
      <c r="H213" s="53" t="str">
        <f>IF(Inicial!J209="SI",Inicial!H209,"N/A")</f>
        <v>N/A</v>
      </c>
      <c r="I213" s="55" t="str">
        <f>IF(Inicial!J209="SI",Inicial!I209,"N/A")</f>
        <v>N/A</v>
      </c>
      <c r="P213" s="6" t="str">
        <f t="shared" si="8"/>
        <v>Aceptable</v>
      </c>
      <c r="Q213" s="6"/>
      <c r="R213" s="6"/>
      <c r="S213" s="6"/>
      <c r="T213" s="6"/>
      <c r="U213" s="6"/>
      <c r="V213" s="6"/>
      <c r="W213" s="6" t="str">
        <f t="shared" si="9"/>
        <v>Critico</v>
      </c>
    </row>
    <row r="214" spans="1:23">
      <c r="A214" s="52">
        <f>Inicial!A210</f>
        <v>0</v>
      </c>
      <c r="B214" s="53">
        <f>Inicial!B210</f>
        <v>0</v>
      </c>
      <c r="C214" s="53">
        <f>Inicial!C210</f>
        <v>0</v>
      </c>
      <c r="D214" s="54">
        <f>Inicial!D210</f>
        <v>0</v>
      </c>
      <c r="E214" s="52" t="str">
        <f>IF(Inicial!J210="SI",Inicial!E210,"N/A")</f>
        <v>N/A</v>
      </c>
      <c r="F214" s="53" t="str">
        <f>IF(Inicial!J210="SI",Inicial!F210,"N/A")</f>
        <v>N/A</v>
      </c>
      <c r="G214" s="53" t="str">
        <f>IF(Inicial!J210="SI",Inicial!G210,"N/A")</f>
        <v>N/A</v>
      </c>
      <c r="H214" s="53" t="str">
        <f>IF(Inicial!J210="SI",Inicial!H210,"N/A")</f>
        <v>N/A</v>
      </c>
      <c r="I214" s="55" t="str">
        <f>IF(Inicial!J210="SI",Inicial!I210,"N/A")</f>
        <v>N/A</v>
      </c>
      <c r="P214" s="6" t="str">
        <f t="shared" si="8"/>
        <v>Aceptable</v>
      </c>
      <c r="Q214" s="6"/>
      <c r="R214" s="6"/>
      <c r="S214" s="6"/>
      <c r="T214" s="6"/>
      <c r="U214" s="6"/>
      <c r="V214" s="6"/>
      <c r="W214" s="6" t="str">
        <f t="shared" si="9"/>
        <v>Critico</v>
      </c>
    </row>
    <row r="215" spans="1:23">
      <c r="A215" s="52">
        <f>Inicial!A211</f>
        <v>0</v>
      </c>
      <c r="B215" s="53">
        <f>Inicial!B211</f>
        <v>0</v>
      </c>
      <c r="C215" s="53">
        <f>Inicial!C211</f>
        <v>0</v>
      </c>
      <c r="D215" s="54">
        <f>Inicial!D211</f>
        <v>0</v>
      </c>
      <c r="E215" s="52" t="str">
        <f>IF(Inicial!J211="SI",Inicial!E211,"N/A")</f>
        <v>N/A</v>
      </c>
      <c r="F215" s="53" t="str">
        <f>IF(Inicial!J211="SI",Inicial!F211,"N/A")</f>
        <v>N/A</v>
      </c>
      <c r="G215" s="53" t="str">
        <f>IF(Inicial!J211="SI",Inicial!G211,"N/A")</f>
        <v>N/A</v>
      </c>
      <c r="H215" s="53" t="str">
        <f>IF(Inicial!J211="SI",Inicial!H211,"N/A")</f>
        <v>N/A</v>
      </c>
      <c r="I215" s="55" t="str">
        <f>IF(Inicial!J211="SI",Inicial!I211,"N/A")</f>
        <v>N/A</v>
      </c>
      <c r="P215" s="6" t="str">
        <f t="shared" si="8"/>
        <v>Aceptable</v>
      </c>
      <c r="Q215" s="6"/>
      <c r="R215" s="6"/>
      <c r="S215" s="6"/>
      <c r="T215" s="6"/>
      <c r="U215" s="6"/>
      <c r="V215" s="6"/>
      <c r="W215" s="6" t="str">
        <f t="shared" si="9"/>
        <v>Critico</v>
      </c>
    </row>
    <row r="216" spans="1:23">
      <c r="A216" s="52">
        <f>Inicial!A212</f>
        <v>0</v>
      </c>
      <c r="B216" s="53">
        <f>Inicial!B212</f>
        <v>0</v>
      </c>
      <c r="C216" s="53">
        <f>Inicial!C212</f>
        <v>0</v>
      </c>
      <c r="D216" s="54">
        <f>Inicial!D212</f>
        <v>0</v>
      </c>
      <c r="E216" s="52" t="str">
        <f>IF(Inicial!J212="SI",Inicial!E212,"N/A")</f>
        <v>N/A</v>
      </c>
      <c r="F216" s="53" t="str">
        <f>IF(Inicial!J212="SI",Inicial!F212,"N/A")</f>
        <v>N/A</v>
      </c>
      <c r="G216" s="53" t="str">
        <f>IF(Inicial!J212="SI",Inicial!G212,"N/A")</f>
        <v>N/A</v>
      </c>
      <c r="H216" s="53" t="str">
        <f>IF(Inicial!J212="SI",Inicial!H212,"N/A")</f>
        <v>N/A</v>
      </c>
      <c r="I216" s="55" t="str">
        <f>IF(Inicial!J212="SI",Inicial!I212,"N/A")</f>
        <v>N/A</v>
      </c>
      <c r="P216" s="6" t="str">
        <f t="shared" si="8"/>
        <v>Aceptable</v>
      </c>
      <c r="Q216" s="6"/>
      <c r="R216" s="6"/>
      <c r="S216" s="6"/>
      <c r="T216" s="6"/>
      <c r="U216" s="6"/>
      <c r="V216" s="6"/>
      <c r="W216" s="6" t="str">
        <f t="shared" si="9"/>
        <v>Critico</v>
      </c>
    </row>
    <row r="217" spans="1:23">
      <c r="A217" s="52">
        <f>Inicial!A213</f>
        <v>0</v>
      </c>
      <c r="B217" s="53">
        <f>Inicial!B213</f>
        <v>0</v>
      </c>
      <c r="C217" s="53">
        <f>Inicial!C213</f>
        <v>0</v>
      </c>
      <c r="D217" s="54">
        <f>Inicial!D213</f>
        <v>0</v>
      </c>
      <c r="E217" s="52" t="str">
        <f>IF(Inicial!J213="SI",Inicial!E213,"N/A")</f>
        <v>N/A</v>
      </c>
      <c r="F217" s="53" t="str">
        <f>IF(Inicial!J213="SI",Inicial!F213,"N/A")</f>
        <v>N/A</v>
      </c>
      <c r="G217" s="53" t="str">
        <f>IF(Inicial!J213="SI",Inicial!G213,"N/A")</f>
        <v>N/A</v>
      </c>
      <c r="H217" s="53" t="str">
        <f>IF(Inicial!J213="SI",Inicial!H213,"N/A")</f>
        <v>N/A</v>
      </c>
      <c r="I217" s="55" t="str">
        <f>IF(Inicial!J213="SI",Inicial!I213,"N/A")</f>
        <v>N/A</v>
      </c>
      <c r="P217" s="6" t="str">
        <f t="shared" si="8"/>
        <v>Aceptable</v>
      </c>
      <c r="Q217" s="6"/>
      <c r="R217" s="6"/>
      <c r="S217" s="6"/>
      <c r="T217" s="6"/>
      <c r="U217" s="6"/>
      <c r="V217" s="6"/>
      <c r="W217" s="6" t="str">
        <f t="shared" si="9"/>
        <v>Critico</v>
      </c>
    </row>
    <row r="218" spans="1:23">
      <c r="A218" s="52">
        <f>Inicial!A214</f>
        <v>0</v>
      </c>
      <c r="P218" s="6" t="str">
        <f t="shared" si="8"/>
        <v>Aceptable</v>
      </c>
      <c r="Q218" s="6"/>
      <c r="R218" s="6"/>
      <c r="S218" s="6"/>
      <c r="T218" s="6"/>
      <c r="U218" s="6"/>
      <c r="V218" s="6"/>
      <c r="W218" s="6" t="str">
        <f t="shared" si="9"/>
        <v>Critico</v>
      </c>
    </row>
    <row r="219" spans="1:23">
      <c r="A219" s="52">
        <f>Inicial!A215</f>
        <v>0</v>
      </c>
      <c r="P219" s="6" t="str">
        <f t="shared" si="8"/>
        <v>Aceptable</v>
      </c>
      <c r="Q219" s="6"/>
      <c r="R219" s="6"/>
      <c r="S219" s="6"/>
      <c r="T219" s="6"/>
      <c r="U219" s="6"/>
      <c r="V219" s="6"/>
      <c r="W219" s="6" t="str">
        <f t="shared" si="9"/>
        <v>Critico</v>
      </c>
    </row>
    <row r="220" spans="1:23">
      <c r="A220" s="52">
        <f>Inicial!A216</f>
        <v>0</v>
      </c>
      <c r="P220" s="6" t="str">
        <f t="shared" si="8"/>
        <v>Aceptable</v>
      </c>
      <c r="Q220" s="6"/>
      <c r="R220" s="6"/>
      <c r="S220" s="6"/>
      <c r="T220" s="6"/>
      <c r="U220" s="6"/>
      <c r="V220" s="6"/>
      <c r="W220" s="6" t="str">
        <f t="shared" si="9"/>
        <v>Critico</v>
      </c>
    </row>
    <row r="221" spans="1:23">
      <c r="A221" s="52">
        <f>Inicial!A217</f>
        <v>0</v>
      </c>
      <c r="P221" s="6" t="str">
        <f t="shared" si="8"/>
        <v>Aceptable</v>
      </c>
      <c r="Q221" s="6"/>
      <c r="R221" s="6"/>
      <c r="S221" s="6"/>
      <c r="T221" s="6"/>
      <c r="U221" s="6"/>
      <c r="V221" s="6"/>
      <c r="W221" s="6" t="str">
        <f t="shared" si="9"/>
        <v>Critico</v>
      </c>
    </row>
    <row r="222" spans="1:23">
      <c r="A222" s="52">
        <f>Inicial!A218</f>
        <v>0</v>
      </c>
      <c r="P222" s="6" t="str">
        <f t="shared" si="8"/>
        <v>Aceptable</v>
      </c>
      <c r="Q222" s="6"/>
      <c r="R222" s="6"/>
      <c r="S222" s="6"/>
      <c r="T222" s="6"/>
      <c r="U222" s="6"/>
      <c r="V222" s="6"/>
      <c r="W222" s="6" t="str">
        <f t="shared" si="9"/>
        <v>Critico</v>
      </c>
    </row>
    <row r="223" spans="1:23">
      <c r="A223" s="52">
        <f>Inicial!A219</f>
        <v>0</v>
      </c>
      <c r="P223" s="6" t="str">
        <f t="shared" si="8"/>
        <v>Aceptable</v>
      </c>
      <c r="Q223" s="6"/>
      <c r="R223" s="6"/>
      <c r="S223" s="6"/>
      <c r="T223" s="6"/>
      <c r="U223" s="6"/>
      <c r="V223" s="6"/>
      <c r="W223" s="6" t="str">
        <f t="shared" si="9"/>
        <v>Critico</v>
      </c>
    </row>
    <row r="224" spans="1:23">
      <c r="A224" s="52">
        <f>Inicial!A220</f>
        <v>0</v>
      </c>
      <c r="P224" s="6" t="str">
        <f t="shared" si="8"/>
        <v>Aceptable</v>
      </c>
      <c r="Q224" s="6"/>
      <c r="R224" s="6"/>
      <c r="S224" s="6"/>
      <c r="T224" s="6"/>
      <c r="U224" s="6"/>
      <c r="V224" s="6"/>
      <c r="W224" s="6" t="str">
        <f t="shared" si="9"/>
        <v>Critico</v>
      </c>
    </row>
    <row r="225" spans="1:23">
      <c r="A225" s="52">
        <f>Inicial!A221</f>
        <v>0</v>
      </c>
      <c r="P225" s="6" t="str">
        <f t="shared" si="8"/>
        <v>Aceptable</v>
      </c>
      <c r="Q225" s="6"/>
      <c r="R225" s="6"/>
      <c r="S225" s="6"/>
      <c r="T225" s="6"/>
      <c r="U225" s="6"/>
      <c r="V225" s="6"/>
      <c r="W225" s="6" t="str">
        <f t="shared" si="9"/>
        <v>Critico</v>
      </c>
    </row>
    <row r="226" spans="1:23">
      <c r="A226" s="52">
        <f>Inicial!A222</f>
        <v>0</v>
      </c>
      <c r="P226" s="6" t="str">
        <f t="shared" si="8"/>
        <v>Aceptable</v>
      </c>
      <c r="Q226" s="6"/>
      <c r="R226" s="6"/>
      <c r="S226" s="6"/>
      <c r="T226" s="6"/>
      <c r="U226" s="6"/>
      <c r="V226" s="6"/>
      <c r="W226" s="6" t="str">
        <f t="shared" si="9"/>
        <v>Critico</v>
      </c>
    </row>
    <row r="227" spans="1:23">
      <c r="A227" s="52">
        <f>Inicial!A223</f>
        <v>0</v>
      </c>
      <c r="P227" s="6" t="str">
        <f t="shared" si="8"/>
        <v>Aceptable</v>
      </c>
      <c r="Q227" s="6"/>
      <c r="R227" s="6"/>
      <c r="S227" s="6"/>
      <c r="T227" s="6"/>
      <c r="U227" s="6"/>
      <c r="V227" s="6"/>
      <c r="W227" s="6" t="str">
        <f t="shared" si="9"/>
        <v>Critico</v>
      </c>
    </row>
    <row r="228" spans="1:23">
      <c r="A228" s="52">
        <f>Inicial!A224</f>
        <v>0</v>
      </c>
      <c r="P228" s="6" t="str">
        <f t="shared" si="8"/>
        <v>Aceptable</v>
      </c>
      <c r="Q228" s="6"/>
      <c r="R228" s="6"/>
      <c r="S228" s="6"/>
      <c r="T228" s="6"/>
      <c r="U228" s="6"/>
      <c r="V228" s="6"/>
      <c r="W228" s="6" t="str">
        <f t="shared" si="9"/>
        <v>Critico</v>
      </c>
    </row>
    <row r="229" spans="1:23">
      <c r="A229" s="52">
        <f>Inicial!A225</f>
        <v>0</v>
      </c>
      <c r="P229" s="6" t="str">
        <f t="shared" si="8"/>
        <v>Aceptable</v>
      </c>
      <c r="Q229" s="6"/>
      <c r="R229" s="6"/>
      <c r="S229" s="6"/>
      <c r="T229" s="6"/>
      <c r="U229" s="6"/>
      <c r="V229" s="6"/>
      <c r="W229" s="6" t="str">
        <f t="shared" si="9"/>
        <v>Critico</v>
      </c>
    </row>
    <row r="230" spans="1:23">
      <c r="A230" s="52">
        <f>Inicial!A226</f>
        <v>0</v>
      </c>
      <c r="P230" s="6" t="str">
        <f t="shared" si="8"/>
        <v>Aceptable</v>
      </c>
      <c r="Q230" s="6"/>
      <c r="R230" s="6"/>
      <c r="S230" s="6"/>
      <c r="T230" s="6"/>
      <c r="U230" s="6"/>
      <c r="V230" s="6"/>
      <c r="W230" s="6" t="str">
        <f t="shared" si="9"/>
        <v>Critico</v>
      </c>
    </row>
    <row r="231" spans="1:23">
      <c r="A231" s="52">
        <f>Inicial!A227</f>
        <v>0</v>
      </c>
      <c r="P231" s="6" t="str">
        <f t="shared" si="8"/>
        <v>Aceptable</v>
      </c>
      <c r="Q231" s="6"/>
      <c r="R231" s="6"/>
      <c r="S231" s="6"/>
      <c r="T231" s="6"/>
      <c r="U231" s="6"/>
      <c r="V231" s="6"/>
      <c r="W231" s="6" t="str">
        <f t="shared" si="9"/>
        <v>Critico</v>
      </c>
    </row>
    <row r="232" spans="1:23">
      <c r="A232" s="52">
        <f>Inicial!A228</f>
        <v>0</v>
      </c>
      <c r="P232" s="6" t="str">
        <f t="shared" si="8"/>
        <v>Aceptable</v>
      </c>
      <c r="Q232" s="6"/>
      <c r="R232" s="6"/>
      <c r="S232" s="6"/>
      <c r="T232" s="6"/>
      <c r="U232" s="6"/>
      <c r="V232" s="6"/>
      <c r="W232" s="6" t="str">
        <f t="shared" si="9"/>
        <v>Critico</v>
      </c>
    </row>
    <row r="233" spans="1:23">
      <c r="A233" s="52">
        <f>Inicial!A229</f>
        <v>0</v>
      </c>
      <c r="P233" s="6" t="str">
        <f t="shared" si="8"/>
        <v>Aceptable</v>
      </c>
      <c r="Q233" s="6"/>
      <c r="R233" s="6"/>
      <c r="S233" s="6"/>
      <c r="T233" s="6"/>
      <c r="U233" s="6"/>
      <c r="V233" s="6"/>
      <c r="W233" s="6" t="str">
        <f t="shared" si="9"/>
        <v>Critico</v>
      </c>
    </row>
    <row r="234" spans="1:23">
      <c r="A234" s="52">
        <f>Inicial!A230</f>
        <v>0</v>
      </c>
      <c r="P234" s="6" t="str">
        <f t="shared" si="8"/>
        <v>Aceptable</v>
      </c>
      <c r="Q234" s="6"/>
      <c r="R234" s="6"/>
      <c r="S234" s="6"/>
      <c r="T234" s="6"/>
      <c r="U234" s="6"/>
      <c r="V234" s="6"/>
      <c r="W234" s="6" t="str">
        <f t="shared" si="9"/>
        <v>Critico</v>
      </c>
    </row>
    <row r="235" spans="1:23">
      <c r="A235" s="52">
        <f>Inicial!A231</f>
        <v>0</v>
      </c>
      <c r="P235" s="6" t="str">
        <f t="shared" si="8"/>
        <v>Aceptable</v>
      </c>
      <c r="Q235" s="6"/>
      <c r="R235" s="6"/>
      <c r="S235" s="6"/>
      <c r="T235" s="6"/>
      <c r="U235" s="6"/>
      <c r="V235" s="6"/>
      <c r="W235" s="6" t="str">
        <f t="shared" si="9"/>
        <v>Critico</v>
      </c>
    </row>
    <row r="236" spans="1:23">
      <c r="A236" s="52">
        <f>Inicial!A232</f>
        <v>0</v>
      </c>
      <c r="P236" s="6" t="str">
        <f t="shared" si="8"/>
        <v>Aceptable</v>
      </c>
      <c r="Q236" s="6"/>
      <c r="R236" s="6"/>
      <c r="S236" s="6"/>
      <c r="T236" s="6"/>
      <c r="U236" s="6"/>
      <c r="V236" s="6"/>
      <c r="W236" s="6" t="str">
        <f t="shared" si="9"/>
        <v>Critico</v>
      </c>
    </row>
    <row r="237" spans="1:23">
      <c r="A237" s="52">
        <f>Inicial!A233</f>
        <v>0</v>
      </c>
      <c r="P237" s="6" t="str">
        <f t="shared" si="8"/>
        <v>Aceptable</v>
      </c>
      <c r="Q237" s="6"/>
      <c r="R237" s="6"/>
      <c r="S237" s="6"/>
      <c r="T237" s="6"/>
      <c r="U237" s="6"/>
      <c r="V237" s="6"/>
      <c r="W237" s="6" t="str">
        <f t="shared" si="9"/>
        <v>Critico</v>
      </c>
    </row>
    <row r="238" spans="1:23">
      <c r="A238" s="52">
        <f>Inicial!A234</f>
        <v>0</v>
      </c>
      <c r="P238" s="6" t="str">
        <f t="shared" si="8"/>
        <v>Aceptable</v>
      </c>
      <c r="Q238" s="6"/>
      <c r="R238" s="6"/>
      <c r="S238" s="6"/>
      <c r="T238" s="6"/>
      <c r="U238" s="6"/>
      <c r="V238" s="6"/>
      <c r="W238" s="6" t="str">
        <f t="shared" si="9"/>
        <v>Critico</v>
      </c>
    </row>
    <row r="239" spans="1:23">
      <c r="A239" s="52">
        <f>Inicial!A235</f>
        <v>0</v>
      </c>
      <c r="P239" s="6" t="str">
        <f t="shared" si="8"/>
        <v>Aceptable</v>
      </c>
      <c r="Q239" s="6"/>
      <c r="R239" s="6"/>
      <c r="S239" s="6"/>
      <c r="T239" s="6"/>
      <c r="U239" s="6"/>
      <c r="V239" s="6"/>
      <c r="W239" s="6" t="str">
        <f t="shared" si="9"/>
        <v>Critico</v>
      </c>
    </row>
    <row r="240" spans="1:23">
      <c r="A240" s="52">
        <f>Inicial!A236</f>
        <v>0</v>
      </c>
      <c r="P240" s="6" t="str">
        <f t="shared" si="8"/>
        <v>Aceptable</v>
      </c>
      <c r="Q240" s="6"/>
      <c r="R240" s="6"/>
      <c r="S240" s="6"/>
      <c r="T240" s="6"/>
      <c r="U240" s="6"/>
      <c r="V240" s="6"/>
      <c r="W240" s="6" t="str">
        <f t="shared" si="9"/>
        <v>Critico</v>
      </c>
    </row>
    <row r="241" spans="1:23">
      <c r="A241" s="52">
        <f>Inicial!A237</f>
        <v>0</v>
      </c>
      <c r="P241" s="6" t="str">
        <f t="shared" si="8"/>
        <v>Aceptable</v>
      </c>
      <c r="Q241" s="6"/>
      <c r="R241" s="6"/>
      <c r="S241" s="6"/>
      <c r="T241" s="6"/>
      <c r="U241" s="6"/>
      <c r="V241" s="6"/>
      <c r="W241" s="6" t="str">
        <f t="shared" si="9"/>
        <v>Critico</v>
      </c>
    </row>
    <row r="242" spans="1:23">
      <c r="A242" s="52">
        <f>Inicial!A238</f>
        <v>0</v>
      </c>
      <c r="P242" s="6" t="str">
        <f t="shared" si="8"/>
        <v>Aceptable</v>
      </c>
      <c r="Q242" s="6"/>
      <c r="R242" s="6"/>
      <c r="S242" s="6"/>
      <c r="T242" s="6"/>
      <c r="U242" s="6"/>
      <c r="V242" s="6"/>
      <c r="W242" s="6" t="str">
        <f t="shared" si="9"/>
        <v>Critico</v>
      </c>
    </row>
    <row r="243" spans="1:23">
      <c r="A243" s="52">
        <f>Inicial!A239</f>
        <v>0</v>
      </c>
      <c r="P243" s="6" t="str">
        <f t="shared" si="8"/>
        <v>Aceptable</v>
      </c>
      <c r="Q243" s="6"/>
      <c r="R243" s="6"/>
      <c r="S243" s="6"/>
      <c r="T243" s="6"/>
      <c r="U243" s="6"/>
      <c r="V243" s="6"/>
      <c r="W243" s="6" t="str">
        <f t="shared" si="9"/>
        <v>Critico</v>
      </c>
    </row>
    <row r="244" spans="1:23">
      <c r="A244" s="52">
        <f>Inicial!A240</f>
        <v>0</v>
      </c>
      <c r="P244" s="6" t="str">
        <f t="shared" si="8"/>
        <v>Aceptable</v>
      </c>
      <c r="Q244" s="6"/>
      <c r="R244" s="6"/>
      <c r="S244" s="6"/>
      <c r="T244" s="6"/>
      <c r="U244" s="6"/>
      <c r="V244" s="6"/>
      <c r="W244" s="6" t="str">
        <f t="shared" si="9"/>
        <v>Critico</v>
      </c>
    </row>
    <row r="245" spans="1:23">
      <c r="A245" s="52">
        <f>Inicial!A241</f>
        <v>0</v>
      </c>
      <c r="P245" s="6" t="str">
        <f t="shared" si="8"/>
        <v>Aceptable</v>
      </c>
      <c r="Q245" s="6"/>
      <c r="R245" s="6"/>
      <c r="S245" s="6"/>
      <c r="T245" s="6"/>
      <c r="U245" s="6"/>
      <c r="V245" s="6"/>
      <c r="W245" s="6" t="str">
        <f t="shared" si="9"/>
        <v>Critico</v>
      </c>
    </row>
    <row r="246" spans="1:23">
      <c r="A246" s="52">
        <f>Inicial!A242</f>
        <v>0</v>
      </c>
      <c r="P246" s="6" t="str">
        <f t="shared" si="8"/>
        <v>Aceptable</v>
      </c>
      <c r="Q246" s="6"/>
      <c r="R246" s="6"/>
      <c r="S246" s="6"/>
      <c r="T246" s="6"/>
      <c r="U246" s="6"/>
      <c r="V246" s="6"/>
      <c r="W246" s="6" t="str">
        <f t="shared" si="9"/>
        <v>Critico</v>
      </c>
    </row>
    <row r="247" spans="1:23">
      <c r="A247" s="52">
        <f>Inicial!A243</f>
        <v>0</v>
      </c>
      <c r="P247" s="6" t="str">
        <f t="shared" si="8"/>
        <v>Aceptable</v>
      </c>
      <c r="Q247" s="6"/>
      <c r="R247" s="6"/>
      <c r="S247" s="6"/>
      <c r="T247" s="6"/>
      <c r="U247" s="6"/>
      <c r="V247" s="6"/>
      <c r="W247" s="6" t="str">
        <f t="shared" si="9"/>
        <v>Critico</v>
      </c>
    </row>
    <row r="248" spans="1:23">
      <c r="A248" s="52">
        <f>Inicial!A244</f>
        <v>0</v>
      </c>
      <c r="P248" s="6" t="str">
        <f t="shared" si="8"/>
        <v>Aceptable</v>
      </c>
      <c r="Q248" s="6"/>
      <c r="R248" s="6"/>
      <c r="S248" s="6"/>
      <c r="T248" s="6"/>
      <c r="U248" s="6"/>
      <c r="V248" s="6"/>
      <c r="W248" s="6" t="str">
        <f t="shared" si="9"/>
        <v>Critico</v>
      </c>
    </row>
    <row r="249" spans="1:23">
      <c r="A249" s="52">
        <f>Inicial!A245</f>
        <v>0</v>
      </c>
      <c r="P249" s="6" t="str">
        <f t="shared" si="8"/>
        <v>Aceptable</v>
      </c>
      <c r="Q249" s="6"/>
      <c r="R249" s="6"/>
      <c r="S249" s="6"/>
      <c r="T249" s="6"/>
      <c r="U249" s="6"/>
      <c r="V249" s="6"/>
      <c r="W249" s="6" t="str">
        <f t="shared" si="9"/>
        <v>Critico</v>
      </c>
    </row>
    <row r="250" spans="1:23">
      <c r="Q250" s="6"/>
      <c r="R250" s="6"/>
      <c r="S250" s="6"/>
      <c r="T250" s="6"/>
      <c r="U250" s="6"/>
      <c r="V250" s="6"/>
    </row>
    <row r="251" spans="1:23">
      <c r="Q251" s="6"/>
      <c r="R251" s="6"/>
      <c r="S251" s="6"/>
      <c r="T251" s="6"/>
      <c r="U251" s="6"/>
      <c r="V251" s="6"/>
    </row>
    <row r="252" spans="1:23">
      <c r="Q252" s="6"/>
      <c r="R252" s="6"/>
      <c r="S252" s="6"/>
      <c r="T252" s="6"/>
      <c r="U252" s="6"/>
      <c r="V252" s="6"/>
    </row>
    <row r="253" spans="1:23">
      <c r="Q253" s="6"/>
      <c r="R253" s="6"/>
      <c r="S253" s="6"/>
      <c r="T253" s="6"/>
      <c r="U253" s="6"/>
      <c r="V253" s="6"/>
    </row>
    <row r="254" spans="1:23">
      <c r="Q254" s="6"/>
      <c r="R254" s="6"/>
      <c r="S254" s="6"/>
      <c r="T254" s="6"/>
      <c r="U254" s="6"/>
      <c r="V254" s="6"/>
    </row>
    <row r="255" spans="1:23">
      <c r="Q255" s="6"/>
      <c r="R255" s="6"/>
      <c r="S255" s="6"/>
      <c r="T255" s="6"/>
      <c r="U255" s="6"/>
      <c r="V255" s="6"/>
    </row>
    <row r="256" spans="1:23">
      <c r="Q256" s="6"/>
      <c r="R256" s="6"/>
      <c r="S256" s="6"/>
      <c r="T256" s="6"/>
      <c r="U256" s="6"/>
      <c r="V256" s="6"/>
    </row>
    <row r="257" spans="17:22">
      <c r="Q257" s="6"/>
      <c r="R257" s="6"/>
      <c r="S257" s="6"/>
      <c r="T257" s="6"/>
      <c r="U257" s="6"/>
      <c r="V257" s="6"/>
    </row>
    <row r="258" spans="17:22">
      <c r="Q258" s="6"/>
      <c r="R258" s="6"/>
      <c r="S258" s="6"/>
      <c r="T258" s="6"/>
      <c r="U258" s="6"/>
      <c r="V258" s="6"/>
    </row>
    <row r="259" spans="17:22">
      <c r="Q259" s="6"/>
      <c r="R259" s="6"/>
      <c r="S259" s="6"/>
      <c r="T259" s="6"/>
      <c r="U259" s="6"/>
      <c r="V259" s="6"/>
    </row>
    <row r="260" spans="17:22">
      <c r="Q260" s="6"/>
      <c r="R260" s="6"/>
      <c r="S260" s="6"/>
      <c r="T260" s="6"/>
      <c r="U260" s="6"/>
      <c r="V260" s="6"/>
    </row>
    <row r="261" spans="17:22">
      <c r="Q261" s="6"/>
      <c r="R261" s="6"/>
      <c r="S261" s="6"/>
      <c r="T261" s="6"/>
      <c r="U261" s="6"/>
      <c r="V261" s="6"/>
    </row>
    <row r="262" spans="17:22">
      <c r="Q262" s="6"/>
      <c r="R262" s="6"/>
      <c r="S262" s="6"/>
      <c r="T262" s="6"/>
      <c r="U262" s="6"/>
      <c r="V262" s="6"/>
    </row>
    <row r="263" spans="17:22">
      <c r="Q263" s="6"/>
      <c r="R263" s="6"/>
      <c r="S263" s="6"/>
      <c r="T263" s="6"/>
      <c r="U263" s="6"/>
      <c r="V263" s="6"/>
    </row>
    <row r="264" spans="17:22">
      <c r="Q264" s="6"/>
      <c r="R264" s="6"/>
      <c r="S264" s="6"/>
      <c r="T264" s="6"/>
      <c r="U264" s="6"/>
      <c r="V264" s="6"/>
    </row>
    <row r="265" spans="17:22">
      <c r="Q265" s="6"/>
      <c r="R265" s="6"/>
      <c r="S265" s="6"/>
      <c r="T265" s="6"/>
      <c r="U265" s="6"/>
      <c r="V265" s="6"/>
    </row>
    <row r="266" spans="17:22">
      <c r="Q266" s="6"/>
      <c r="R266" s="6"/>
      <c r="S266" s="6"/>
      <c r="T266" s="6"/>
      <c r="U266" s="6"/>
      <c r="V266" s="6"/>
    </row>
    <row r="267" spans="17:22">
      <c r="Q267" s="6"/>
      <c r="R267" s="6"/>
      <c r="S267" s="6"/>
      <c r="T267" s="6"/>
      <c r="U267" s="6"/>
      <c r="V267" s="6"/>
    </row>
    <row r="268" spans="17:22">
      <c r="Q268" s="6"/>
      <c r="R268" s="6"/>
      <c r="S268" s="6"/>
      <c r="T268" s="6"/>
      <c r="U268" s="6"/>
      <c r="V268" s="6"/>
    </row>
    <row r="269" spans="17:22">
      <c r="Q269" s="6"/>
      <c r="R269" s="6"/>
      <c r="S269" s="6"/>
      <c r="T269" s="6"/>
      <c r="U269" s="6"/>
      <c r="V269" s="6"/>
    </row>
    <row r="270" spans="17:22">
      <c r="Q270" s="6"/>
      <c r="R270" s="6"/>
      <c r="S270" s="6"/>
      <c r="T270" s="6"/>
      <c r="U270" s="6"/>
      <c r="V270" s="6"/>
    </row>
    <row r="271" spans="17:22">
      <c r="Q271" s="6"/>
      <c r="R271" s="6"/>
      <c r="S271" s="6"/>
      <c r="T271" s="6"/>
      <c r="U271" s="6"/>
      <c r="V271" s="6"/>
    </row>
    <row r="272" spans="17:22">
      <c r="Q272" s="6"/>
      <c r="R272" s="6"/>
      <c r="S272" s="6"/>
      <c r="T272" s="6"/>
      <c r="U272" s="6"/>
      <c r="V272" s="6"/>
    </row>
    <row r="273" spans="17:22">
      <c r="Q273" s="6"/>
      <c r="R273" s="6"/>
      <c r="S273" s="6"/>
      <c r="T273" s="6"/>
      <c r="U273" s="6"/>
      <c r="V273" s="6"/>
    </row>
    <row r="274" spans="17:22">
      <c r="Q274" s="6"/>
      <c r="R274" s="6"/>
      <c r="S274" s="6"/>
      <c r="T274" s="6"/>
      <c r="U274" s="6"/>
      <c r="V274" s="6"/>
    </row>
    <row r="275" spans="17:22">
      <c r="Q275" s="6"/>
      <c r="R275" s="6"/>
      <c r="S275" s="6"/>
      <c r="T275" s="6"/>
      <c r="U275" s="6"/>
      <c r="V275" s="6"/>
    </row>
    <row r="276" spans="17:22">
      <c r="Q276" s="6"/>
      <c r="R276" s="6"/>
      <c r="S276" s="6"/>
      <c r="T276" s="6"/>
      <c r="U276" s="6"/>
      <c r="V276" s="6"/>
    </row>
    <row r="277" spans="17:22">
      <c r="Q277" s="6"/>
      <c r="R277" s="6"/>
      <c r="S277" s="6"/>
      <c r="T277" s="6"/>
      <c r="U277" s="6"/>
      <c r="V277" s="6"/>
    </row>
    <row r="278" spans="17:22">
      <c r="Q278" s="6"/>
      <c r="R278" s="6"/>
      <c r="S278" s="6"/>
      <c r="T278" s="6"/>
      <c r="U278" s="6"/>
      <c r="V278" s="6"/>
    </row>
    <row r="279" spans="17:22">
      <c r="Q279" s="6"/>
      <c r="R279" s="6"/>
      <c r="S279" s="6"/>
      <c r="T279" s="6"/>
      <c r="U279" s="6"/>
      <c r="V279" s="6"/>
    </row>
    <row r="280" spans="17:22">
      <c r="Q280" s="6"/>
      <c r="R280" s="6"/>
      <c r="S280" s="6"/>
      <c r="T280" s="6"/>
      <c r="U280" s="6"/>
      <c r="V280" s="6"/>
    </row>
    <row r="281" spans="17:22">
      <c r="Q281" s="6"/>
      <c r="R281" s="6"/>
      <c r="S281" s="6"/>
      <c r="T281" s="6"/>
      <c r="U281" s="6"/>
      <c r="V281" s="6"/>
    </row>
    <row r="282" spans="17:22">
      <c r="Q282" s="6"/>
      <c r="R282" s="6"/>
      <c r="S282" s="6"/>
      <c r="T282" s="6"/>
      <c r="U282" s="6"/>
      <c r="V282" s="6"/>
    </row>
    <row r="283" spans="17:22">
      <c r="Q283" s="6"/>
      <c r="R283" s="6"/>
      <c r="S283" s="6"/>
      <c r="T283" s="6"/>
      <c r="U283" s="6"/>
      <c r="V283" s="6"/>
    </row>
    <row r="284" spans="17:22">
      <c r="Q284" s="6"/>
      <c r="R284" s="6"/>
      <c r="S284" s="6"/>
      <c r="T284" s="6"/>
      <c r="U284" s="6"/>
      <c r="V284" s="6"/>
    </row>
    <row r="285" spans="17:22">
      <c r="Q285" s="6"/>
      <c r="R285" s="6"/>
      <c r="S285" s="6"/>
      <c r="T285" s="6"/>
      <c r="U285" s="6"/>
      <c r="V285" s="6"/>
    </row>
    <row r="286" spans="17:22">
      <c r="Q286" s="6"/>
      <c r="R286" s="6"/>
      <c r="S286" s="6"/>
      <c r="T286" s="6"/>
      <c r="U286" s="6"/>
      <c r="V286" s="6"/>
    </row>
    <row r="287" spans="17:22">
      <c r="Q287" s="6"/>
      <c r="R287" s="6"/>
      <c r="S287" s="6"/>
      <c r="T287" s="6"/>
      <c r="U287" s="6"/>
      <c r="V287" s="6"/>
    </row>
    <row r="288" spans="17:22">
      <c r="Q288" s="6"/>
      <c r="R288" s="6"/>
      <c r="S288" s="6"/>
      <c r="T288" s="6"/>
      <c r="U288" s="6"/>
      <c r="V288" s="6"/>
    </row>
    <row r="289" spans="17:22">
      <c r="Q289" s="6"/>
      <c r="R289" s="6"/>
      <c r="S289" s="6"/>
      <c r="T289" s="6"/>
      <c r="U289" s="6"/>
      <c r="V289" s="6"/>
    </row>
    <row r="290" spans="17:22">
      <c r="Q290" s="6"/>
      <c r="R290" s="6"/>
      <c r="S290" s="6"/>
      <c r="T290" s="6"/>
      <c r="U290" s="6"/>
      <c r="V290" s="6"/>
    </row>
    <row r="291" spans="17:22">
      <c r="Q291" s="6"/>
      <c r="R291" s="6"/>
      <c r="S291" s="6"/>
      <c r="T291" s="6"/>
      <c r="U291" s="6"/>
      <c r="V291" s="6"/>
    </row>
    <row r="292" spans="17:22">
      <c r="Q292" s="6"/>
      <c r="R292" s="6"/>
      <c r="S292" s="6"/>
      <c r="T292" s="6"/>
      <c r="U292" s="6"/>
      <c r="V292" s="6"/>
    </row>
    <row r="293" spans="17:22">
      <c r="Q293" s="6"/>
      <c r="R293" s="6"/>
      <c r="S293" s="6"/>
      <c r="T293" s="6"/>
      <c r="U293" s="6"/>
      <c r="V293" s="6"/>
    </row>
    <row r="294" spans="17:22">
      <c r="Q294" s="6"/>
      <c r="R294" s="6"/>
      <c r="S294" s="6"/>
      <c r="T294" s="6"/>
      <c r="U294" s="6"/>
      <c r="V294" s="6"/>
    </row>
    <row r="295" spans="17:22">
      <c r="Q295" s="6"/>
      <c r="R295" s="6"/>
      <c r="S295" s="6"/>
      <c r="T295" s="6"/>
      <c r="U295" s="6"/>
      <c r="V295" s="6"/>
    </row>
    <row r="296" spans="17:22">
      <c r="Q296" s="6"/>
      <c r="R296" s="6"/>
      <c r="S296" s="6"/>
      <c r="T296" s="6"/>
      <c r="U296" s="6"/>
      <c r="V296" s="6"/>
    </row>
    <row r="297" spans="17:22">
      <c r="Q297" s="6"/>
      <c r="R297" s="6"/>
      <c r="S297" s="6"/>
      <c r="T297" s="6"/>
      <c r="U297" s="6"/>
      <c r="V297" s="6"/>
    </row>
    <row r="298" spans="17:22">
      <c r="Q298" s="6"/>
      <c r="R298" s="6"/>
      <c r="S298" s="6"/>
      <c r="T298" s="6"/>
      <c r="U298" s="6"/>
      <c r="V298" s="6"/>
    </row>
    <row r="299" spans="17:22">
      <c r="Q299" s="6"/>
      <c r="R299" s="6"/>
      <c r="S299" s="6"/>
      <c r="T299" s="6"/>
      <c r="U299" s="6"/>
      <c r="V299" s="6"/>
    </row>
    <row r="300" spans="17:22">
      <c r="Q300" s="6"/>
      <c r="R300" s="6"/>
      <c r="S300" s="6"/>
      <c r="T300" s="6"/>
      <c r="U300" s="6"/>
      <c r="V300" s="6"/>
    </row>
  </sheetData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4" priority="8" operator="equal">
      <formula>"NO"</formula>
    </cfRule>
    <cfRule type="cellIs" dxfId="63" priority="9" operator="equal">
      <formula>"SI"</formula>
    </cfRule>
  </conditionalFormatting>
  <conditionalFormatting sqref="P3:P1048576">
    <cfRule type="cellIs" dxfId="62" priority="10" operator="equal">
      <formula>"No Aceptable"</formula>
    </cfRule>
    <cfRule type="cellIs" dxfId="61" priority="11" operator="equal">
      <formula>"Aceptable"</formula>
    </cfRule>
  </conditionalFormatting>
  <conditionalFormatting sqref="Q3:V246">
    <cfRule type="cellIs" dxfId="60" priority="1" operator="equal">
      <formula>"N/A"</formula>
    </cfRule>
  </conditionalFormatting>
  <conditionalFormatting sqref="Q3:V300">
    <cfRule type="cellIs" dxfId="59" priority="4" operator="equal">
      <formula>"SI"</formula>
    </cfRule>
    <cfRule type="cellIs" dxfId="58" priority="5" operator="equal">
      <formula>"NO"</formula>
    </cfRule>
  </conditionalFormatting>
  <conditionalFormatting sqref="W3:W249">
    <cfRule type="cellIs" dxfId="57" priority="2" operator="equal">
      <formula>"No Critico"</formula>
    </cfRule>
    <cfRule type="cellIs" dxfId="56" priority="3" operator="equal">
      <formula>"Critico"</formula>
    </cfRule>
  </conditionalFormatting>
  <dataValidations count="1">
    <dataValidation type="list" allowBlank="1" showInputMessage="1" showErrorMessage="1" sqref="J3:O107 Q3:V300" xr:uid="{9CC706B0-5768-48BE-9FF6-CA6C40CD340B}">
      <formula1>"SI,NO,N/A"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dimension ref="A1:BB293"/>
  <sheetViews>
    <sheetView zoomScale="96" zoomScaleNormal="96" workbookViewId="0">
      <pane xSplit="4" ySplit="2" topLeftCell="E102" activePane="bottomRight" state="frozen"/>
      <selection pane="bottomRight" activeCell="N2" sqref="N2"/>
      <selection pane="bottomLeft" activeCell="A3" sqref="A3"/>
      <selection pane="topRight" activeCell="E1" sqref="E1"/>
    </sheetView>
  </sheetViews>
  <sheetFormatPr defaultColWidth="11.42578125" defaultRowHeight="15"/>
  <cols>
    <col min="1" max="1" width="3.140625" style="51" customWidth="1"/>
    <col min="2" max="3" width="11.5703125" style="3" customWidth="1"/>
    <col min="4" max="4" width="14.28515625" style="50" customWidth="1"/>
    <col min="5" max="5" width="13.5703125" style="3" customWidth="1"/>
    <col min="6" max="6" width="11.5703125" style="3"/>
    <col min="7" max="8" width="11.5703125" style="7"/>
    <col min="9" max="9" width="11.5703125" style="7" customWidth="1"/>
    <col min="10" max="10" width="11.5703125" style="79"/>
    <col min="11" max="11" width="20.42578125" style="37" customWidth="1"/>
    <col min="12" max="12" width="12.42578125" style="37" customWidth="1"/>
    <col min="13" max="14" width="11.5703125" style="37"/>
    <col min="15" max="15" width="18.7109375" style="37" customWidth="1"/>
    <col min="16" max="16" width="11.5703125" style="84"/>
    <col min="17" max="17" width="11.5703125" style="90"/>
    <col min="18" max="22" width="11.5703125" style="37"/>
    <col min="23" max="23" width="11.5703125" style="81"/>
    <col min="24" max="24" width="11.5703125" style="90"/>
    <col min="25" max="28" width="11.5703125" style="37"/>
    <col min="29" max="29" width="11.5703125" style="81"/>
    <col min="30" max="30" width="11.5703125" style="88"/>
    <col min="31" max="37" width="11.5703125" style="37"/>
    <col min="38" max="38" width="14.28515625" style="37" customWidth="1"/>
    <col min="39" max="39" width="11.5703125" style="37"/>
    <col min="40" max="40" width="13.42578125" style="37" customWidth="1"/>
    <col min="41" max="54" width="11.5703125" style="37"/>
  </cols>
  <sheetData>
    <row r="1" spans="1:54" ht="22.15" customHeight="1">
      <c r="A1" s="149" t="s">
        <v>350</v>
      </c>
      <c r="B1" s="147"/>
      <c r="C1" s="147"/>
      <c r="D1" s="147"/>
      <c r="E1" s="147"/>
      <c r="F1" s="147" t="s">
        <v>321</v>
      </c>
      <c r="G1" s="147"/>
      <c r="H1" s="147" t="s">
        <v>322</v>
      </c>
      <c r="I1" s="148"/>
      <c r="J1" s="152" t="s">
        <v>351</v>
      </c>
      <c r="K1" s="153"/>
      <c r="L1" s="153"/>
      <c r="M1" s="153"/>
      <c r="N1" s="153"/>
      <c r="O1" s="153"/>
      <c r="P1" s="154"/>
      <c r="Q1" s="152" t="s">
        <v>352</v>
      </c>
      <c r="R1" s="153"/>
      <c r="S1" s="153"/>
      <c r="T1" s="153"/>
      <c r="U1" s="153"/>
      <c r="V1" s="153"/>
      <c r="W1" s="154"/>
      <c r="X1" s="150" t="s">
        <v>353</v>
      </c>
      <c r="Y1" s="150"/>
      <c r="Z1" s="150"/>
      <c r="AA1" s="150"/>
      <c r="AB1" s="150"/>
      <c r="AC1" s="150"/>
      <c r="AD1" s="150"/>
      <c r="AE1" s="150" t="s">
        <v>354</v>
      </c>
      <c r="AF1" s="150"/>
      <c r="AG1" s="150"/>
      <c r="AH1" s="150"/>
      <c r="AI1" s="150"/>
      <c r="AJ1" s="150"/>
      <c r="AK1" s="150"/>
      <c r="AL1" s="150" t="s">
        <v>355</v>
      </c>
      <c r="AM1" s="150"/>
      <c r="AN1" s="150"/>
      <c r="AO1" s="150"/>
      <c r="AP1" s="150"/>
      <c r="AQ1" s="150" t="s">
        <v>356</v>
      </c>
      <c r="AR1" s="150"/>
      <c r="AS1" s="150"/>
      <c r="AT1" s="150"/>
      <c r="AU1" s="150"/>
      <c r="AV1" s="150"/>
      <c r="AW1" s="151" t="s">
        <v>357</v>
      </c>
      <c r="AX1" s="151"/>
      <c r="AY1" s="151"/>
      <c r="AZ1" s="151"/>
      <c r="BA1" s="151"/>
      <c r="BB1" s="151"/>
    </row>
    <row r="2" spans="1:54" ht="88.15" customHeight="1">
      <c r="A2" s="48" t="s">
        <v>35</v>
      </c>
      <c r="B2" s="9" t="s">
        <v>36</v>
      </c>
      <c r="C2" s="9" t="s">
        <v>37</v>
      </c>
      <c r="D2" s="49" t="s">
        <v>38</v>
      </c>
      <c r="E2" s="9" t="s">
        <v>40</v>
      </c>
      <c r="F2" s="9" t="s">
        <v>326</v>
      </c>
      <c r="G2" s="9" t="s">
        <v>327</v>
      </c>
      <c r="H2" s="9" t="s">
        <v>328</v>
      </c>
      <c r="I2" s="9" t="s">
        <v>329</v>
      </c>
      <c r="J2" s="77" t="s">
        <v>358</v>
      </c>
      <c r="K2" s="76" t="s">
        <v>359</v>
      </c>
      <c r="L2" s="76" t="s">
        <v>360</v>
      </c>
      <c r="M2" s="76" t="s">
        <v>361</v>
      </c>
      <c r="N2" s="76" t="s">
        <v>362</v>
      </c>
      <c r="O2" s="76" t="s">
        <v>363</v>
      </c>
      <c r="P2" s="82" t="s">
        <v>364</v>
      </c>
      <c r="Q2" s="77" t="s">
        <v>365</v>
      </c>
      <c r="R2" s="85" t="s">
        <v>366</v>
      </c>
      <c r="S2" s="85" t="s">
        <v>367</v>
      </c>
      <c r="T2" s="85" t="s">
        <v>368</v>
      </c>
      <c r="U2" s="85" t="s">
        <v>369</v>
      </c>
      <c r="V2" s="85" t="s">
        <v>370</v>
      </c>
      <c r="W2" s="89" t="s">
        <v>371</v>
      </c>
      <c r="X2" s="77" t="s">
        <v>365</v>
      </c>
      <c r="Y2" s="76" t="s">
        <v>372</v>
      </c>
      <c r="Z2" s="76" t="s">
        <v>373</v>
      </c>
      <c r="AA2" s="76" t="s">
        <v>374</v>
      </c>
      <c r="AB2" s="76" t="s">
        <v>375</v>
      </c>
      <c r="AC2" s="78" t="s">
        <v>376</v>
      </c>
      <c r="AD2" s="87" t="s">
        <v>336</v>
      </c>
      <c r="AE2" s="76" t="s">
        <v>377</v>
      </c>
      <c r="AF2" s="76" t="s">
        <v>378</v>
      </c>
      <c r="AG2" s="76" t="s">
        <v>379</v>
      </c>
      <c r="AH2" s="76" t="s">
        <v>380</v>
      </c>
      <c r="AI2" s="76" t="s">
        <v>381</v>
      </c>
      <c r="AJ2" s="76" t="s">
        <v>382</v>
      </c>
      <c r="AK2" s="76" t="s">
        <v>383</v>
      </c>
      <c r="AL2" s="76" t="s">
        <v>384</v>
      </c>
      <c r="AM2" s="76" t="s">
        <v>385</v>
      </c>
      <c r="AN2" s="76" t="s">
        <v>386</v>
      </c>
      <c r="AO2" s="76" t="s">
        <v>387</v>
      </c>
      <c r="AP2" s="76" t="s">
        <v>388</v>
      </c>
      <c r="AQ2" s="76" t="s">
        <v>389</v>
      </c>
      <c r="AR2" s="76" t="s">
        <v>390</v>
      </c>
      <c r="AS2" s="76" t="s">
        <v>391</v>
      </c>
      <c r="AT2" s="76" t="s">
        <v>392</v>
      </c>
      <c r="AU2" s="76" t="s">
        <v>393</v>
      </c>
      <c r="AV2" s="76" t="s">
        <v>343</v>
      </c>
      <c r="AW2" s="76" t="s">
        <v>344</v>
      </c>
      <c r="AX2" s="76" t="s">
        <v>345</v>
      </c>
      <c r="AY2" s="76" t="s">
        <v>346</v>
      </c>
      <c r="AZ2" s="76" t="s">
        <v>347</v>
      </c>
      <c r="BA2" s="76" t="s">
        <v>348</v>
      </c>
      <c r="BB2" s="76" t="s">
        <v>349</v>
      </c>
    </row>
    <row r="3" spans="1:54" s="5" customFormat="1" ht="36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IF(Inicial!K3="SI",Inicial!E3,"N/A")</f>
        <v>N/A</v>
      </c>
      <c r="F3" s="53" t="str">
        <f>IF(Inicial!K3="SI",Inicial!F3,"N/A")</f>
        <v>N/A</v>
      </c>
      <c r="G3" s="53" t="str">
        <f>IF(Inicial!K3="SI",Inicial!G3,"N/A")</f>
        <v>N/A</v>
      </c>
      <c r="H3" s="53" t="str">
        <f>IF(Inicial!K3="SI",Inicial!H3,"N/A")</f>
        <v>N/A</v>
      </c>
      <c r="I3" s="64" t="str">
        <f>IF(Inicial!K3="SI",Inicial!I3,"N/A")</f>
        <v>N/A</v>
      </c>
      <c r="J3" s="79" t="s">
        <v>394</v>
      </c>
      <c r="K3" s="6" t="s">
        <v>394</v>
      </c>
      <c r="L3" s="6" t="s">
        <v>394</v>
      </c>
      <c r="M3" s="6" t="s">
        <v>394</v>
      </c>
      <c r="N3" s="6" t="s">
        <v>394</v>
      </c>
      <c r="O3" s="6" t="s">
        <v>394</v>
      </c>
      <c r="P3" s="6" t="s">
        <v>394</v>
      </c>
      <c r="Q3" s="6" t="s">
        <v>394</v>
      </c>
      <c r="R3" s="6" t="s">
        <v>394</v>
      </c>
      <c r="S3" s="6" t="s">
        <v>394</v>
      </c>
      <c r="T3" s="6" t="s">
        <v>394</v>
      </c>
      <c r="U3" s="6" t="s">
        <v>394</v>
      </c>
      <c r="V3" s="6" t="s">
        <v>394</v>
      </c>
      <c r="W3" s="6" t="s">
        <v>394</v>
      </c>
      <c r="X3" s="6" t="s">
        <v>394</v>
      </c>
      <c r="Y3" s="6" t="s">
        <v>394</v>
      </c>
      <c r="Z3" s="6" t="s">
        <v>394</v>
      </c>
      <c r="AA3" s="6" t="s">
        <v>394</v>
      </c>
      <c r="AB3" s="6" t="s">
        <v>394</v>
      </c>
      <c r="AC3" s="6" t="s">
        <v>394</v>
      </c>
      <c r="AD3" s="88" t="str">
        <f>IF(OR(J3="NO",K3="NO",L3="NO",M3="NO",N3="NO",O3="NO",P3="NO",R3="NO",S3="NO",T3="NO",U3="NO", V3="NO",W3="NO",Y3="NO",Z3="NO",AA3="NO",AB3="NO",AC3="NO"),"No aceptable","Aceptable")</f>
        <v>Aceptable</v>
      </c>
      <c r="AE3" s="6"/>
      <c r="AF3" s="6"/>
      <c r="AG3" s="6"/>
      <c r="AH3" s="6"/>
      <c r="AI3" s="6" t="s">
        <v>63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37" t="str" cm="1">
        <f t="array" ref="AV3">IF(OR(AE3:AU3="SI"),"Critico","No critico")</f>
        <v>Critico</v>
      </c>
      <c r="AW3" s="86"/>
      <c r="AX3" s="86"/>
      <c r="AY3" s="86"/>
      <c r="AZ3" s="86"/>
      <c r="BA3" s="86"/>
      <c r="BB3" s="86"/>
    </row>
    <row r="4" spans="1:54" ht="33.6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IF(Inicial!K4="SI",Inicial!E4,"N/A")</f>
        <v>N/A</v>
      </c>
      <c r="F4" s="53" t="str">
        <f>IF(Inicial!K4="SI",Inicial!F4,"N/A")</f>
        <v>N/A</v>
      </c>
      <c r="G4" s="53" t="str">
        <f>IF(Inicial!K4="SI",Inicial!G4,"N/A")</f>
        <v>N/A</v>
      </c>
      <c r="H4" s="53" t="str">
        <f>IF(Inicial!K4="SI",Inicial!H4,"N/A")</f>
        <v>N/A</v>
      </c>
      <c r="I4" s="64" t="str">
        <f>IF(Inicial!K4="SI",Inicial!I4,"N/A")</f>
        <v>N/A</v>
      </c>
      <c r="J4" s="79" t="s">
        <v>394</v>
      </c>
      <c r="K4" s="6" t="s">
        <v>394</v>
      </c>
      <c r="L4" s="6" t="s">
        <v>394</v>
      </c>
      <c r="M4" s="6" t="s">
        <v>394</v>
      </c>
      <c r="N4" s="6" t="s">
        <v>394</v>
      </c>
      <c r="O4" s="6" t="s">
        <v>394</v>
      </c>
      <c r="P4" s="6" t="s">
        <v>394</v>
      </c>
      <c r="Q4" s="6" t="s">
        <v>394</v>
      </c>
      <c r="R4" s="6" t="s">
        <v>394</v>
      </c>
      <c r="S4" s="6" t="s">
        <v>394</v>
      </c>
      <c r="T4" s="6" t="s">
        <v>394</v>
      </c>
      <c r="U4" s="6" t="s">
        <v>394</v>
      </c>
      <c r="V4" s="6" t="s">
        <v>394</v>
      </c>
      <c r="W4" s="6" t="s">
        <v>394</v>
      </c>
      <c r="X4" s="6" t="s">
        <v>394</v>
      </c>
      <c r="Y4" s="6" t="s">
        <v>394</v>
      </c>
      <c r="Z4" s="6" t="s">
        <v>394</v>
      </c>
      <c r="AA4" s="6" t="s">
        <v>394</v>
      </c>
      <c r="AB4" s="6" t="s">
        <v>394</v>
      </c>
      <c r="AC4" s="6" t="s">
        <v>394</v>
      </c>
      <c r="AD4" s="88" t="str">
        <f t="shared" ref="AD4:AD65" si="0">IF(OR(J4="NO",K4="NO",L4="NO",M4="NO",N4="NO",O4="NO",P4="NO",R4="NO",S4="NO",T4="NO",U4="NO", V4="NO",W4="NO",Y4="NO",Z4="NO",AA4="NO",AB4="NO",AC4="NO"),"No aceptable","Aceptable")</f>
        <v>Aceptable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37" t="str" cm="1">
        <f t="array" ref="AV4">IF(OR(AE4:AU4="SI"),"Critico","No critico")</f>
        <v>No critico</v>
      </c>
      <c r="AW4" s="86"/>
      <c r="AX4" s="86"/>
      <c r="AY4" s="86"/>
      <c r="AZ4" s="86"/>
      <c r="BA4" s="86"/>
      <c r="BB4" s="86"/>
    </row>
    <row r="5" spans="1:54" ht="25.5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IF(Inicial!K5="SI",Inicial!E5,"N/A")</f>
        <v>N/A</v>
      </c>
      <c r="F5" s="53" t="str">
        <f>IF(Inicial!K5="SI",Inicial!F5,"N/A")</f>
        <v>N/A</v>
      </c>
      <c r="G5" s="53" t="str">
        <f>IF(Inicial!K5="SI",Inicial!G5,"N/A")</f>
        <v>N/A</v>
      </c>
      <c r="H5" s="53" t="str">
        <f>IF(Inicial!K5="SI",Inicial!H5,"N/A")</f>
        <v>N/A</v>
      </c>
      <c r="I5" s="64" t="str">
        <f>IF(Inicial!K5="SI",Inicial!I5,"N/A")</f>
        <v>N/A</v>
      </c>
      <c r="J5" s="79" t="s">
        <v>394</v>
      </c>
      <c r="K5" s="6" t="s">
        <v>394</v>
      </c>
      <c r="L5" s="6" t="s">
        <v>394</v>
      </c>
      <c r="M5" s="6" t="s">
        <v>394</v>
      </c>
      <c r="N5" s="6" t="s">
        <v>394</v>
      </c>
      <c r="O5" s="6" t="s">
        <v>394</v>
      </c>
      <c r="P5" s="6" t="s">
        <v>394</v>
      </c>
      <c r="Q5" s="6" t="s">
        <v>394</v>
      </c>
      <c r="R5" s="6" t="s">
        <v>394</v>
      </c>
      <c r="S5" s="6" t="s">
        <v>394</v>
      </c>
      <c r="T5" s="6" t="s">
        <v>394</v>
      </c>
      <c r="U5" s="6" t="s">
        <v>394</v>
      </c>
      <c r="V5" s="6" t="s">
        <v>394</v>
      </c>
      <c r="W5" s="6" t="s">
        <v>394</v>
      </c>
      <c r="X5" s="6" t="s">
        <v>394</v>
      </c>
      <c r="Y5" s="6" t="s">
        <v>394</v>
      </c>
      <c r="Z5" s="6" t="s">
        <v>394</v>
      </c>
      <c r="AA5" s="6" t="s">
        <v>394</v>
      </c>
      <c r="AB5" s="6" t="s">
        <v>394</v>
      </c>
      <c r="AC5" s="6" t="s">
        <v>394</v>
      </c>
      <c r="AD5" s="88" t="str">
        <f t="shared" si="0"/>
        <v>Aceptable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37" t="str" cm="1">
        <f t="array" ref="AV5">IF(OR(AE5:AU5="SI"),"Critico","No critico")</f>
        <v>No critico</v>
      </c>
    </row>
    <row r="6" spans="1:54" ht="25.5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IF(Inicial!K6="SI",Inicial!E6,"N/A")</f>
        <v>N/A</v>
      </c>
      <c r="F6" s="53" t="str">
        <f>IF(Inicial!K6="SI",Inicial!F6,"N/A")</f>
        <v>N/A</v>
      </c>
      <c r="G6" s="53" t="str">
        <f>IF(Inicial!K6="SI",Inicial!G6,"N/A")</f>
        <v>N/A</v>
      </c>
      <c r="H6" s="53" t="str">
        <f>IF(Inicial!K6="SI",Inicial!H6,"N/A")</f>
        <v>N/A</v>
      </c>
      <c r="I6" s="64" t="str">
        <f>IF(Inicial!K6="SI",Inicial!I6,"N/A")</f>
        <v>N/A</v>
      </c>
      <c r="J6" s="79" t="s">
        <v>394</v>
      </c>
      <c r="K6" s="6" t="s">
        <v>394</v>
      </c>
      <c r="L6" s="6" t="s">
        <v>394</v>
      </c>
      <c r="M6" s="6" t="s">
        <v>394</v>
      </c>
      <c r="N6" s="6" t="s">
        <v>394</v>
      </c>
      <c r="O6" s="6" t="s">
        <v>394</v>
      </c>
      <c r="P6" s="6" t="s">
        <v>394</v>
      </c>
      <c r="Q6" s="6" t="s">
        <v>394</v>
      </c>
      <c r="R6" s="6" t="s">
        <v>394</v>
      </c>
      <c r="S6" s="6" t="s">
        <v>394</v>
      </c>
      <c r="T6" s="6" t="s">
        <v>394</v>
      </c>
      <c r="U6" s="6" t="s">
        <v>394</v>
      </c>
      <c r="V6" s="6" t="s">
        <v>394</v>
      </c>
      <c r="W6" s="6" t="s">
        <v>394</v>
      </c>
      <c r="X6" s="6" t="s">
        <v>394</v>
      </c>
      <c r="Y6" s="6" t="s">
        <v>394</v>
      </c>
      <c r="Z6" s="6" t="s">
        <v>394</v>
      </c>
      <c r="AA6" s="6" t="s">
        <v>394</v>
      </c>
      <c r="AB6" s="6" t="s">
        <v>394</v>
      </c>
      <c r="AC6" s="6" t="s">
        <v>394</v>
      </c>
      <c r="AD6" s="88" t="str">
        <f t="shared" si="0"/>
        <v>Aceptable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37" t="str" cm="1">
        <f t="array" ref="AV6">IF(OR(AE6:AU6="SI"),"Critico","No critico")</f>
        <v>No critico</v>
      </c>
    </row>
    <row r="7" spans="1:54" ht="25.5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IF(Inicial!K7="SI",Inicial!E7,"N/A")</f>
        <v>N/A</v>
      </c>
      <c r="F7" s="53" t="str">
        <f>IF(Inicial!K7="SI",Inicial!F7,"N/A")</f>
        <v>N/A</v>
      </c>
      <c r="G7" s="53" t="str">
        <f>IF(Inicial!K7="SI",Inicial!G7,"N/A")</f>
        <v>N/A</v>
      </c>
      <c r="H7" s="53" t="str">
        <f>IF(Inicial!K7="SI",Inicial!H7,"N/A")</f>
        <v>N/A</v>
      </c>
      <c r="I7" s="64" t="str">
        <f>IF(Inicial!K7="SI",Inicial!I7,"N/A")</f>
        <v>N/A</v>
      </c>
      <c r="J7" s="79" t="s">
        <v>394</v>
      </c>
      <c r="K7" s="6" t="s">
        <v>394</v>
      </c>
      <c r="L7" s="6" t="s">
        <v>394</v>
      </c>
      <c r="M7" s="6" t="s">
        <v>394</v>
      </c>
      <c r="N7" s="6" t="s">
        <v>394</v>
      </c>
      <c r="O7" s="6" t="s">
        <v>394</v>
      </c>
      <c r="P7" s="6" t="s">
        <v>394</v>
      </c>
      <c r="Q7" s="6" t="s">
        <v>394</v>
      </c>
      <c r="R7" s="6" t="s">
        <v>394</v>
      </c>
      <c r="S7" s="6" t="s">
        <v>394</v>
      </c>
      <c r="T7" s="6" t="s">
        <v>394</v>
      </c>
      <c r="U7" s="6" t="s">
        <v>394</v>
      </c>
      <c r="V7" s="6" t="s">
        <v>394</v>
      </c>
      <c r="W7" s="6" t="s">
        <v>394</v>
      </c>
      <c r="X7" s="6" t="s">
        <v>394</v>
      </c>
      <c r="Y7" s="6" t="s">
        <v>394</v>
      </c>
      <c r="Z7" s="6" t="s">
        <v>394</v>
      </c>
      <c r="AA7" s="6" t="s">
        <v>394</v>
      </c>
      <c r="AB7" s="6" t="s">
        <v>394</v>
      </c>
      <c r="AC7" s="6" t="s">
        <v>394</v>
      </c>
      <c r="AD7" s="88" t="str">
        <f t="shared" si="0"/>
        <v>Aceptable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37" t="str" cm="1">
        <f t="array" ref="AV7">IF(OR(AE7:AU7="SI"),"Critico","No critico")</f>
        <v>No critico</v>
      </c>
    </row>
    <row r="8" spans="1:54" ht="25.5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IF(Inicial!K8="SI",Inicial!E8,"N/A")</f>
        <v>N/A</v>
      </c>
      <c r="F8" s="53" t="str">
        <f>IF(Inicial!K8="SI",Inicial!F8,"N/A")</f>
        <v>N/A</v>
      </c>
      <c r="G8" s="53" t="str">
        <f>IF(Inicial!K8="SI",Inicial!G8,"N/A")</f>
        <v>N/A</v>
      </c>
      <c r="H8" s="53" t="str">
        <f>IF(Inicial!K8="SI",Inicial!H8,"N/A")</f>
        <v>N/A</v>
      </c>
      <c r="I8" s="64" t="str">
        <f>IF(Inicial!K8="SI",Inicial!I8,"N/A")</f>
        <v>N/A</v>
      </c>
      <c r="J8" s="79" t="s">
        <v>394</v>
      </c>
      <c r="K8" s="6" t="s">
        <v>394</v>
      </c>
      <c r="L8" s="6" t="s">
        <v>394</v>
      </c>
      <c r="M8" s="6" t="s">
        <v>394</v>
      </c>
      <c r="N8" s="6" t="s">
        <v>394</v>
      </c>
      <c r="O8" s="6" t="s">
        <v>394</v>
      </c>
      <c r="P8" s="6" t="s">
        <v>394</v>
      </c>
      <c r="Q8" s="6" t="s">
        <v>394</v>
      </c>
      <c r="R8" s="6" t="s">
        <v>394</v>
      </c>
      <c r="S8" s="6" t="s">
        <v>394</v>
      </c>
      <c r="T8" s="6" t="s">
        <v>394</v>
      </c>
      <c r="U8" s="6" t="s">
        <v>394</v>
      </c>
      <c r="V8" s="6" t="s">
        <v>394</v>
      </c>
      <c r="W8" s="6" t="s">
        <v>394</v>
      </c>
      <c r="X8" s="6" t="s">
        <v>394</v>
      </c>
      <c r="Y8" s="6" t="s">
        <v>394</v>
      </c>
      <c r="Z8" s="6" t="s">
        <v>394</v>
      </c>
      <c r="AA8" s="6" t="s">
        <v>394</v>
      </c>
      <c r="AB8" s="6" t="s">
        <v>394</v>
      </c>
      <c r="AC8" s="6" t="s">
        <v>394</v>
      </c>
      <c r="AD8" s="88" t="str">
        <f t="shared" si="0"/>
        <v>Aceptable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37" t="str" cm="1">
        <f t="array" ref="AV8">IF(OR(AE8:AU8="SI"),"Critico","No critico")</f>
        <v>No critico</v>
      </c>
    </row>
    <row r="9" spans="1:54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IF(Inicial!K9="SI",Inicial!E9,"N/A")</f>
        <v>N/A</v>
      </c>
      <c r="F9" s="53" t="str">
        <f>IF(Inicial!K9="SI",Inicial!F9,"N/A")</f>
        <v>N/A</v>
      </c>
      <c r="G9" s="53" t="str">
        <f>IF(Inicial!K9="SI",Inicial!G9,"N/A")</f>
        <v>N/A</v>
      </c>
      <c r="H9" s="53" t="str">
        <f>IF(Inicial!K9="SI",Inicial!H9,"N/A")</f>
        <v>N/A</v>
      </c>
      <c r="I9" s="64" t="str">
        <f>IF(Inicial!K9="SI",Inicial!I9,"N/A")</f>
        <v>N/A</v>
      </c>
      <c r="J9" s="79" t="s">
        <v>394</v>
      </c>
      <c r="K9" s="6" t="s">
        <v>394</v>
      </c>
      <c r="L9" s="6" t="s">
        <v>394</v>
      </c>
      <c r="M9" s="6" t="s">
        <v>394</v>
      </c>
      <c r="N9" s="6" t="s">
        <v>394</v>
      </c>
      <c r="O9" s="6" t="s">
        <v>394</v>
      </c>
      <c r="P9" s="6" t="s">
        <v>394</v>
      </c>
      <c r="Q9" s="6" t="s">
        <v>394</v>
      </c>
      <c r="R9" s="6" t="s">
        <v>394</v>
      </c>
      <c r="S9" s="6" t="s">
        <v>394</v>
      </c>
      <c r="T9" s="6" t="s">
        <v>394</v>
      </c>
      <c r="U9" s="6" t="s">
        <v>394</v>
      </c>
      <c r="V9" s="6" t="s">
        <v>394</v>
      </c>
      <c r="W9" s="6" t="s">
        <v>394</v>
      </c>
      <c r="X9" s="6" t="s">
        <v>394</v>
      </c>
      <c r="Y9" s="6" t="s">
        <v>394</v>
      </c>
      <c r="Z9" s="6" t="s">
        <v>394</v>
      </c>
      <c r="AA9" s="6" t="s">
        <v>394</v>
      </c>
      <c r="AB9" s="6" t="s">
        <v>394</v>
      </c>
      <c r="AC9" s="6" t="s">
        <v>394</v>
      </c>
      <c r="AD9" s="88" t="str">
        <f t="shared" si="0"/>
        <v>Aceptable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37" t="str" cm="1">
        <f t="array" ref="AV9">IF(OR(AE9:AU9="SI"),"Critico","No critico")</f>
        <v>No critico</v>
      </c>
    </row>
    <row r="10" spans="1:54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IF(Inicial!K10="SI",Inicial!E10,"N/A")</f>
        <v>N/A</v>
      </c>
      <c r="F10" s="53" t="str">
        <f>IF(Inicial!K10="SI",Inicial!F10,"N/A")</f>
        <v>N/A</v>
      </c>
      <c r="G10" s="53" t="str">
        <f>IF(Inicial!K10="SI",Inicial!G10,"N/A")</f>
        <v>N/A</v>
      </c>
      <c r="H10" s="53" t="str">
        <f>IF(Inicial!K10="SI",Inicial!H10,"N/A")</f>
        <v>N/A</v>
      </c>
      <c r="I10" s="64" t="str">
        <f>IF(Inicial!K10="SI",Inicial!I10,"N/A")</f>
        <v>N/A</v>
      </c>
      <c r="J10" s="79" t="s">
        <v>394</v>
      </c>
      <c r="K10" s="6" t="s">
        <v>394</v>
      </c>
      <c r="L10" s="6" t="s">
        <v>394</v>
      </c>
      <c r="M10" s="6" t="s">
        <v>394</v>
      </c>
      <c r="N10" s="6" t="s">
        <v>394</v>
      </c>
      <c r="O10" s="6" t="s">
        <v>394</v>
      </c>
      <c r="P10" s="6" t="s">
        <v>394</v>
      </c>
      <c r="Q10" s="6" t="s">
        <v>394</v>
      </c>
      <c r="R10" s="6" t="s">
        <v>394</v>
      </c>
      <c r="S10" s="6" t="s">
        <v>394</v>
      </c>
      <c r="T10" s="6" t="s">
        <v>394</v>
      </c>
      <c r="U10" s="6" t="s">
        <v>394</v>
      </c>
      <c r="V10" s="6" t="s">
        <v>394</v>
      </c>
      <c r="W10" s="6" t="s">
        <v>394</v>
      </c>
      <c r="X10" s="6" t="s">
        <v>394</v>
      </c>
      <c r="Y10" s="6" t="s">
        <v>394</v>
      </c>
      <c r="Z10" s="6" t="s">
        <v>394</v>
      </c>
      <c r="AA10" s="6" t="s">
        <v>394</v>
      </c>
      <c r="AB10" s="6" t="s">
        <v>394</v>
      </c>
      <c r="AC10" s="6" t="s">
        <v>394</v>
      </c>
      <c r="AD10" s="88" t="str">
        <f t="shared" si="0"/>
        <v>Aceptable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37" t="str" cm="1">
        <f t="array" ref="AV10">IF(OR(AE10:AU10="SI"),"Critico","No critico")</f>
        <v>No critico</v>
      </c>
    </row>
    <row r="11" spans="1:54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IF(Inicial!K11="SI",Inicial!E11,"N/A")</f>
        <v>N/A</v>
      </c>
      <c r="F11" s="53" t="str">
        <f>IF(Inicial!K11="SI",Inicial!F11,"N/A")</f>
        <v>N/A</v>
      </c>
      <c r="G11" s="53" t="str">
        <f>IF(Inicial!K11="SI",Inicial!G11,"N/A")</f>
        <v>N/A</v>
      </c>
      <c r="H11" s="53" t="str">
        <f>IF(Inicial!K11="SI",Inicial!H11,"N/A")</f>
        <v>N/A</v>
      </c>
      <c r="I11" s="64" t="str">
        <f>IF(Inicial!K11="SI",Inicial!I11,"N/A")</f>
        <v>N/A</v>
      </c>
      <c r="J11" s="79" t="s">
        <v>394</v>
      </c>
      <c r="K11" s="6" t="s">
        <v>394</v>
      </c>
      <c r="L11" s="6" t="s">
        <v>394</v>
      </c>
      <c r="M11" s="6" t="s">
        <v>394</v>
      </c>
      <c r="N11" s="6" t="s">
        <v>394</v>
      </c>
      <c r="O11" s="6" t="s">
        <v>394</v>
      </c>
      <c r="P11" s="6" t="s">
        <v>394</v>
      </c>
      <c r="Q11" s="6" t="s">
        <v>394</v>
      </c>
      <c r="R11" s="6" t="s">
        <v>394</v>
      </c>
      <c r="S11" s="6" t="s">
        <v>394</v>
      </c>
      <c r="T11" s="6" t="s">
        <v>394</v>
      </c>
      <c r="U11" s="6" t="s">
        <v>394</v>
      </c>
      <c r="V11" s="6" t="s">
        <v>394</v>
      </c>
      <c r="W11" s="6" t="s">
        <v>394</v>
      </c>
      <c r="X11" s="6" t="s">
        <v>394</v>
      </c>
      <c r="Y11" s="6" t="s">
        <v>394</v>
      </c>
      <c r="Z11" s="6" t="s">
        <v>394</v>
      </c>
      <c r="AA11" s="6" t="s">
        <v>394</v>
      </c>
      <c r="AB11" s="6" t="s">
        <v>394</v>
      </c>
      <c r="AC11" s="6" t="s">
        <v>394</v>
      </c>
      <c r="AD11" s="88" t="str">
        <f t="shared" si="0"/>
        <v>Aceptable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37" t="str" cm="1">
        <f t="array" ref="AV11">IF(OR(AE11:AU11="SI"),"Critico","No critico")</f>
        <v>No critico</v>
      </c>
    </row>
    <row r="12" spans="1:54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IF(Inicial!K12="SI",Inicial!E12,"N/A")</f>
        <v>N/A</v>
      </c>
      <c r="F12" s="53" t="str">
        <f>IF(Inicial!K12="SI",Inicial!F12,"N/A")</f>
        <v>N/A</v>
      </c>
      <c r="G12" s="53" t="str">
        <f>IF(Inicial!K12="SI",Inicial!G12,"N/A")</f>
        <v>N/A</v>
      </c>
      <c r="H12" s="53" t="str">
        <f>IF(Inicial!K12="SI",Inicial!H12,"N/A")</f>
        <v>N/A</v>
      </c>
      <c r="I12" s="64" t="str">
        <f>IF(Inicial!K12="SI",Inicial!I12,"N/A")</f>
        <v>N/A</v>
      </c>
      <c r="J12" s="79" t="s">
        <v>394</v>
      </c>
      <c r="K12" s="6" t="s">
        <v>394</v>
      </c>
      <c r="L12" s="6" t="s">
        <v>394</v>
      </c>
      <c r="M12" s="6" t="s">
        <v>394</v>
      </c>
      <c r="N12" s="6" t="s">
        <v>394</v>
      </c>
      <c r="O12" s="6" t="s">
        <v>394</v>
      </c>
      <c r="P12" s="6" t="s">
        <v>394</v>
      </c>
      <c r="Q12" s="6" t="s">
        <v>394</v>
      </c>
      <c r="R12" s="6" t="s">
        <v>394</v>
      </c>
      <c r="S12" s="6" t="s">
        <v>394</v>
      </c>
      <c r="T12" s="6" t="s">
        <v>394</v>
      </c>
      <c r="U12" s="6" t="s">
        <v>394</v>
      </c>
      <c r="V12" s="6" t="s">
        <v>394</v>
      </c>
      <c r="W12" s="6" t="s">
        <v>394</v>
      </c>
      <c r="X12" s="6" t="s">
        <v>394</v>
      </c>
      <c r="Y12" s="6" t="s">
        <v>394</v>
      </c>
      <c r="Z12" s="6" t="s">
        <v>394</v>
      </c>
      <c r="AA12" s="6" t="s">
        <v>394</v>
      </c>
      <c r="AB12" s="6" t="s">
        <v>394</v>
      </c>
      <c r="AC12" s="6" t="s">
        <v>394</v>
      </c>
      <c r="AD12" s="88" t="str">
        <f t="shared" si="0"/>
        <v>Aceptable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37" t="str" cm="1">
        <f t="array" ref="AV12">IF(OR(AE12:AU12="SI"),"Critico","No critico")</f>
        <v>No critico</v>
      </c>
    </row>
    <row r="13" spans="1:54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IF(Inicial!K13="SI",Inicial!E13,"N/A")</f>
        <v>N/A</v>
      </c>
      <c r="F13" s="53" t="str">
        <f>IF(Inicial!K13="SI",Inicial!F13,"N/A")</f>
        <v>N/A</v>
      </c>
      <c r="G13" s="53" t="str">
        <f>IF(Inicial!K13="SI",Inicial!G13,"N/A")</f>
        <v>N/A</v>
      </c>
      <c r="H13" s="53" t="str">
        <f>IF(Inicial!K13="SI",Inicial!H13,"N/A")</f>
        <v>N/A</v>
      </c>
      <c r="I13" s="64" t="str">
        <f>IF(Inicial!K13="SI",Inicial!I13,"N/A")</f>
        <v>N/A</v>
      </c>
      <c r="J13" s="79" t="s">
        <v>394</v>
      </c>
      <c r="K13" s="6" t="s">
        <v>394</v>
      </c>
      <c r="L13" s="6" t="s">
        <v>394</v>
      </c>
      <c r="M13" s="6" t="s">
        <v>394</v>
      </c>
      <c r="N13" s="6" t="s">
        <v>394</v>
      </c>
      <c r="O13" s="6" t="s">
        <v>394</v>
      </c>
      <c r="P13" s="6" t="s">
        <v>394</v>
      </c>
      <c r="Q13" s="6" t="s">
        <v>394</v>
      </c>
      <c r="R13" s="6" t="s">
        <v>394</v>
      </c>
      <c r="S13" s="6" t="s">
        <v>394</v>
      </c>
      <c r="T13" s="6" t="s">
        <v>394</v>
      </c>
      <c r="U13" s="6" t="s">
        <v>394</v>
      </c>
      <c r="V13" s="6" t="s">
        <v>394</v>
      </c>
      <c r="W13" s="6" t="s">
        <v>394</v>
      </c>
      <c r="X13" s="6" t="s">
        <v>394</v>
      </c>
      <c r="Y13" s="6" t="s">
        <v>394</v>
      </c>
      <c r="Z13" s="6" t="s">
        <v>394</v>
      </c>
      <c r="AA13" s="6" t="s">
        <v>394</v>
      </c>
      <c r="AB13" s="6" t="s">
        <v>394</v>
      </c>
      <c r="AC13" s="6" t="s">
        <v>394</v>
      </c>
      <c r="AD13" s="88" t="str">
        <f t="shared" si="0"/>
        <v>Aceptable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37" t="str" cm="1">
        <f t="array" ref="AV13">IF(OR(AE13:AU13="SI"),"Critico","No critico")</f>
        <v>No critico</v>
      </c>
    </row>
    <row r="14" spans="1:54" ht="38.2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IF(Inicial!K14="SI",Inicial!E14,"N/A")</f>
        <v>N/A</v>
      </c>
      <c r="F14" s="53" t="str">
        <f>IF(Inicial!K14="SI",Inicial!F14,"N/A")</f>
        <v>N/A</v>
      </c>
      <c r="G14" s="53" t="str">
        <f>IF(Inicial!K14="SI",Inicial!G14,"N/A")</f>
        <v>N/A</v>
      </c>
      <c r="H14" s="53" t="str">
        <f>IF(Inicial!K14="SI",Inicial!H14,"N/A")</f>
        <v>N/A</v>
      </c>
      <c r="I14" s="64" t="str">
        <f>IF(Inicial!K14="SI",Inicial!I14,"N/A")</f>
        <v>N/A</v>
      </c>
      <c r="J14" s="79" t="s">
        <v>394</v>
      </c>
      <c r="K14" s="6" t="s">
        <v>394</v>
      </c>
      <c r="L14" s="6" t="s">
        <v>394</v>
      </c>
      <c r="M14" s="6" t="s">
        <v>394</v>
      </c>
      <c r="N14" s="6" t="s">
        <v>394</v>
      </c>
      <c r="O14" s="6" t="s">
        <v>394</v>
      </c>
      <c r="P14" s="6" t="s">
        <v>394</v>
      </c>
      <c r="Q14" s="6" t="s">
        <v>394</v>
      </c>
      <c r="R14" s="6" t="s">
        <v>394</v>
      </c>
      <c r="S14" s="6" t="s">
        <v>394</v>
      </c>
      <c r="T14" s="6" t="s">
        <v>394</v>
      </c>
      <c r="U14" s="6" t="s">
        <v>394</v>
      </c>
      <c r="V14" s="6" t="s">
        <v>394</v>
      </c>
      <c r="W14" s="6" t="s">
        <v>394</v>
      </c>
      <c r="X14" s="6" t="s">
        <v>394</v>
      </c>
      <c r="Y14" s="6" t="s">
        <v>394</v>
      </c>
      <c r="Z14" s="6" t="s">
        <v>394</v>
      </c>
      <c r="AA14" s="6" t="s">
        <v>394</v>
      </c>
      <c r="AB14" s="6" t="s">
        <v>394</v>
      </c>
      <c r="AC14" s="6" t="s">
        <v>394</v>
      </c>
      <c r="AD14" s="88" t="str">
        <f t="shared" si="0"/>
        <v>Aceptable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37" t="str" cm="1">
        <f t="array" ref="AV14">IF(OR(AE14:AU14="SI"),"Critico","No critico")</f>
        <v>No critico</v>
      </c>
    </row>
    <row r="15" spans="1:54" ht="38.2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IF(Inicial!K15="SI",Inicial!E15,"N/A")</f>
        <v>N/A</v>
      </c>
      <c r="F15" s="53" t="str">
        <f>IF(Inicial!K15="SI",Inicial!F15,"N/A")</f>
        <v>N/A</v>
      </c>
      <c r="G15" s="53" t="str">
        <f>IF(Inicial!K15="SI",Inicial!G15,"N/A")</f>
        <v>N/A</v>
      </c>
      <c r="H15" s="53" t="str">
        <f>IF(Inicial!K15="SI",Inicial!H15,"N/A")</f>
        <v>N/A</v>
      </c>
      <c r="I15" s="64" t="str">
        <f>IF(Inicial!K15="SI",Inicial!I15,"N/A")</f>
        <v>N/A</v>
      </c>
      <c r="J15" s="79" t="s">
        <v>394</v>
      </c>
      <c r="K15" s="6" t="s">
        <v>394</v>
      </c>
      <c r="L15" s="6" t="s">
        <v>394</v>
      </c>
      <c r="M15" s="6" t="s">
        <v>394</v>
      </c>
      <c r="N15" s="6" t="s">
        <v>394</v>
      </c>
      <c r="O15" s="6" t="s">
        <v>394</v>
      </c>
      <c r="P15" s="6" t="s">
        <v>394</v>
      </c>
      <c r="Q15" s="6" t="s">
        <v>394</v>
      </c>
      <c r="R15" s="6" t="s">
        <v>394</v>
      </c>
      <c r="S15" s="6" t="s">
        <v>394</v>
      </c>
      <c r="T15" s="6" t="s">
        <v>394</v>
      </c>
      <c r="U15" s="6" t="s">
        <v>394</v>
      </c>
      <c r="V15" s="6" t="s">
        <v>394</v>
      </c>
      <c r="W15" s="6" t="s">
        <v>394</v>
      </c>
      <c r="X15" s="6" t="s">
        <v>394</v>
      </c>
      <c r="Y15" s="6" t="s">
        <v>394</v>
      </c>
      <c r="Z15" s="6" t="s">
        <v>394</v>
      </c>
      <c r="AA15" s="6" t="s">
        <v>394</v>
      </c>
      <c r="AB15" s="6" t="s">
        <v>394</v>
      </c>
      <c r="AC15" s="6" t="s">
        <v>394</v>
      </c>
      <c r="AD15" s="88" t="str">
        <f t="shared" si="0"/>
        <v>Aceptable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37" t="str" cm="1">
        <f t="array" ref="AV15">IF(OR(AE15:AU15="SI"),"Critico","No critico")</f>
        <v>No critico</v>
      </c>
    </row>
    <row r="16" spans="1:54" ht="38.2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IF(Inicial!K16="SI",Inicial!E16,"N/A")</f>
        <v>N/A</v>
      </c>
      <c r="F16" s="53" t="str">
        <f>IF(Inicial!K16="SI",Inicial!F16,"N/A")</f>
        <v>N/A</v>
      </c>
      <c r="G16" s="53" t="str">
        <f>IF(Inicial!K16="SI",Inicial!G16,"N/A")</f>
        <v>N/A</v>
      </c>
      <c r="H16" s="53" t="str">
        <f>IF(Inicial!K16="SI",Inicial!H16,"N/A")</f>
        <v>N/A</v>
      </c>
      <c r="I16" s="64" t="str">
        <f>IF(Inicial!K16="SI",Inicial!I16,"N/A")</f>
        <v>N/A</v>
      </c>
      <c r="J16" s="79" t="s">
        <v>394</v>
      </c>
      <c r="K16" s="6" t="s">
        <v>394</v>
      </c>
      <c r="L16" s="6" t="s">
        <v>394</v>
      </c>
      <c r="M16" s="6" t="s">
        <v>394</v>
      </c>
      <c r="N16" s="6" t="s">
        <v>394</v>
      </c>
      <c r="O16" s="6" t="s">
        <v>394</v>
      </c>
      <c r="P16" s="6" t="s">
        <v>394</v>
      </c>
      <c r="Q16" s="6" t="s">
        <v>394</v>
      </c>
      <c r="R16" s="6" t="s">
        <v>394</v>
      </c>
      <c r="S16" s="6" t="s">
        <v>394</v>
      </c>
      <c r="T16" s="6" t="s">
        <v>394</v>
      </c>
      <c r="U16" s="6" t="s">
        <v>394</v>
      </c>
      <c r="V16" s="6" t="s">
        <v>394</v>
      </c>
      <c r="W16" s="6" t="s">
        <v>394</v>
      </c>
      <c r="X16" s="6" t="s">
        <v>394</v>
      </c>
      <c r="Y16" s="6" t="s">
        <v>394</v>
      </c>
      <c r="Z16" s="6" t="s">
        <v>394</v>
      </c>
      <c r="AA16" s="6" t="s">
        <v>394</v>
      </c>
      <c r="AB16" s="6" t="s">
        <v>394</v>
      </c>
      <c r="AC16" s="6" t="s">
        <v>394</v>
      </c>
      <c r="AD16" s="88" t="str">
        <f t="shared" si="0"/>
        <v>Aceptable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37" t="str" cm="1">
        <f t="array" ref="AV16">IF(OR(AE16:AU16="SI"),"Critico","No critico")</f>
        <v>No critico</v>
      </c>
    </row>
    <row r="17" spans="1:48" ht="38.2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IF(Inicial!K17="SI",Inicial!E17,"N/A")</f>
        <v>N/A</v>
      </c>
      <c r="F17" s="53" t="str">
        <f>IF(Inicial!K17="SI",Inicial!F17,"N/A")</f>
        <v>N/A</v>
      </c>
      <c r="G17" s="53" t="str">
        <f>IF(Inicial!K17="SI",Inicial!G17,"N/A")</f>
        <v>N/A</v>
      </c>
      <c r="H17" s="53" t="str">
        <f>IF(Inicial!K17="SI",Inicial!H17,"N/A")</f>
        <v>N/A</v>
      </c>
      <c r="I17" s="64" t="str">
        <f>IF(Inicial!K17="SI",Inicial!I17,"N/A")</f>
        <v>N/A</v>
      </c>
      <c r="J17" s="79" t="s">
        <v>394</v>
      </c>
      <c r="K17" s="6" t="s">
        <v>394</v>
      </c>
      <c r="L17" s="6" t="s">
        <v>394</v>
      </c>
      <c r="M17" s="6" t="s">
        <v>394</v>
      </c>
      <c r="N17" s="6" t="s">
        <v>394</v>
      </c>
      <c r="O17" s="6" t="s">
        <v>394</v>
      </c>
      <c r="P17" s="6" t="s">
        <v>394</v>
      </c>
      <c r="Q17" s="6" t="s">
        <v>394</v>
      </c>
      <c r="R17" s="6" t="s">
        <v>394</v>
      </c>
      <c r="S17" s="6" t="s">
        <v>394</v>
      </c>
      <c r="T17" s="6" t="s">
        <v>394</v>
      </c>
      <c r="U17" s="6" t="s">
        <v>394</v>
      </c>
      <c r="V17" s="6" t="s">
        <v>394</v>
      </c>
      <c r="W17" s="6" t="s">
        <v>394</v>
      </c>
      <c r="X17" s="6" t="s">
        <v>394</v>
      </c>
      <c r="Y17" s="6" t="s">
        <v>394</v>
      </c>
      <c r="Z17" s="6" t="s">
        <v>394</v>
      </c>
      <c r="AA17" s="6" t="s">
        <v>394</v>
      </c>
      <c r="AB17" s="6" t="s">
        <v>394</v>
      </c>
      <c r="AC17" s="6" t="s">
        <v>394</v>
      </c>
      <c r="AD17" s="88" t="str">
        <f t="shared" si="0"/>
        <v>Aceptable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37" t="str" cm="1">
        <f t="array" ref="AV17">IF(OR(AE17:AU17="SI"),"Critico","No critico")</f>
        <v>No critico</v>
      </c>
    </row>
    <row r="18" spans="1:48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IF(Inicial!K18="SI",Inicial!E18,"N/A")</f>
        <v>N/A</v>
      </c>
      <c r="F18" s="53" t="str">
        <f>IF(Inicial!K18="SI",Inicial!F18,"N/A")</f>
        <v>N/A</v>
      </c>
      <c r="G18" s="53" t="str">
        <f>IF(Inicial!K18="SI",Inicial!G18,"N/A")</f>
        <v>N/A</v>
      </c>
      <c r="H18" s="53" t="str">
        <f>IF(Inicial!K18="SI",Inicial!H18,"N/A")</f>
        <v>N/A</v>
      </c>
      <c r="I18" s="64" t="str">
        <f>IF(Inicial!K18="SI",Inicial!I18,"N/A")</f>
        <v>N/A</v>
      </c>
      <c r="J18" s="79" t="s">
        <v>394</v>
      </c>
      <c r="K18" s="6" t="s">
        <v>394</v>
      </c>
      <c r="L18" s="6" t="s">
        <v>394</v>
      </c>
      <c r="M18" s="6" t="s">
        <v>394</v>
      </c>
      <c r="N18" s="6" t="s">
        <v>394</v>
      </c>
      <c r="O18" s="6" t="s">
        <v>394</v>
      </c>
      <c r="P18" s="6" t="s">
        <v>394</v>
      </c>
      <c r="Q18" s="6" t="s">
        <v>394</v>
      </c>
      <c r="R18" s="6" t="s">
        <v>394</v>
      </c>
      <c r="S18" s="6" t="s">
        <v>394</v>
      </c>
      <c r="T18" s="6" t="s">
        <v>394</v>
      </c>
      <c r="U18" s="6" t="s">
        <v>394</v>
      </c>
      <c r="V18" s="6" t="s">
        <v>394</v>
      </c>
      <c r="W18" s="6" t="s">
        <v>394</v>
      </c>
      <c r="X18" s="6" t="s">
        <v>394</v>
      </c>
      <c r="Y18" s="6" t="s">
        <v>394</v>
      </c>
      <c r="Z18" s="6" t="s">
        <v>394</v>
      </c>
      <c r="AA18" s="6" t="s">
        <v>394</v>
      </c>
      <c r="AB18" s="6" t="s">
        <v>394</v>
      </c>
      <c r="AC18" s="6" t="s">
        <v>394</v>
      </c>
      <c r="AD18" s="88" t="str">
        <f t="shared" si="0"/>
        <v>Aceptable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37" t="str" cm="1">
        <f t="array" ref="AV18">IF(OR(AE18:AU18="SI"),"Critico","No critico")</f>
        <v>No critico</v>
      </c>
    </row>
    <row r="19" spans="1:48" ht="38.2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IF(Inicial!K19="SI",Inicial!E19,"N/A")</f>
        <v>N/A</v>
      </c>
      <c r="F19" s="53" t="str">
        <f>IF(Inicial!K19="SI",Inicial!F19,"N/A")</f>
        <v>N/A</v>
      </c>
      <c r="G19" s="53" t="str">
        <f>IF(Inicial!K19="SI",Inicial!G19,"N/A")</f>
        <v>N/A</v>
      </c>
      <c r="H19" s="53" t="str">
        <f>IF(Inicial!K19="SI",Inicial!H19,"N/A")</f>
        <v>N/A</v>
      </c>
      <c r="I19" s="64" t="str">
        <f>IF(Inicial!K19="SI",Inicial!I19,"N/A")</f>
        <v>N/A</v>
      </c>
      <c r="J19" s="79" t="s">
        <v>394</v>
      </c>
      <c r="K19" s="6" t="s">
        <v>394</v>
      </c>
      <c r="L19" s="6" t="s">
        <v>394</v>
      </c>
      <c r="M19" s="6" t="s">
        <v>394</v>
      </c>
      <c r="N19" s="6" t="s">
        <v>394</v>
      </c>
      <c r="O19" s="6" t="s">
        <v>394</v>
      </c>
      <c r="P19" s="6" t="s">
        <v>394</v>
      </c>
      <c r="Q19" s="6" t="s">
        <v>394</v>
      </c>
      <c r="R19" s="6" t="s">
        <v>394</v>
      </c>
      <c r="S19" s="6" t="s">
        <v>394</v>
      </c>
      <c r="T19" s="6" t="s">
        <v>394</v>
      </c>
      <c r="U19" s="6" t="s">
        <v>394</v>
      </c>
      <c r="V19" s="6" t="s">
        <v>394</v>
      </c>
      <c r="W19" s="6" t="s">
        <v>394</v>
      </c>
      <c r="X19" s="6" t="s">
        <v>394</v>
      </c>
      <c r="Y19" s="6" t="s">
        <v>394</v>
      </c>
      <c r="Z19" s="6" t="s">
        <v>394</v>
      </c>
      <c r="AA19" s="6" t="s">
        <v>394</v>
      </c>
      <c r="AB19" s="6" t="s">
        <v>394</v>
      </c>
      <c r="AC19" s="6" t="s">
        <v>394</v>
      </c>
      <c r="AD19" s="88" t="str">
        <f t="shared" si="0"/>
        <v>Aceptable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37" t="str" cm="1">
        <f t="array" ref="AV19">IF(OR(AE19:AU19="SI"),"Critico","No critico")</f>
        <v>No critico</v>
      </c>
    </row>
    <row r="20" spans="1:48" ht="38.2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IF(Inicial!K20="SI",Inicial!E20,"N/A")</f>
        <v>N/A</v>
      </c>
      <c r="F20" s="53" t="str">
        <f>IF(Inicial!K20="SI",Inicial!F20,"N/A")</f>
        <v>N/A</v>
      </c>
      <c r="G20" s="53" t="str">
        <f>IF(Inicial!K20="SI",Inicial!G20,"N/A")</f>
        <v>N/A</v>
      </c>
      <c r="H20" s="53" t="str">
        <f>IF(Inicial!K20="SI",Inicial!H20,"N/A")</f>
        <v>N/A</v>
      </c>
      <c r="I20" s="64" t="str">
        <f>IF(Inicial!K20="SI",Inicial!I20,"N/A")</f>
        <v>N/A</v>
      </c>
      <c r="J20" s="79" t="s">
        <v>394</v>
      </c>
      <c r="K20" s="6" t="s">
        <v>394</v>
      </c>
      <c r="L20" s="6" t="s">
        <v>394</v>
      </c>
      <c r="M20" s="6" t="s">
        <v>394</v>
      </c>
      <c r="N20" s="6" t="s">
        <v>394</v>
      </c>
      <c r="O20" s="6" t="s">
        <v>394</v>
      </c>
      <c r="P20" s="6" t="s">
        <v>394</v>
      </c>
      <c r="Q20" s="6" t="s">
        <v>394</v>
      </c>
      <c r="R20" s="6" t="s">
        <v>394</v>
      </c>
      <c r="S20" s="6" t="s">
        <v>394</v>
      </c>
      <c r="T20" s="6" t="s">
        <v>394</v>
      </c>
      <c r="U20" s="6" t="s">
        <v>394</v>
      </c>
      <c r="V20" s="6" t="s">
        <v>394</v>
      </c>
      <c r="W20" s="6" t="s">
        <v>394</v>
      </c>
      <c r="X20" s="6" t="s">
        <v>394</v>
      </c>
      <c r="Y20" s="6" t="s">
        <v>394</v>
      </c>
      <c r="Z20" s="6" t="s">
        <v>394</v>
      </c>
      <c r="AA20" s="6" t="s">
        <v>394</v>
      </c>
      <c r="AB20" s="6" t="s">
        <v>394</v>
      </c>
      <c r="AC20" s="6" t="s">
        <v>394</v>
      </c>
      <c r="AD20" s="88" t="str">
        <f t="shared" si="0"/>
        <v>Aceptable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37" t="str" cm="1">
        <f t="array" ref="AV20">IF(OR(AE20:AU20="SI"),"Critico","No critico")</f>
        <v>No critico</v>
      </c>
    </row>
    <row r="21" spans="1:48" ht="38.2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IF(Inicial!K21="SI",Inicial!E21,"N/A")</f>
        <v>N/A</v>
      </c>
      <c r="F21" s="53" t="str">
        <f>IF(Inicial!K21="SI",Inicial!F21,"N/A")</f>
        <v>N/A</v>
      </c>
      <c r="G21" s="53" t="str">
        <f>IF(Inicial!K21="SI",Inicial!G21,"N/A")</f>
        <v>N/A</v>
      </c>
      <c r="H21" s="53" t="str">
        <f>IF(Inicial!K21="SI",Inicial!H21,"N/A")</f>
        <v>N/A</v>
      </c>
      <c r="I21" s="64" t="str">
        <f>IF(Inicial!K21="SI",Inicial!I21,"N/A")</f>
        <v>N/A</v>
      </c>
      <c r="J21" s="79" t="s">
        <v>394</v>
      </c>
      <c r="K21" s="6" t="s">
        <v>394</v>
      </c>
      <c r="L21" s="6" t="s">
        <v>394</v>
      </c>
      <c r="M21" s="6" t="s">
        <v>394</v>
      </c>
      <c r="N21" s="6" t="s">
        <v>394</v>
      </c>
      <c r="O21" s="6" t="s">
        <v>394</v>
      </c>
      <c r="P21" s="6" t="s">
        <v>394</v>
      </c>
      <c r="Q21" s="6" t="s">
        <v>394</v>
      </c>
      <c r="R21" s="6" t="s">
        <v>394</v>
      </c>
      <c r="S21" s="6" t="s">
        <v>394</v>
      </c>
      <c r="T21" s="6" t="s">
        <v>394</v>
      </c>
      <c r="U21" s="6" t="s">
        <v>394</v>
      </c>
      <c r="V21" s="6" t="s">
        <v>394</v>
      </c>
      <c r="W21" s="6" t="s">
        <v>394</v>
      </c>
      <c r="X21" s="6" t="s">
        <v>394</v>
      </c>
      <c r="Y21" s="6" t="s">
        <v>394</v>
      </c>
      <c r="Z21" s="6" t="s">
        <v>394</v>
      </c>
      <c r="AA21" s="6" t="s">
        <v>394</v>
      </c>
      <c r="AB21" s="6" t="s">
        <v>394</v>
      </c>
      <c r="AC21" s="6" t="s">
        <v>394</v>
      </c>
      <c r="AD21" s="88" t="str">
        <f t="shared" si="0"/>
        <v>Aceptable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37" t="str" cm="1">
        <f t="array" ref="AV21">IF(OR(AE21:AU21="SI"),"Critico","No critico")</f>
        <v>No critico</v>
      </c>
    </row>
    <row r="22" spans="1:48" ht="38.2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IF(Inicial!K22="SI",Inicial!E22,"N/A")</f>
        <v>N/A</v>
      </c>
      <c r="F22" s="53" t="str">
        <f>IF(Inicial!K22="SI",Inicial!F22,"N/A")</f>
        <v>N/A</v>
      </c>
      <c r="G22" s="53" t="str">
        <f>IF(Inicial!K22="SI",Inicial!G22,"N/A")</f>
        <v>N/A</v>
      </c>
      <c r="H22" s="53" t="str">
        <f>IF(Inicial!K22="SI",Inicial!H22,"N/A")</f>
        <v>N/A</v>
      </c>
      <c r="I22" s="64" t="str">
        <f>IF(Inicial!K22="SI",Inicial!I22,"N/A")</f>
        <v>N/A</v>
      </c>
      <c r="J22" s="79" t="s">
        <v>394</v>
      </c>
      <c r="K22" s="6" t="s">
        <v>394</v>
      </c>
      <c r="L22" s="6" t="s">
        <v>394</v>
      </c>
      <c r="M22" s="6" t="s">
        <v>394</v>
      </c>
      <c r="N22" s="6" t="s">
        <v>394</v>
      </c>
      <c r="O22" s="6" t="s">
        <v>394</v>
      </c>
      <c r="P22" s="6" t="s">
        <v>394</v>
      </c>
      <c r="Q22" s="6" t="s">
        <v>394</v>
      </c>
      <c r="R22" s="6" t="s">
        <v>394</v>
      </c>
      <c r="S22" s="6" t="s">
        <v>394</v>
      </c>
      <c r="T22" s="6" t="s">
        <v>394</v>
      </c>
      <c r="U22" s="6" t="s">
        <v>394</v>
      </c>
      <c r="V22" s="6" t="s">
        <v>394</v>
      </c>
      <c r="W22" s="6" t="s">
        <v>394</v>
      </c>
      <c r="X22" s="6" t="s">
        <v>394</v>
      </c>
      <c r="Y22" s="6" t="s">
        <v>394</v>
      </c>
      <c r="Z22" s="6" t="s">
        <v>394</v>
      </c>
      <c r="AA22" s="6" t="s">
        <v>394</v>
      </c>
      <c r="AB22" s="6" t="s">
        <v>394</v>
      </c>
      <c r="AC22" s="6" t="s">
        <v>394</v>
      </c>
      <c r="AD22" s="88" t="str">
        <f t="shared" si="0"/>
        <v>Aceptable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37" t="str" cm="1">
        <f t="array" ref="AV22">IF(OR(AE22:AU22="SI"),"Critico","No critico")</f>
        <v>No critico</v>
      </c>
    </row>
    <row r="23" spans="1:48" ht="38.2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IF(Inicial!K23="SI",Inicial!E23,"N/A")</f>
        <v>N/A</v>
      </c>
      <c r="F23" s="53" t="str">
        <f>IF(Inicial!K23="SI",Inicial!F23,"N/A")</f>
        <v>N/A</v>
      </c>
      <c r="G23" s="53" t="str">
        <f>IF(Inicial!K23="SI",Inicial!G23,"N/A")</f>
        <v>N/A</v>
      </c>
      <c r="H23" s="53" t="str">
        <f>IF(Inicial!K23="SI",Inicial!H23,"N/A")</f>
        <v>N/A</v>
      </c>
      <c r="I23" s="64" t="str">
        <f>IF(Inicial!K23="SI",Inicial!I23,"N/A")</f>
        <v>N/A</v>
      </c>
      <c r="J23" s="79" t="s">
        <v>394</v>
      </c>
      <c r="K23" s="6" t="s">
        <v>394</v>
      </c>
      <c r="L23" s="6" t="s">
        <v>394</v>
      </c>
      <c r="M23" s="6" t="s">
        <v>394</v>
      </c>
      <c r="N23" s="6" t="s">
        <v>394</v>
      </c>
      <c r="O23" s="6" t="s">
        <v>394</v>
      </c>
      <c r="P23" s="6" t="s">
        <v>394</v>
      </c>
      <c r="Q23" s="6" t="s">
        <v>394</v>
      </c>
      <c r="R23" s="6" t="s">
        <v>394</v>
      </c>
      <c r="S23" s="6" t="s">
        <v>394</v>
      </c>
      <c r="T23" s="6" t="s">
        <v>394</v>
      </c>
      <c r="U23" s="6" t="s">
        <v>394</v>
      </c>
      <c r="V23" s="6" t="s">
        <v>394</v>
      </c>
      <c r="W23" s="6" t="s">
        <v>394</v>
      </c>
      <c r="X23" s="6" t="s">
        <v>394</v>
      </c>
      <c r="Y23" s="6" t="s">
        <v>394</v>
      </c>
      <c r="Z23" s="6" t="s">
        <v>394</v>
      </c>
      <c r="AA23" s="6" t="s">
        <v>394</v>
      </c>
      <c r="AB23" s="6" t="s">
        <v>394</v>
      </c>
      <c r="AC23" s="6" t="s">
        <v>394</v>
      </c>
      <c r="AD23" s="88" t="str">
        <f t="shared" si="0"/>
        <v>Aceptable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37" t="str" cm="1">
        <f t="array" ref="AV23">IF(OR(AE23:AU23="SI"),"Critico","No critico")</f>
        <v>No critico</v>
      </c>
    </row>
    <row r="24" spans="1:48" ht="38.2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IF(Inicial!K24="SI",Inicial!E24,"N/A")</f>
        <v>N/A</v>
      </c>
      <c r="F24" s="53" t="str">
        <f>IF(Inicial!K24="SI",Inicial!F24,"N/A")</f>
        <v>N/A</v>
      </c>
      <c r="G24" s="53" t="str">
        <f>IF(Inicial!K24="SI",Inicial!G24,"N/A")</f>
        <v>N/A</v>
      </c>
      <c r="H24" s="53" t="str">
        <f>IF(Inicial!K24="SI",Inicial!H24,"N/A")</f>
        <v>N/A</v>
      </c>
      <c r="I24" s="64" t="str">
        <f>IF(Inicial!K24="SI",Inicial!I24,"N/A")</f>
        <v>N/A</v>
      </c>
      <c r="J24" s="79" t="s">
        <v>394</v>
      </c>
      <c r="K24" s="6" t="s">
        <v>394</v>
      </c>
      <c r="L24" s="6" t="s">
        <v>394</v>
      </c>
      <c r="M24" s="6" t="s">
        <v>394</v>
      </c>
      <c r="N24" s="6" t="s">
        <v>394</v>
      </c>
      <c r="O24" s="6" t="s">
        <v>394</v>
      </c>
      <c r="P24" s="6" t="s">
        <v>394</v>
      </c>
      <c r="Q24" s="6" t="s">
        <v>394</v>
      </c>
      <c r="R24" s="6" t="s">
        <v>394</v>
      </c>
      <c r="S24" s="6" t="s">
        <v>394</v>
      </c>
      <c r="T24" s="6" t="s">
        <v>394</v>
      </c>
      <c r="U24" s="6" t="s">
        <v>394</v>
      </c>
      <c r="V24" s="6" t="s">
        <v>394</v>
      </c>
      <c r="W24" s="6" t="s">
        <v>394</v>
      </c>
      <c r="X24" s="6" t="s">
        <v>394</v>
      </c>
      <c r="Y24" s="6" t="s">
        <v>394</v>
      </c>
      <c r="Z24" s="6" t="s">
        <v>394</v>
      </c>
      <c r="AA24" s="6" t="s">
        <v>394</v>
      </c>
      <c r="AB24" s="6" t="s">
        <v>394</v>
      </c>
      <c r="AC24" s="6" t="s">
        <v>394</v>
      </c>
      <c r="AD24" s="88" t="str">
        <f t="shared" si="0"/>
        <v>Aceptable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37" t="str" cm="1">
        <f t="array" ref="AV24">IF(OR(AE24:AU24="SI"),"Critico","No critico")</f>
        <v>No critico</v>
      </c>
    </row>
    <row r="25" spans="1:48" ht="38.2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IF(Inicial!K25="SI",Inicial!E25,"N/A")</f>
        <v>N/A</v>
      </c>
      <c r="F25" s="53" t="str">
        <f>IF(Inicial!K25="SI",Inicial!F25,"N/A")</f>
        <v>N/A</v>
      </c>
      <c r="G25" s="53" t="str">
        <f>IF(Inicial!K25="SI",Inicial!G25,"N/A")</f>
        <v>N/A</v>
      </c>
      <c r="H25" s="53" t="str">
        <f>IF(Inicial!K25="SI",Inicial!H25,"N/A")</f>
        <v>N/A</v>
      </c>
      <c r="I25" s="64" t="str">
        <f>IF(Inicial!K25="SI",Inicial!I25,"N/A")</f>
        <v>N/A</v>
      </c>
      <c r="J25" s="79" t="s">
        <v>394</v>
      </c>
      <c r="K25" s="6" t="s">
        <v>394</v>
      </c>
      <c r="L25" s="6" t="s">
        <v>394</v>
      </c>
      <c r="M25" s="6" t="s">
        <v>394</v>
      </c>
      <c r="N25" s="6" t="s">
        <v>394</v>
      </c>
      <c r="O25" s="6" t="s">
        <v>394</v>
      </c>
      <c r="P25" s="6" t="s">
        <v>394</v>
      </c>
      <c r="Q25" s="6" t="s">
        <v>394</v>
      </c>
      <c r="R25" s="6" t="s">
        <v>394</v>
      </c>
      <c r="S25" s="6" t="s">
        <v>394</v>
      </c>
      <c r="T25" s="6" t="s">
        <v>394</v>
      </c>
      <c r="U25" s="6" t="s">
        <v>394</v>
      </c>
      <c r="V25" s="6" t="s">
        <v>394</v>
      </c>
      <c r="W25" s="6" t="s">
        <v>394</v>
      </c>
      <c r="X25" s="6" t="s">
        <v>394</v>
      </c>
      <c r="Y25" s="6" t="s">
        <v>394</v>
      </c>
      <c r="Z25" s="6" t="s">
        <v>394</v>
      </c>
      <c r="AA25" s="6" t="s">
        <v>394</v>
      </c>
      <c r="AB25" s="6" t="s">
        <v>394</v>
      </c>
      <c r="AC25" s="6" t="s">
        <v>394</v>
      </c>
      <c r="AD25" s="88" t="str">
        <f t="shared" si="0"/>
        <v>Aceptable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37" t="str" cm="1">
        <f t="array" ref="AV25">IF(OR(AE25:AU25="SI"),"Critico","No critico")</f>
        <v>No critico</v>
      </c>
    </row>
    <row r="26" spans="1:48" ht="38.2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IF(Inicial!K26="SI",Inicial!E26,"N/A")</f>
        <v>N/A</v>
      </c>
      <c r="F26" s="53" t="str">
        <f>IF(Inicial!K26="SI",Inicial!F26,"N/A")</f>
        <v>N/A</v>
      </c>
      <c r="G26" s="53" t="str">
        <f>IF(Inicial!K26="SI",Inicial!G26,"N/A")</f>
        <v>N/A</v>
      </c>
      <c r="H26" s="53" t="str">
        <f>IF(Inicial!K26="SI",Inicial!H26,"N/A")</f>
        <v>N/A</v>
      </c>
      <c r="I26" s="64" t="str">
        <f>IF(Inicial!K26="SI",Inicial!I26,"N/A")</f>
        <v>N/A</v>
      </c>
      <c r="J26" s="79" t="s">
        <v>394</v>
      </c>
      <c r="K26" s="6" t="s">
        <v>394</v>
      </c>
      <c r="L26" s="6" t="s">
        <v>394</v>
      </c>
      <c r="M26" s="6" t="s">
        <v>394</v>
      </c>
      <c r="N26" s="6" t="s">
        <v>394</v>
      </c>
      <c r="O26" s="6" t="s">
        <v>394</v>
      </c>
      <c r="P26" s="6" t="s">
        <v>394</v>
      </c>
      <c r="Q26" s="6" t="s">
        <v>394</v>
      </c>
      <c r="R26" s="6" t="s">
        <v>394</v>
      </c>
      <c r="S26" s="6" t="s">
        <v>394</v>
      </c>
      <c r="T26" s="6" t="s">
        <v>394</v>
      </c>
      <c r="U26" s="6" t="s">
        <v>394</v>
      </c>
      <c r="V26" s="6" t="s">
        <v>394</v>
      </c>
      <c r="W26" s="6" t="s">
        <v>394</v>
      </c>
      <c r="X26" s="6" t="s">
        <v>394</v>
      </c>
      <c r="Y26" s="6" t="s">
        <v>394</v>
      </c>
      <c r="Z26" s="6" t="s">
        <v>394</v>
      </c>
      <c r="AA26" s="6" t="s">
        <v>394</v>
      </c>
      <c r="AB26" s="6" t="s">
        <v>394</v>
      </c>
      <c r="AC26" s="6" t="s">
        <v>394</v>
      </c>
      <c r="AD26" s="88" t="str">
        <f t="shared" si="0"/>
        <v>Aceptable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37" t="str" cm="1">
        <f t="array" ref="AV26">IF(OR(AE26:AU26="SI"),"Critico","No critico")</f>
        <v>No critico</v>
      </c>
    </row>
    <row r="27" spans="1:48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IF(Inicial!K27="SI",Inicial!E27,"N/A")</f>
        <v>N/A</v>
      </c>
      <c r="F27" s="53" t="str">
        <f>IF(Inicial!K27="SI",Inicial!F27,"N/A")</f>
        <v>N/A</v>
      </c>
      <c r="G27" s="53" t="str">
        <f>IF(Inicial!K27="SI",Inicial!G27,"N/A")</f>
        <v>N/A</v>
      </c>
      <c r="H27" s="53" t="str">
        <f>IF(Inicial!K27="SI",Inicial!H27,"N/A")</f>
        <v>N/A</v>
      </c>
      <c r="I27" s="64" t="str">
        <f>IF(Inicial!K27="SI",Inicial!I27,"N/A")</f>
        <v>N/A</v>
      </c>
      <c r="J27" s="79" t="s">
        <v>394</v>
      </c>
      <c r="K27" s="6" t="s">
        <v>394</v>
      </c>
      <c r="L27" s="6" t="s">
        <v>394</v>
      </c>
      <c r="M27" s="6" t="s">
        <v>394</v>
      </c>
      <c r="N27" s="6" t="s">
        <v>394</v>
      </c>
      <c r="O27" s="6" t="s">
        <v>394</v>
      </c>
      <c r="P27" s="6" t="s">
        <v>394</v>
      </c>
      <c r="Q27" s="6" t="s">
        <v>394</v>
      </c>
      <c r="R27" s="6" t="s">
        <v>394</v>
      </c>
      <c r="S27" s="6" t="s">
        <v>394</v>
      </c>
      <c r="T27" s="6" t="s">
        <v>394</v>
      </c>
      <c r="U27" s="6" t="s">
        <v>394</v>
      </c>
      <c r="V27" s="6" t="s">
        <v>394</v>
      </c>
      <c r="W27" s="6" t="s">
        <v>394</v>
      </c>
      <c r="X27" s="6" t="s">
        <v>394</v>
      </c>
      <c r="Y27" s="6" t="s">
        <v>394</v>
      </c>
      <c r="Z27" s="6" t="s">
        <v>394</v>
      </c>
      <c r="AA27" s="6" t="s">
        <v>394</v>
      </c>
      <c r="AB27" s="6" t="s">
        <v>394</v>
      </c>
      <c r="AC27" s="6" t="s">
        <v>394</v>
      </c>
      <c r="AD27" s="88" t="str">
        <f t="shared" si="0"/>
        <v>Aceptable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37" t="str" cm="1">
        <f t="array" ref="AV27">IF(OR(AE27:AU27="SI"),"Critico","No critico")</f>
        <v>No critico</v>
      </c>
    </row>
    <row r="28" spans="1:48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IF(Inicial!K28="SI",Inicial!E28,"N/A")</f>
        <v>N/A</v>
      </c>
      <c r="F28" s="53" t="str">
        <f>IF(Inicial!K28="SI",Inicial!F28,"N/A")</f>
        <v>N/A</v>
      </c>
      <c r="G28" s="53" t="str">
        <f>IF(Inicial!K28="SI",Inicial!G28,"N/A")</f>
        <v>N/A</v>
      </c>
      <c r="H28" s="53" t="str">
        <f>IF(Inicial!K28="SI",Inicial!H28,"N/A")</f>
        <v>N/A</v>
      </c>
      <c r="I28" s="64" t="str">
        <f>IF(Inicial!K28="SI",Inicial!I28,"N/A")</f>
        <v>N/A</v>
      </c>
      <c r="J28" s="79" t="s">
        <v>394</v>
      </c>
      <c r="K28" s="6" t="s">
        <v>394</v>
      </c>
      <c r="L28" s="6" t="s">
        <v>394</v>
      </c>
      <c r="M28" s="6" t="s">
        <v>394</v>
      </c>
      <c r="N28" s="6" t="s">
        <v>394</v>
      </c>
      <c r="O28" s="6" t="s">
        <v>394</v>
      </c>
      <c r="P28" s="6" t="s">
        <v>394</v>
      </c>
      <c r="Q28" s="6" t="s">
        <v>394</v>
      </c>
      <c r="R28" s="6" t="s">
        <v>394</v>
      </c>
      <c r="S28" s="6" t="s">
        <v>394</v>
      </c>
      <c r="T28" s="6" t="s">
        <v>394</v>
      </c>
      <c r="U28" s="6" t="s">
        <v>394</v>
      </c>
      <c r="V28" s="6" t="s">
        <v>394</v>
      </c>
      <c r="W28" s="6" t="s">
        <v>394</v>
      </c>
      <c r="X28" s="6" t="s">
        <v>394</v>
      </c>
      <c r="Y28" s="6" t="s">
        <v>394</v>
      </c>
      <c r="Z28" s="6" t="s">
        <v>394</v>
      </c>
      <c r="AA28" s="6" t="s">
        <v>394</v>
      </c>
      <c r="AB28" s="6" t="s">
        <v>394</v>
      </c>
      <c r="AC28" s="6" t="s">
        <v>394</v>
      </c>
      <c r="AD28" s="88" t="str">
        <f t="shared" si="0"/>
        <v>Aceptable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37" t="str" cm="1">
        <f t="array" ref="AV28">IF(OR(AE28:AU28="SI"),"Critico","No critico")</f>
        <v>No critico</v>
      </c>
    </row>
    <row r="29" spans="1:48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IF(Inicial!K29="SI",Inicial!E29,"N/A")</f>
        <v>N/A</v>
      </c>
      <c r="F29" s="53" t="str">
        <f>IF(Inicial!K29="SI",Inicial!F29,"N/A")</f>
        <v>N/A</v>
      </c>
      <c r="G29" s="53" t="str">
        <f>IF(Inicial!K29="SI",Inicial!G29,"N/A")</f>
        <v>N/A</v>
      </c>
      <c r="H29" s="53" t="str">
        <f>IF(Inicial!K29="SI",Inicial!H29,"N/A")</f>
        <v>N/A</v>
      </c>
      <c r="I29" s="64" t="str">
        <f>IF(Inicial!K29="SI",Inicial!I29,"N/A")</f>
        <v>N/A</v>
      </c>
      <c r="J29" s="79" t="s">
        <v>394</v>
      </c>
      <c r="K29" s="6" t="s">
        <v>394</v>
      </c>
      <c r="L29" s="6" t="s">
        <v>394</v>
      </c>
      <c r="M29" s="6" t="s">
        <v>394</v>
      </c>
      <c r="N29" s="6" t="s">
        <v>394</v>
      </c>
      <c r="O29" s="6" t="s">
        <v>394</v>
      </c>
      <c r="P29" s="6" t="s">
        <v>394</v>
      </c>
      <c r="Q29" s="6" t="s">
        <v>394</v>
      </c>
      <c r="R29" s="6" t="s">
        <v>394</v>
      </c>
      <c r="S29" s="6" t="s">
        <v>394</v>
      </c>
      <c r="T29" s="6" t="s">
        <v>394</v>
      </c>
      <c r="U29" s="6" t="s">
        <v>394</v>
      </c>
      <c r="V29" s="6" t="s">
        <v>394</v>
      </c>
      <c r="W29" s="6" t="s">
        <v>394</v>
      </c>
      <c r="X29" s="6" t="s">
        <v>394</v>
      </c>
      <c r="Y29" s="6" t="s">
        <v>394</v>
      </c>
      <c r="Z29" s="6" t="s">
        <v>394</v>
      </c>
      <c r="AA29" s="6" t="s">
        <v>394</v>
      </c>
      <c r="AB29" s="6" t="s">
        <v>394</v>
      </c>
      <c r="AC29" s="6" t="s">
        <v>394</v>
      </c>
      <c r="AD29" s="88" t="str">
        <f t="shared" si="0"/>
        <v>Aceptable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37" t="str" cm="1">
        <f t="array" ref="AV29">IF(OR(AE29:AU29="SI"),"Critico","No critico")</f>
        <v>No critico</v>
      </c>
    </row>
    <row r="30" spans="1:48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IF(Inicial!K30="SI",Inicial!E30,"N/A")</f>
        <v>N/A</v>
      </c>
      <c r="F30" s="53" t="str">
        <f>IF(Inicial!K30="SI",Inicial!F30,"N/A")</f>
        <v>N/A</v>
      </c>
      <c r="G30" s="53" t="str">
        <f>IF(Inicial!K30="SI",Inicial!G30,"N/A")</f>
        <v>N/A</v>
      </c>
      <c r="H30" s="53" t="str">
        <f>IF(Inicial!K30="SI",Inicial!H30,"N/A")</f>
        <v>N/A</v>
      </c>
      <c r="I30" s="64" t="str">
        <f>IF(Inicial!K30="SI",Inicial!I30,"N/A")</f>
        <v>N/A</v>
      </c>
      <c r="J30" s="79" t="s">
        <v>394</v>
      </c>
      <c r="K30" s="6" t="s">
        <v>394</v>
      </c>
      <c r="L30" s="6" t="s">
        <v>394</v>
      </c>
      <c r="M30" s="6" t="s">
        <v>394</v>
      </c>
      <c r="N30" s="6" t="s">
        <v>394</v>
      </c>
      <c r="O30" s="6" t="s">
        <v>394</v>
      </c>
      <c r="P30" s="6" t="s">
        <v>394</v>
      </c>
      <c r="Q30" s="6" t="s">
        <v>394</v>
      </c>
      <c r="R30" s="6" t="s">
        <v>394</v>
      </c>
      <c r="S30" s="6" t="s">
        <v>394</v>
      </c>
      <c r="T30" s="6" t="s">
        <v>394</v>
      </c>
      <c r="U30" s="6" t="s">
        <v>394</v>
      </c>
      <c r="V30" s="6" t="s">
        <v>394</v>
      </c>
      <c r="W30" s="6" t="s">
        <v>394</v>
      </c>
      <c r="X30" s="6" t="s">
        <v>394</v>
      </c>
      <c r="Y30" s="6" t="s">
        <v>394</v>
      </c>
      <c r="Z30" s="6" t="s">
        <v>394</v>
      </c>
      <c r="AA30" s="6" t="s">
        <v>394</v>
      </c>
      <c r="AB30" s="6" t="s">
        <v>394</v>
      </c>
      <c r="AC30" s="6" t="s">
        <v>394</v>
      </c>
      <c r="AD30" s="88" t="str">
        <f t="shared" si="0"/>
        <v>Aceptable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37" t="str" cm="1">
        <f t="array" ref="AV30">IF(OR(AE30:AU30="SI"),"Critico","No critico")</f>
        <v>No critico</v>
      </c>
    </row>
    <row r="31" spans="1:48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IF(Inicial!K31="SI",Inicial!E31,"N/A")</f>
        <v>N/A</v>
      </c>
      <c r="F31" s="53" t="str">
        <f>IF(Inicial!K31="SI",Inicial!F31,"N/A")</f>
        <v>N/A</v>
      </c>
      <c r="G31" s="53" t="str">
        <f>IF(Inicial!K31="SI",Inicial!G31,"N/A")</f>
        <v>N/A</v>
      </c>
      <c r="H31" s="53" t="str">
        <f>IF(Inicial!K31="SI",Inicial!H31,"N/A")</f>
        <v>N/A</v>
      </c>
      <c r="I31" s="64" t="str">
        <f>IF(Inicial!K31="SI",Inicial!I31,"N/A")</f>
        <v>N/A</v>
      </c>
      <c r="J31" s="79" t="s">
        <v>394</v>
      </c>
      <c r="K31" s="6" t="s">
        <v>394</v>
      </c>
      <c r="L31" s="6" t="s">
        <v>394</v>
      </c>
      <c r="M31" s="6" t="s">
        <v>394</v>
      </c>
      <c r="N31" s="6" t="s">
        <v>394</v>
      </c>
      <c r="O31" s="6" t="s">
        <v>394</v>
      </c>
      <c r="P31" s="6" t="s">
        <v>394</v>
      </c>
      <c r="Q31" s="6" t="s">
        <v>394</v>
      </c>
      <c r="R31" s="6" t="s">
        <v>394</v>
      </c>
      <c r="S31" s="6" t="s">
        <v>394</v>
      </c>
      <c r="T31" s="6" t="s">
        <v>394</v>
      </c>
      <c r="U31" s="6" t="s">
        <v>394</v>
      </c>
      <c r="V31" s="6" t="s">
        <v>394</v>
      </c>
      <c r="W31" s="6" t="s">
        <v>394</v>
      </c>
      <c r="X31" s="6" t="s">
        <v>394</v>
      </c>
      <c r="Y31" s="6" t="s">
        <v>394</v>
      </c>
      <c r="Z31" s="6" t="s">
        <v>394</v>
      </c>
      <c r="AA31" s="6" t="s">
        <v>394</v>
      </c>
      <c r="AB31" s="6" t="s">
        <v>394</v>
      </c>
      <c r="AC31" s="6" t="s">
        <v>394</v>
      </c>
      <c r="AD31" s="88" t="str">
        <f t="shared" si="0"/>
        <v>Aceptable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37" t="str" cm="1">
        <f t="array" ref="AV31">IF(OR(AE31:AU31="SI"),"Critico","No critico")</f>
        <v>No critico</v>
      </c>
    </row>
    <row r="32" spans="1:48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IF(Inicial!K32="SI",Inicial!E32,"N/A")</f>
        <v>N/A</v>
      </c>
      <c r="F32" s="53" t="str">
        <f>IF(Inicial!K32="SI",Inicial!F32,"N/A")</f>
        <v>N/A</v>
      </c>
      <c r="G32" s="53" t="str">
        <f>IF(Inicial!K32="SI",Inicial!G32,"N/A")</f>
        <v>N/A</v>
      </c>
      <c r="H32" s="53" t="str">
        <f>IF(Inicial!K32="SI",Inicial!H32,"N/A")</f>
        <v>N/A</v>
      </c>
      <c r="I32" s="64" t="str">
        <f>IF(Inicial!K32="SI",Inicial!I32,"N/A")</f>
        <v>N/A</v>
      </c>
      <c r="J32" s="79" t="s">
        <v>394</v>
      </c>
      <c r="K32" s="6" t="s">
        <v>394</v>
      </c>
      <c r="L32" s="6" t="s">
        <v>394</v>
      </c>
      <c r="M32" s="6" t="s">
        <v>394</v>
      </c>
      <c r="N32" s="6" t="s">
        <v>394</v>
      </c>
      <c r="O32" s="6" t="s">
        <v>394</v>
      </c>
      <c r="P32" s="6" t="s">
        <v>394</v>
      </c>
      <c r="Q32" s="6" t="s">
        <v>394</v>
      </c>
      <c r="R32" s="6" t="s">
        <v>394</v>
      </c>
      <c r="S32" s="6" t="s">
        <v>394</v>
      </c>
      <c r="T32" s="6" t="s">
        <v>394</v>
      </c>
      <c r="U32" s="6" t="s">
        <v>394</v>
      </c>
      <c r="V32" s="6" t="s">
        <v>394</v>
      </c>
      <c r="W32" s="6" t="s">
        <v>394</v>
      </c>
      <c r="X32" s="6" t="s">
        <v>394</v>
      </c>
      <c r="Y32" s="6" t="s">
        <v>394</v>
      </c>
      <c r="Z32" s="6" t="s">
        <v>394</v>
      </c>
      <c r="AA32" s="6" t="s">
        <v>394</v>
      </c>
      <c r="AB32" s="6" t="s">
        <v>394</v>
      </c>
      <c r="AC32" s="6" t="s">
        <v>394</v>
      </c>
      <c r="AD32" s="88" t="str">
        <f t="shared" si="0"/>
        <v>Aceptable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37" t="str" cm="1">
        <f t="array" ref="AV32">IF(OR(AE32:AU32="SI"),"Critico","No critico")</f>
        <v>No critico</v>
      </c>
    </row>
    <row r="33" spans="1:48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IF(Inicial!K33="SI",Inicial!E33,"N/A")</f>
        <v>N/A</v>
      </c>
      <c r="F33" s="53" t="str">
        <f>IF(Inicial!K33="SI",Inicial!F33,"N/A")</f>
        <v>N/A</v>
      </c>
      <c r="G33" s="53" t="str">
        <f>IF(Inicial!K33="SI",Inicial!G33,"N/A")</f>
        <v>N/A</v>
      </c>
      <c r="H33" s="53" t="str">
        <f>IF(Inicial!K33="SI",Inicial!H33,"N/A")</f>
        <v>N/A</v>
      </c>
      <c r="I33" s="64" t="str">
        <f>IF(Inicial!K33="SI",Inicial!I33,"N/A")</f>
        <v>N/A</v>
      </c>
      <c r="J33" s="79" t="s">
        <v>394</v>
      </c>
      <c r="K33" s="6" t="s">
        <v>394</v>
      </c>
      <c r="L33" s="6" t="s">
        <v>394</v>
      </c>
      <c r="M33" s="6" t="s">
        <v>394</v>
      </c>
      <c r="N33" s="6" t="s">
        <v>394</v>
      </c>
      <c r="O33" s="6" t="s">
        <v>394</v>
      </c>
      <c r="P33" s="6" t="s">
        <v>394</v>
      </c>
      <c r="Q33" s="6" t="s">
        <v>394</v>
      </c>
      <c r="R33" s="6" t="s">
        <v>394</v>
      </c>
      <c r="S33" s="6" t="s">
        <v>394</v>
      </c>
      <c r="T33" s="6" t="s">
        <v>394</v>
      </c>
      <c r="U33" s="6" t="s">
        <v>394</v>
      </c>
      <c r="V33" s="6" t="s">
        <v>394</v>
      </c>
      <c r="W33" s="6" t="s">
        <v>394</v>
      </c>
      <c r="X33" s="6" t="s">
        <v>394</v>
      </c>
      <c r="Y33" s="6" t="s">
        <v>394</v>
      </c>
      <c r="Z33" s="6" t="s">
        <v>394</v>
      </c>
      <c r="AA33" s="6" t="s">
        <v>394</v>
      </c>
      <c r="AB33" s="6" t="s">
        <v>394</v>
      </c>
      <c r="AC33" s="6" t="s">
        <v>394</v>
      </c>
      <c r="AD33" s="88" t="str">
        <f t="shared" si="0"/>
        <v>Aceptable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37" t="str" cm="1">
        <f t="array" ref="AV33">IF(OR(AE33:AU33="SI"),"Critico","No critico")</f>
        <v>No critico</v>
      </c>
    </row>
    <row r="34" spans="1:48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IF(Inicial!K34="SI",Inicial!E34,"N/A")</f>
        <v>N/A</v>
      </c>
      <c r="F34" s="53" t="str">
        <f>IF(Inicial!K34="SI",Inicial!F34,"N/A")</f>
        <v>N/A</v>
      </c>
      <c r="G34" s="53" t="str">
        <f>IF(Inicial!K34="SI",Inicial!G34,"N/A")</f>
        <v>N/A</v>
      </c>
      <c r="H34" s="53" t="str">
        <f>IF(Inicial!K34="SI",Inicial!H34,"N/A")</f>
        <v>N/A</v>
      </c>
      <c r="I34" s="64" t="str">
        <f>IF(Inicial!K34="SI",Inicial!I34,"N/A")</f>
        <v>N/A</v>
      </c>
      <c r="J34" s="79" t="s">
        <v>394</v>
      </c>
      <c r="K34" s="6" t="s">
        <v>394</v>
      </c>
      <c r="L34" s="6" t="s">
        <v>394</v>
      </c>
      <c r="M34" s="6" t="s">
        <v>394</v>
      </c>
      <c r="N34" s="6" t="s">
        <v>394</v>
      </c>
      <c r="O34" s="6" t="s">
        <v>394</v>
      </c>
      <c r="P34" s="6" t="s">
        <v>394</v>
      </c>
      <c r="Q34" s="6" t="s">
        <v>394</v>
      </c>
      <c r="R34" s="6" t="s">
        <v>394</v>
      </c>
      <c r="S34" s="6" t="s">
        <v>394</v>
      </c>
      <c r="T34" s="6" t="s">
        <v>394</v>
      </c>
      <c r="U34" s="6" t="s">
        <v>394</v>
      </c>
      <c r="V34" s="6" t="s">
        <v>394</v>
      </c>
      <c r="W34" s="6" t="s">
        <v>394</v>
      </c>
      <c r="X34" s="6" t="s">
        <v>394</v>
      </c>
      <c r="Y34" s="6" t="s">
        <v>394</v>
      </c>
      <c r="Z34" s="6" t="s">
        <v>394</v>
      </c>
      <c r="AA34" s="6" t="s">
        <v>394</v>
      </c>
      <c r="AB34" s="6" t="s">
        <v>394</v>
      </c>
      <c r="AC34" s="6" t="s">
        <v>394</v>
      </c>
      <c r="AD34" s="88" t="str">
        <f t="shared" si="0"/>
        <v>Aceptable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37" t="str" cm="1">
        <f t="array" ref="AV34">IF(OR(AE34:AU34="SI"),"Critico","No critico")</f>
        <v>No critico</v>
      </c>
    </row>
    <row r="35" spans="1:48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IF(Inicial!K35="SI",Inicial!E35,"N/A")</f>
        <v>N/A</v>
      </c>
      <c r="F35" s="53" t="str">
        <f>IF(Inicial!K35="SI",Inicial!F35,"N/A")</f>
        <v>N/A</v>
      </c>
      <c r="G35" s="53" t="str">
        <f>IF(Inicial!K35="SI",Inicial!G35,"N/A")</f>
        <v>N/A</v>
      </c>
      <c r="H35" s="53" t="str">
        <f>IF(Inicial!K35="SI",Inicial!H35,"N/A")</f>
        <v>N/A</v>
      </c>
      <c r="I35" s="64" t="str">
        <f>IF(Inicial!K35="SI",Inicial!I35,"N/A")</f>
        <v>N/A</v>
      </c>
      <c r="J35" s="79" t="s">
        <v>394</v>
      </c>
      <c r="K35" s="6" t="s">
        <v>394</v>
      </c>
      <c r="L35" s="6" t="s">
        <v>394</v>
      </c>
      <c r="M35" s="6" t="s">
        <v>394</v>
      </c>
      <c r="N35" s="6" t="s">
        <v>394</v>
      </c>
      <c r="O35" s="6" t="s">
        <v>394</v>
      </c>
      <c r="P35" s="6" t="s">
        <v>394</v>
      </c>
      <c r="Q35" s="6" t="s">
        <v>394</v>
      </c>
      <c r="R35" s="6" t="s">
        <v>394</v>
      </c>
      <c r="S35" s="6" t="s">
        <v>394</v>
      </c>
      <c r="T35" s="6" t="s">
        <v>394</v>
      </c>
      <c r="U35" s="6" t="s">
        <v>394</v>
      </c>
      <c r="V35" s="6" t="s">
        <v>394</v>
      </c>
      <c r="W35" s="6" t="s">
        <v>394</v>
      </c>
      <c r="X35" s="6" t="s">
        <v>394</v>
      </c>
      <c r="Y35" s="6" t="s">
        <v>394</v>
      </c>
      <c r="Z35" s="6" t="s">
        <v>394</v>
      </c>
      <c r="AA35" s="6" t="s">
        <v>394</v>
      </c>
      <c r="AB35" s="6" t="s">
        <v>394</v>
      </c>
      <c r="AC35" s="6" t="s">
        <v>394</v>
      </c>
      <c r="AD35" s="88" t="str">
        <f t="shared" si="0"/>
        <v>Aceptable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37" t="str" cm="1">
        <f t="array" ref="AV35">IF(OR(AE35:AU35="SI"),"Critico","No critico")</f>
        <v>No critico</v>
      </c>
    </row>
    <row r="36" spans="1:48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IF(Inicial!K36="SI",Inicial!E36,"N/A")</f>
        <v>N/A</v>
      </c>
      <c r="F36" s="53" t="str">
        <f>IF(Inicial!K36="SI",Inicial!F36,"N/A")</f>
        <v>N/A</v>
      </c>
      <c r="G36" s="53" t="str">
        <f>IF(Inicial!K36="SI",Inicial!G36,"N/A")</f>
        <v>N/A</v>
      </c>
      <c r="H36" s="53" t="str">
        <f>IF(Inicial!K36="SI",Inicial!H36,"N/A")</f>
        <v>N/A</v>
      </c>
      <c r="I36" s="64" t="str">
        <f>IF(Inicial!K36="SI",Inicial!I36,"N/A")</f>
        <v>N/A</v>
      </c>
      <c r="J36" s="79" t="s">
        <v>394</v>
      </c>
      <c r="K36" s="6" t="s">
        <v>394</v>
      </c>
      <c r="L36" s="6" t="s">
        <v>394</v>
      </c>
      <c r="M36" s="6" t="s">
        <v>394</v>
      </c>
      <c r="N36" s="6" t="s">
        <v>394</v>
      </c>
      <c r="O36" s="6" t="s">
        <v>394</v>
      </c>
      <c r="P36" s="6" t="s">
        <v>394</v>
      </c>
      <c r="Q36" s="6" t="s">
        <v>394</v>
      </c>
      <c r="R36" s="6" t="s">
        <v>394</v>
      </c>
      <c r="S36" s="6" t="s">
        <v>394</v>
      </c>
      <c r="T36" s="6" t="s">
        <v>394</v>
      </c>
      <c r="U36" s="6" t="s">
        <v>394</v>
      </c>
      <c r="V36" s="6" t="s">
        <v>394</v>
      </c>
      <c r="W36" s="6" t="s">
        <v>394</v>
      </c>
      <c r="X36" s="6" t="s">
        <v>394</v>
      </c>
      <c r="Y36" s="6" t="s">
        <v>394</v>
      </c>
      <c r="Z36" s="6" t="s">
        <v>394</v>
      </c>
      <c r="AA36" s="6" t="s">
        <v>394</v>
      </c>
      <c r="AB36" s="6" t="s">
        <v>394</v>
      </c>
      <c r="AC36" s="6" t="s">
        <v>394</v>
      </c>
      <c r="AD36" s="88" t="str">
        <f t="shared" si="0"/>
        <v>Aceptable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37" t="str" cm="1">
        <f t="array" ref="AV36">IF(OR(AE36:AU36="SI"),"Critico","No critico")</f>
        <v>No critico</v>
      </c>
    </row>
    <row r="37" spans="1:48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IF(Inicial!K37="SI",Inicial!E37,"N/A")</f>
        <v>N/A</v>
      </c>
      <c r="F37" s="53" t="str">
        <f>IF(Inicial!K37="SI",Inicial!F37,"N/A")</f>
        <v>N/A</v>
      </c>
      <c r="G37" s="53" t="str">
        <f>IF(Inicial!K37="SI",Inicial!G37,"N/A")</f>
        <v>N/A</v>
      </c>
      <c r="H37" s="53" t="str">
        <f>IF(Inicial!K37="SI",Inicial!H37,"N/A")</f>
        <v>N/A</v>
      </c>
      <c r="I37" s="64" t="str">
        <f>IF(Inicial!K37="SI",Inicial!I37,"N/A")</f>
        <v>N/A</v>
      </c>
      <c r="J37" s="79" t="s">
        <v>394</v>
      </c>
      <c r="K37" s="6" t="s">
        <v>394</v>
      </c>
      <c r="L37" s="6" t="s">
        <v>394</v>
      </c>
      <c r="M37" s="6" t="s">
        <v>394</v>
      </c>
      <c r="N37" s="6" t="s">
        <v>394</v>
      </c>
      <c r="O37" s="6" t="s">
        <v>394</v>
      </c>
      <c r="P37" s="6" t="s">
        <v>394</v>
      </c>
      <c r="Q37" s="6" t="s">
        <v>394</v>
      </c>
      <c r="R37" s="6" t="s">
        <v>394</v>
      </c>
      <c r="S37" s="6" t="s">
        <v>394</v>
      </c>
      <c r="T37" s="6" t="s">
        <v>394</v>
      </c>
      <c r="U37" s="6" t="s">
        <v>394</v>
      </c>
      <c r="V37" s="6" t="s">
        <v>394</v>
      </c>
      <c r="W37" s="6" t="s">
        <v>394</v>
      </c>
      <c r="X37" s="6" t="s">
        <v>394</v>
      </c>
      <c r="Y37" s="6" t="s">
        <v>394</v>
      </c>
      <c r="Z37" s="6" t="s">
        <v>394</v>
      </c>
      <c r="AA37" s="6" t="s">
        <v>394</v>
      </c>
      <c r="AB37" s="6" t="s">
        <v>394</v>
      </c>
      <c r="AC37" s="6" t="s">
        <v>394</v>
      </c>
      <c r="AD37" s="88" t="str">
        <f t="shared" si="0"/>
        <v>Aceptable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37" t="str" cm="1">
        <f t="array" ref="AV37">IF(OR(AE37:AU37="SI"),"Critico","No critico")</f>
        <v>No critico</v>
      </c>
    </row>
    <row r="38" spans="1:48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IF(Inicial!K38="SI",Inicial!E38,"N/A")</f>
        <v>N/A</v>
      </c>
      <c r="F38" s="53" t="str">
        <f>IF(Inicial!K38="SI",Inicial!F38,"N/A")</f>
        <v>N/A</v>
      </c>
      <c r="G38" s="53" t="str">
        <f>IF(Inicial!K38="SI",Inicial!G38,"N/A")</f>
        <v>N/A</v>
      </c>
      <c r="H38" s="53" t="str">
        <f>IF(Inicial!K38="SI",Inicial!H38,"N/A")</f>
        <v>N/A</v>
      </c>
      <c r="I38" s="64" t="str">
        <f>IF(Inicial!K38="SI",Inicial!I38,"N/A")</f>
        <v>N/A</v>
      </c>
      <c r="J38" s="79" t="s">
        <v>394</v>
      </c>
      <c r="K38" s="6" t="s">
        <v>394</v>
      </c>
      <c r="L38" s="6" t="s">
        <v>394</v>
      </c>
      <c r="M38" s="6" t="s">
        <v>394</v>
      </c>
      <c r="N38" s="6" t="s">
        <v>394</v>
      </c>
      <c r="O38" s="6" t="s">
        <v>394</v>
      </c>
      <c r="P38" s="6" t="s">
        <v>394</v>
      </c>
      <c r="Q38" s="6" t="s">
        <v>394</v>
      </c>
      <c r="R38" s="6" t="s">
        <v>394</v>
      </c>
      <c r="S38" s="6" t="s">
        <v>394</v>
      </c>
      <c r="T38" s="6" t="s">
        <v>394</v>
      </c>
      <c r="U38" s="6" t="s">
        <v>394</v>
      </c>
      <c r="V38" s="6" t="s">
        <v>394</v>
      </c>
      <c r="W38" s="6" t="s">
        <v>394</v>
      </c>
      <c r="X38" s="6" t="s">
        <v>394</v>
      </c>
      <c r="Y38" s="6" t="s">
        <v>394</v>
      </c>
      <c r="Z38" s="6" t="s">
        <v>394</v>
      </c>
      <c r="AA38" s="6" t="s">
        <v>394</v>
      </c>
      <c r="AB38" s="6" t="s">
        <v>394</v>
      </c>
      <c r="AC38" s="6" t="s">
        <v>394</v>
      </c>
      <c r="AD38" s="88" t="str">
        <f t="shared" si="0"/>
        <v>Aceptable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37" t="str" cm="1">
        <f t="array" ref="AV38">IF(OR(AE38:AU38="SI"),"Critico","No critico")</f>
        <v>No critico</v>
      </c>
    </row>
    <row r="39" spans="1:48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IF(Inicial!K39="SI",Inicial!E39,"N/A")</f>
        <v>N/A</v>
      </c>
      <c r="F39" s="53" t="str">
        <f>IF(Inicial!K39="SI",Inicial!F39,"N/A")</f>
        <v>N/A</v>
      </c>
      <c r="G39" s="53" t="str">
        <f>IF(Inicial!K39="SI",Inicial!G39,"N/A")</f>
        <v>N/A</v>
      </c>
      <c r="H39" s="53" t="str">
        <f>IF(Inicial!K39="SI",Inicial!H39,"N/A")</f>
        <v>N/A</v>
      </c>
      <c r="I39" s="64" t="str">
        <f>IF(Inicial!K39="SI",Inicial!I39,"N/A")</f>
        <v>N/A</v>
      </c>
      <c r="J39" s="79" t="s">
        <v>394</v>
      </c>
      <c r="K39" s="6" t="s">
        <v>394</v>
      </c>
      <c r="L39" s="6" t="s">
        <v>394</v>
      </c>
      <c r="M39" s="6" t="s">
        <v>394</v>
      </c>
      <c r="N39" s="6" t="s">
        <v>394</v>
      </c>
      <c r="O39" s="6" t="s">
        <v>394</v>
      </c>
      <c r="P39" s="6" t="s">
        <v>394</v>
      </c>
      <c r="Q39" s="6" t="s">
        <v>394</v>
      </c>
      <c r="R39" s="6" t="s">
        <v>394</v>
      </c>
      <c r="S39" s="6" t="s">
        <v>394</v>
      </c>
      <c r="T39" s="6" t="s">
        <v>394</v>
      </c>
      <c r="U39" s="6" t="s">
        <v>394</v>
      </c>
      <c r="V39" s="6" t="s">
        <v>394</v>
      </c>
      <c r="W39" s="6" t="s">
        <v>394</v>
      </c>
      <c r="X39" s="6" t="s">
        <v>394</v>
      </c>
      <c r="Y39" s="6" t="s">
        <v>394</v>
      </c>
      <c r="Z39" s="6" t="s">
        <v>394</v>
      </c>
      <c r="AA39" s="6" t="s">
        <v>394</v>
      </c>
      <c r="AB39" s="6" t="s">
        <v>394</v>
      </c>
      <c r="AC39" s="6" t="s">
        <v>394</v>
      </c>
      <c r="AD39" s="88" t="str">
        <f t="shared" si="0"/>
        <v>Aceptable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37" t="str" cm="1">
        <f t="array" ref="AV39">IF(OR(AE39:AU39="SI"),"Critico","No critico")</f>
        <v>No critico</v>
      </c>
    </row>
    <row r="40" spans="1:48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IF(Inicial!K40="SI",Inicial!E40,"N/A")</f>
        <v>N/A</v>
      </c>
      <c r="F40" s="53" t="str">
        <f>IF(Inicial!K40="SI",Inicial!F40,"N/A")</f>
        <v>N/A</v>
      </c>
      <c r="G40" s="53" t="str">
        <f>IF(Inicial!K40="SI",Inicial!G40,"N/A")</f>
        <v>N/A</v>
      </c>
      <c r="H40" s="53" t="str">
        <f>IF(Inicial!K40="SI",Inicial!H40,"N/A")</f>
        <v>N/A</v>
      </c>
      <c r="I40" s="64" t="str">
        <f>IF(Inicial!K40="SI",Inicial!I40,"N/A")</f>
        <v>N/A</v>
      </c>
      <c r="J40" s="79" t="s">
        <v>394</v>
      </c>
      <c r="K40" s="6" t="s">
        <v>394</v>
      </c>
      <c r="L40" s="6" t="s">
        <v>394</v>
      </c>
      <c r="M40" s="6" t="s">
        <v>394</v>
      </c>
      <c r="N40" s="6" t="s">
        <v>394</v>
      </c>
      <c r="O40" s="6" t="s">
        <v>394</v>
      </c>
      <c r="P40" s="6" t="s">
        <v>394</v>
      </c>
      <c r="Q40" s="6" t="s">
        <v>394</v>
      </c>
      <c r="R40" s="6" t="s">
        <v>394</v>
      </c>
      <c r="S40" s="6" t="s">
        <v>394</v>
      </c>
      <c r="T40" s="6" t="s">
        <v>394</v>
      </c>
      <c r="U40" s="6" t="s">
        <v>394</v>
      </c>
      <c r="V40" s="6" t="s">
        <v>394</v>
      </c>
      <c r="W40" s="6" t="s">
        <v>394</v>
      </c>
      <c r="X40" s="6" t="s">
        <v>394</v>
      </c>
      <c r="Y40" s="6" t="s">
        <v>394</v>
      </c>
      <c r="Z40" s="6" t="s">
        <v>394</v>
      </c>
      <c r="AA40" s="6" t="s">
        <v>394</v>
      </c>
      <c r="AB40" s="6" t="s">
        <v>394</v>
      </c>
      <c r="AC40" s="6" t="s">
        <v>394</v>
      </c>
      <c r="AD40" s="88" t="str">
        <f t="shared" si="0"/>
        <v>Aceptable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37" t="str" cm="1">
        <f t="array" ref="AV40">IF(OR(AE40:AU40="SI"),"Critico","No critico")</f>
        <v>No critico</v>
      </c>
    </row>
    <row r="41" spans="1:48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IF(Inicial!K41="SI",Inicial!E41,"N/A")</f>
        <v>N/A</v>
      </c>
      <c r="F41" s="53" t="str">
        <f>IF(Inicial!K41="SI",Inicial!F41,"N/A")</f>
        <v>N/A</v>
      </c>
      <c r="G41" s="53" t="str">
        <f>IF(Inicial!K41="SI",Inicial!G41,"N/A")</f>
        <v>N/A</v>
      </c>
      <c r="H41" s="53" t="str">
        <f>IF(Inicial!K41="SI",Inicial!H41,"N/A")</f>
        <v>N/A</v>
      </c>
      <c r="I41" s="64" t="str">
        <f>IF(Inicial!K41="SI",Inicial!I41,"N/A")</f>
        <v>N/A</v>
      </c>
      <c r="J41" s="79" t="s">
        <v>394</v>
      </c>
      <c r="K41" s="6" t="s">
        <v>394</v>
      </c>
      <c r="L41" s="6" t="s">
        <v>394</v>
      </c>
      <c r="M41" s="6" t="s">
        <v>394</v>
      </c>
      <c r="N41" s="6" t="s">
        <v>394</v>
      </c>
      <c r="O41" s="6" t="s">
        <v>394</v>
      </c>
      <c r="P41" s="6" t="s">
        <v>394</v>
      </c>
      <c r="Q41" s="6" t="s">
        <v>394</v>
      </c>
      <c r="R41" s="6" t="s">
        <v>394</v>
      </c>
      <c r="S41" s="6" t="s">
        <v>394</v>
      </c>
      <c r="T41" s="6" t="s">
        <v>394</v>
      </c>
      <c r="U41" s="6" t="s">
        <v>394</v>
      </c>
      <c r="V41" s="6" t="s">
        <v>394</v>
      </c>
      <c r="W41" s="6" t="s">
        <v>394</v>
      </c>
      <c r="X41" s="6" t="s">
        <v>394</v>
      </c>
      <c r="Y41" s="6" t="s">
        <v>394</v>
      </c>
      <c r="Z41" s="6" t="s">
        <v>394</v>
      </c>
      <c r="AA41" s="6" t="s">
        <v>394</v>
      </c>
      <c r="AB41" s="6" t="s">
        <v>394</v>
      </c>
      <c r="AC41" s="6" t="s">
        <v>394</v>
      </c>
      <c r="AD41" s="88" t="str">
        <f t="shared" si="0"/>
        <v>Aceptable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37" t="str" cm="1">
        <f t="array" ref="AV41">IF(OR(AE41:AU41="SI"),"Critico","No critico")</f>
        <v>No critico</v>
      </c>
    </row>
    <row r="42" spans="1:48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IF(Inicial!K42="SI",Inicial!E42,"N/A")</f>
        <v>N/A</v>
      </c>
      <c r="F42" s="53" t="str">
        <f>IF(Inicial!K42="SI",Inicial!F42,"N/A")</f>
        <v>N/A</v>
      </c>
      <c r="G42" s="53" t="str">
        <f>IF(Inicial!K42="SI",Inicial!G42,"N/A")</f>
        <v>N/A</v>
      </c>
      <c r="H42" s="53" t="str">
        <f>IF(Inicial!K42="SI",Inicial!H42,"N/A")</f>
        <v>N/A</v>
      </c>
      <c r="I42" s="64" t="str">
        <f>IF(Inicial!K42="SI",Inicial!I42,"N/A")</f>
        <v>N/A</v>
      </c>
      <c r="J42" s="79" t="s">
        <v>394</v>
      </c>
      <c r="K42" s="6" t="s">
        <v>394</v>
      </c>
      <c r="L42" s="6" t="s">
        <v>394</v>
      </c>
      <c r="M42" s="6" t="s">
        <v>394</v>
      </c>
      <c r="N42" s="6" t="s">
        <v>394</v>
      </c>
      <c r="O42" s="6" t="s">
        <v>394</v>
      </c>
      <c r="P42" s="6" t="s">
        <v>394</v>
      </c>
      <c r="Q42" s="6" t="s">
        <v>394</v>
      </c>
      <c r="R42" s="6" t="s">
        <v>394</v>
      </c>
      <c r="S42" s="6" t="s">
        <v>394</v>
      </c>
      <c r="T42" s="6" t="s">
        <v>394</v>
      </c>
      <c r="U42" s="6" t="s">
        <v>394</v>
      </c>
      <c r="V42" s="6" t="s">
        <v>394</v>
      </c>
      <c r="W42" s="6" t="s">
        <v>394</v>
      </c>
      <c r="X42" s="6" t="s">
        <v>394</v>
      </c>
      <c r="Y42" s="6" t="s">
        <v>394</v>
      </c>
      <c r="Z42" s="6" t="s">
        <v>394</v>
      </c>
      <c r="AA42" s="6" t="s">
        <v>394</v>
      </c>
      <c r="AB42" s="6" t="s">
        <v>394</v>
      </c>
      <c r="AC42" s="6" t="s">
        <v>394</v>
      </c>
      <c r="AD42" s="88" t="str">
        <f t="shared" si="0"/>
        <v>Aceptable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37" t="str" cm="1">
        <f t="array" ref="AV42">IF(OR(AE42:AU42="SI"),"Critico","No critico")</f>
        <v>No critico</v>
      </c>
    </row>
    <row r="43" spans="1:48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IF(Inicial!K43="SI",Inicial!E43,"N/A")</f>
        <v>N/A</v>
      </c>
      <c r="F43" s="53" t="str">
        <f>IF(Inicial!K43="SI",Inicial!F43,"N/A")</f>
        <v>N/A</v>
      </c>
      <c r="G43" s="53" t="str">
        <f>IF(Inicial!K43="SI",Inicial!G43,"N/A")</f>
        <v>N/A</v>
      </c>
      <c r="H43" s="53" t="str">
        <f>IF(Inicial!K43="SI",Inicial!H43,"N/A")</f>
        <v>N/A</v>
      </c>
      <c r="I43" s="64" t="str">
        <f>IF(Inicial!K43="SI",Inicial!I43,"N/A")</f>
        <v>N/A</v>
      </c>
      <c r="J43" s="79" t="s">
        <v>394</v>
      </c>
      <c r="K43" s="6" t="s">
        <v>394</v>
      </c>
      <c r="L43" s="6" t="s">
        <v>394</v>
      </c>
      <c r="M43" s="6" t="s">
        <v>394</v>
      </c>
      <c r="N43" s="6" t="s">
        <v>394</v>
      </c>
      <c r="O43" s="6" t="s">
        <v>394</v>
      </c>
      <c r="P43" s="6" t="s">
        <v>394</v>
      </c>
      <c r="Q43" s="6" t="s">
        <v>394</v>
      </c>
      <c r="R43" s="6" t="s">
        <v>394</v>
      </c>
      <c r="S43" s="6" t="s">
        <v>394</v>
      </c>
      <c r="T43" s="6" t="s">
        <v>394</v>
      </c>
      <c r="U43" s="6" t="s">
        <v>394</v>
      </c>
      <c r="V43" s="6" t="s">
        <v>394</v>
      </c>
      <c r="W43" s="6" t="s">
        <v>394</v>
      </c>
      <c r="X43" s="6" t="s">
        <v>394</v>
      </c>
      <c r="Y43" s="6" t="s">
        <v>394</v>
      </c>
      <c r="Z43" s="6" t="s">
        <v>394</v>
      </c>
      <c r="AA43" s="6" t="s">
        <v>394</v>
      </c>
      <c r="AB43" s="6" t="s">
        <v>394</v>
      </c>
      <c r="AC43" s="6" t="s">
        <v>394</v>
      </c>
      <c r="AD43" s="88" t="str">
        <f t="shared" si="0"/>
        <v>Aceptable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37" t="str" cm="1">
        <f t="array" ref="AV43">IF(OR(AE43:AU43="SI"),"Critico","No critico")</f>
        <v>No critico</v>
      </c>
    </row>
    <row r="44" spans="1:48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IF(Inicial!K44="SI",Inicial!E44,"N/A")</f>
        <v>N/A</v>
      </c>
      <c r="F44" s="53" t="str">
        <f>IF(Inicial!K44="SI",Inicial!F44,"N/A")</f>
        <v>N/A</v>
      </c>
      <c r="G44" s="53" t="str">
        <f>IF(Inicial!K44="SI",Inicial!G44,"N/A")</f>
        <v>N/A</v>
      </c>
      <c r="H44" s="53" t="str">
        <f>IF(Inicial!K44="SI",Inicial!H44,"N/A")</f>
        <v>N/A</v>
      </c>
      <c r="I44" s="64" t="str">
        <f>IF(Inicial!K44="SI",Inicial!I44,"N/A")</f>
        <v>N/A</v>
      </c>
      <c r="J44" s="79" t="s">
        <v>394</v>
      </c>
      <c r="K44" s="6" t="s">
        <v>394</v>
      </c>
      <c r="L44" s="6" t="s">
        <v>394</v>
      </c>
      <c r="M44" s="6" t="s">
        <v>394</v>
      </c>
      <c r="N44" s="6" t="s">
        <v>394</v>
      </c>
      <c r="O44" s="6" t="s">
        <v>394</v>
      </c>
      <c r="P44" s="6" t="s">
        <v>394</v>
      </c>
      <c r="Q44" s="6" t="s">
        <v>394</v>
      </c>
      <c r="R44" s="6" t="s">
        <v>394</v>
      </c>
      <c r="S44" s="6" t="s">
        <v>394</v>
      </c>
      <c r="T44" s="6" t="s">
        <v>394</v>
      </c>
      <c r="U44" s="6" t="s">
        <v>394</v>
      </c>
      <c r="V44" s="6" t="s">
        <v>394</v>
      </c>
      <c r="W44" s="6" t="s">
        <v>394</v>
      </c>
      <c r="X44" s="6" t="s">
        <v>394</v>
      </c>
      <c r="Y44" s="6" t="s">
        <v>394</v>
      </c>
      <c r="Z44" s="6" t="s">
        <v>394</v>
      </c>
      <c r="AA44" s="6" t="s">
        <v>394</v>
      </c>
      <c r="AB44" s="6" t="s">
        <v>394</v>
      </c>
      <c r="AC44" s="6" t="s">
        <v>394</v>
      </c>
      <c r="AD44" s="88" t="str">
        <f t="shared" si="0"/>
        <v>Aceptable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37" t="str" cm="1">
        <f t="array" ref="AV44">IF(OR(AE44:AU44="SI"),"Critico","No critico")</f>
        <v>No critico</v>
      </c>
    </row>
    <row r="45" spans="1:48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IF(Inicial!K45="SI",Inicial!E45,"N/A")</f>
        <v>N/A</v>
      </c>
      <c r="F45" s="53" t="str">
        <f>IF(Inicial!K45="SI",Inicial!F45,"N/A")</f>
        <v>N/A</v>
      </c>
      <c r="G45" s="53" t="str">
        <f>IF(Inicial!K45="SI",Inicial!G45,"N/A")</f>
        <v>N/A</v>
      </c>
      <c r="H45" s="53" t="str">
        <f>IF(Inicial!K45="SI",Inicial!H45,"N/A")</f>
        <v>N/A</v>
      </c>
      <c r="I45" s="64" t="str">
        <f>IF(Inicial!K45="SI",Inicial!I45,"N/A")</f>
        <v>N/A</v>
      </c>
      <c r="J45" s="79" t="s">
        <v>394</v>
      </c>
      <c r="K45" s="6" t="s">
        <v>394</v>
      </c>
      <c r="L45" s="6" t="s">
        <v>394</v>
      </c>
      <c r="M45" s="6" t="s">
        <v>394</v>
      </c>
      <c r="N45" s="6" t="s">
        <v>394</v>
      </c>
      <c r="O45" s="6" t="s">
        <v>394</v>
      </c>
      <c r="P45" s="6" t="s">
        <v>394</v>
      </c>
      <c r="Q45" s="6" t="s">
        <v>394</v>
      </c>
      <c r="R45" s="6" t="s">
        <v>394</v>
      </c>
      <c r="S45" s="6" t="s">
        <v>394</v>
      </c>
      <c r="T45" s="6" t="s">
        <v>394</v>
      </c>
      <c r="U45" s="6" t="s">
        <v>394</v>
      </c>
      <c r="V45" s="6" t="s">
        <v>394</v>
      </c>
      <c r="W45" s="6" t="s">
        <v>394</v>
      </c>
      <c r="X45" s="6" t="s">
        <v>394</v>
      </c>
      <c r="Y45" s="6" t="s">
        <v>394</v>
      </c>
      <c r="Z45" s="6" t="s">
        <v>394</v>
      </c>
      <c r="AA45" s="6" t="s">
        <v>394</v>
      </c>
      <c r="AB45" s="6" t="s">
        <v>394</v>
      </c>
      <c r="AC45" s="6" t="s">
        <v>394</v>
      </c>
      <c r="AD45" s="88" t="str">
        <f t="shared" si="0"/>
        <v>Aceptable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37" t="str" cm="1">
        <f t="array" ref="AV45">IF(OR(AE45:AU45="SI"),"Critico","No critico")</f>
        <v>No critico</v>
      </c>
    </row>
    <row r="46" spans="1:48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IF(Inicial!K46="SI",Inicial!E46,"N/A")</f>
        <v>N/A</v>
      </c>
      <c r="F46" s="53" t="str">
        <f>IF(Inicial!K46="SI",Inicial!F46,"N/A")</f>
        <v>N/A</v>
      </c>
      <c r="G46" s="53" t="str">
        <f>IF(Inicial!K46="SI",Inicial!G46,"N/A")</f>
        <v>N/A</v>
      </c>
      <c r="H46" s="53" t="str">
        <f>IF(Inicial!K46="SI",Inicial!H46,"N/A")</f>
        <v>N/A</v>
      </c>
      <c r="I46" s="64" t="str">
        <f>IF(Inicial!K46="SI",Inicial!I46,"N/A")</f>
        <v>N/A</v>
      </c>
      <c r="J46" s="79" t="s">
        <v>394</v>
      </c>
      <c r="K46" s="6" t="s">
        <v>394</v>
      </c>
      <c r="L46" s="6" t="s">
        <v>394</v>
      </c>
      <c r="M46" s="6" t="s">
        <v>394</v>
      </c>
      <c r="N46" s="6" t="s">
        <v>394</v>
      </c>
      <c r="O46" s="6" t="s">
        <v>394</v>
      </c>
      <c r="P46" s="6" t="s">
        <v>394</v>
      </c>
      <c r="Q46" s="6" t="s">
        <v>394</v>
      </c>
      <c r="R46" s="6" t="s">
        <v>394</v>
      </c>
      <c r="S46" s="6" t="s">
        <v>394</v>
      </c>
      <c r="T46" s="6" t="s">
        <v>394</v>
      </c>
      <c r="U46" s="6" t="s">
        <v>394</v>
      </c>
      <c r="V46" s="6" t="s">
        <v>394</v>
      </c>
      <c r="W46" s="6" t="s">
        <v>394</v>
      </c>
      <c r="X46" s="6" t="s">
        <v>394</v>
      </c>
      <c r="Y46" s="6" t="s">
        <v>394</v>
      </c>
      <c r="Z46" s="6" t="s">
        <v>394</v>
      </c>
      <c r="AA46" s="6" t="s">
        <v>394</v>
      </c>
      <c r="AB46" s="6" t="s">
        <v>394</v>
      </c>
      <c r="AC46" s="6" t="s">
        <v>394</v>
      </c>
      <c r="AD46" s="88" t="str">
        <f t="shared" si="0"/>
        <v>Aceptable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37" t="str" cm="1">
        <f t="array" ref="AV46">IF(OR(AE46:AU46="SI"),"Critico","No critico")</f>
        <v>No critico</v>
      </c>
    </row>
    <row r="47" spans="1:48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IF(Inicial!K47="SI",Inicial!E47,"N/A")</f>
        <v>N/A</v>
      </c>
      <c r="F47" s="53" t="str">
        <f>IF(Inicial!K47="SI",Inicial!F47,"N/A")</f>
        <v>N/A</v>
      </c>
      <c r="G47" s="53" t="str">
        <f>IF(Inicial!K47="SI",Inicial!G47,"N/A")</f>
        <v>N/A</v>
      </c>
      <c r="H47" s="53" t="str">
        <f>IF(Inicial!K47="SI",Inicial!H47,"N/A")</f>
        <v>N/A</v>
      </c>
      <c r="I47" s="64" t="str">
        <f>IF(Inicial!K47="SI",Inicial!I47,"N/A")</f>
        <v>N/A</v>
      </c>
      <c r="J47" s="79" t="s">
        <v>394</v>
      </c>
      <c r="K47" s="6" t="s">
        <v>394</v>
      </c>
      <c r="L47" s="6" t="s">
        <v>394</v>
      </c>
      <c r="M47" s="6" t="s">
        <v>394</v>
      </c>
      <c r="N47" s="6" t="s">
        <v>394</v>
      </c>
      <c r="O47" s="6" t="s">
        <v>394</v>
      </c>
      <c r="P47" s="6" t="s">
        <v>394</v>
      </c>
      <c r="Q47" s="6" t="s">
        <v>394</v>
      </c>
      <c r="R47" s="6" t="s">
        <v>394</v>
      </c>
      <c r="S47" s="6" t="s">
        <v>394</v>
      </c>
      <c r="T47" s="6" t="s">
        <v>394</v>
      </c>
      <c r="U47" s="6" t="s">
        <v>394</v>
      </c>
      <c r="V47" s="6" t="s">
        <v>394</v>
      </c>
      <c r="W47" s="6" t="s">
        <v>394</v>
      </c>
      <c r="X47" s="6" t="s">
        <v>394</v>
      </c>
      <c r="Y47" s="6" t="s">
        <v>394</v>
      </c>
      <c r="Z47" s="6" t="s">
        <v>394</v>
      </c>
      <c r="AA47" s="6" t="s">
        <v>394</v>
      </c>
      <c r="AB47" s="6" t="s">
        <v>394</v>
      </c>
      <c r="AC47" s="6" t="s">
        <v>394</v>
      </c>
      <c r="AD47" s="88" t="str">
        <f t="shared" si="0"/>
        <v>Aceptable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37" t="str" cm="1">
        <f t="array" ref="AV47">IF(OR(AE47:AU47="SI"),"Critico","No critico")</f>
        <v>No critico</v>
      </c>
    </row>
    <row r="48" spans="1:48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IF(Inicial!K48="SI",Inicial!E48,"N/A")</f>
        <v>N/A</v>
      </c>
      <c r="F48" s="53" t="str">
        <f>IF(Inicial!K48="SI",Inicial!F48,"N/A")</f>
        <v>N/A</v>
      </c>
      <c r="G48" s="53" t="str">
        <f>IF(Inicial!K48="SI",Inicial!G48,"N/A")</f>
        <v>N/A</v>
      </c>
      <c r="H48" s="53" t="str">
        <f>IF(Inicial!K48="SI",Inicial!H48,"N/A")</f>
        <v>N/A</v>
      </c>
      <c r="I48" s="64" t="str">
        <f>IF(Inicial!K48="SI",Inicial!I48,"N/A")</f>
        <v>N/A</v>
      </c>
      <c r="J48" s="79" t="s">
        <v>394</v>
      </c>
      <c r="K48" s="6" t="s">
        <v>394</v>
      </c>
      <c r="L48" s="6" t="s">
        <v>394</v>
      </c>
      <c r="M48" s="6" t="s">
        <v>394</v>
      </c>
      <c r="N48" s="6" t="s">
        <v>394</v>
      </c>
      <c r="O48" s="6" t="s">
        <v>394</v>
      </c>
      <c r="P48" s="6" t="s">
        <v>394</v>
      </c>
      <c r="Q48" s="6" t="s">
        <v>394</v>
      </c>
      <c r="R48" s="6" t="s">
        <v>394</v>
      </c>
      <c r="S48" s="6" t="s">
        <v>394</v>
      </c>
      <c r="T48" s="6" t="s">
        <v>394</v>
      </c>
      <c r="U48" s="6" t="s">
        <v>394</v>
      </c>
      <c r="V48" s="6" t="s">
        <v>394</v>
      </c>
      <c r="W48" s="6" t="s">
        <v>394</v>
      </c>
      <c r="X48" s="6" t="s">
        <v>394</v>
      </c>
      <c r="Y48" s="6" t="s">
        <v>394</v>
      </c>
      <c r="Z48" s="6" t="s">
        <v>394</v>
      </c>
      <c r="AA48" s="6" t="s">
        <v>394</v>
      </c>
      <c r="AB48" s="6" t="s">
        <v>394</v>
      </c>
      <c r="AC48" s="6" t="s">
        <v>394</v>
      </c>
      <c r="AD48" s="88" t="str">
        <f t="shared" si="0"/>
        <v>Aceptable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37" t="str" cm="1">
        <f t="array" ref="AV48">IF(OR(AE48:AU48="SI"),"Critico","No critico")</f>
        <v>No critico</v>
      </c>
    </row>
    <row r="49" spans="1:48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IF(Inicial!K49="SI",Inicial!E49,"N/A")</f>
        <v>N/A</v>
      </c>
      <c r="F49" s="53" t="str">
        <f>IF(Inicial!K49="SI",Inicial!F49,"N/A")</f>
        <v>N/A</v>
      </c>
      <c r="G49" s="53" t="str">
        <f>IF(Inicial!K49="SI",Inicial!G49,"N/A")</f>
        <v>N/A</v>
      </c>
      <c r="H49" s="53" t="str">
        <f>IF(Inicial!K49="SI",Inicial!H49,"N/A")</f>
        <v>N/A</v>
      </c>
      <c r="I49" s="64" t="str">
        <f>IF(Inicial!K49="SI",Inicial!I49,"N/A")</f>
        <v>N/A</v>
      </c>
      <c r="J49" s="79" t="s">
        <v>394</v>
      </c>
      <c r="K49" s="6" t="s">
        <v>394</v>
      </c>
      <c r="L49" s="6" t="s">
        <v>394</v>
      </c>
      <c r="M49" s="6" t="s">
        <v>394</v>
      </c>
      <c r="N49" s="6" t="s">
        <v>394</v>
      </c>
      <c r="O49" s="6" t="s">
        <v>394</v>
      </c>
      <c r="P49" s="6" t="s">
        <v>394</v>
      </c>
      <c r="Q49" s="6" t="s">
        <v>394</v>
      </c>
      <c r="R49" s="6" t="s">
        <v>394</v>
      </c>
      <c r="S49" s="6" t="s">
        <v>394</v>
      </c>
      <c r="T49" s="6" t="s">
        <v>394</v>
      </c>
      <c r="U49" s="6" t="s">
        <v>394</v>
      </c>
      <c r="V49" s="6" t="s">
        <v>394</v>
      </c>
      <c r="W49" s="6" t="s">
        <v>394</v>
      </c>
      <c r="X49" s="6" t="s">
        <v>394</v>
      </c>
      <c r="Y49" s="6" t="s">
        <v>394</v>
      </c>
      <c r="Z49" s="6" t="s">
        <v>394</v>
      </c>
      <c r="AA49" s="6" t="s">
        <v>394</v>
      </c>
      <c r="AB49" s="6" t="s">
        <v>394</v>
      </c>
      <c r="AC49" s="6" t="s">
        <v>394</v>
      </c>
      <c r="AD49" s="88" t="str">
        <f t="shared" si="0"/>
        <v>Aceptable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37" t="str" cm="1">
        <f t="array" ref="AV49">IF(OR(AE49:AU49="SI"),"Critico","No critico")</f>
        <v>No critico</v>
      </c>
    </row>
    <row r="50" spans="1:48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IF(Inicial!K50="SI",Inicial!E50,"N/A")</f>
        <v>N/A</v>
      </c>
      <c r="F50" s="53" t="str">
        <f>IF(Inicial!K50="SI",Inicial!F50,"N/A")</f>
        <v>N/A</v>
      </c>
      <c r="G50" s="53" t="str">
        <f>IF(Inicial!K50="SI",Inicial!G50,"N/A")</f>
        <v>N/A</v>
      </c>
      <c r="H50" s="53" t="str">
        <f>IF(Inicial!K50="SI",Inicial!H50,"N/A")</f>
        <v>N/A</v>
      </c>
      <c r="I50" s="64" t="str">
        <f>IF(Inicial!K50="SI",Inicial!I50,"N/A")</f>
        <v>N/A</v>
      </c>
      <c r="J50" s="79" t="s">
        <v>394</v>
      </c>
      <c r="K50" s="6" t="s">
        <v>394</v>
      </c>
      <c r="L50" s="6" t="s">
        <v>394</v>
      </c>
      <c r="M50" s="6" t="s">
        <v>394</v>
      </c>
      <c r="N50" s="6" t="s">
        <v>394</v>
      </c>
      <c r="O50" s="6" t="s">
        <v>394</v>
      </c>
      <c r="P50" s="6" t="s">
        <v>394</v>
      </c>
      <c r="Q50" s="6" t="s">
        <v>394</v>
      </c>
      <c r="R50" s="6" t="s">
        <v>394</v>
      </c>
      <c r="S50" s="6" t="s">
        <v>394</v>
      </c>
      <c r="T50" s="6" t="s">
        <v>394</v>
      </c>
      <c r="U50" s="6" t="s">
        <v>394</v>
      </c>
      <c r="V50" s="6" t="s">
        <v>394</v>
      </c>
      <c r="W50" s="6" t="s">
        <v>394</v>
      </c>
      <c r="X50" s="6" t="s">
        <v>394</v>
      </c>
      <c r="Y50" s="6" t="s">
        <v>394</v>
      </c>
      <c r="Z50" s="6" t="s">
        <v>394</v>
      </c>
      <c r="AA50" s="6" t="s">
        <v>394</v>
      </c>
      <c r="AB50" s="6" t="s">
        <v>394</v>
      </c>
      <c r="AC50" s="6" t="s">
        <v>394</v>
      </c>
      <c r="AD50" s="88" t="str">
        <f t="shared" si="0"/>
        <v>Aceptable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37" t="str" cm="1">
        <f t="array" ref="AV50">IF(OR(AE50:AU50="SI"),"Critico","No critico")</f>
        <v>No critico</v>
      </c>
    </row>
    <row r="51" spans="1:48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IF(Inicial!K51="SI",Inicial!E51,"N/A")</f>
        <v>N/A</v>
      </c>
      <c r="F51" s="53" t="str">
        <f>IF(Inicial!K51="SI",Inicial!F51,"N/A")</f>
        <v>N/A</v>
      </c>
      <c r="G51" s="53" t="str">
        <f>IF(Inicial!K51="SI",Inicial!G51,"N/A")</f>
        <v>N/A</v>
      </c>
      <c r="H51" s="53" t="str">
        <f>IF(Inicial!K51="SI",Inicial!H51,"N/A")</f>
        <v>N/A</v>
      </c>
      <c r="I51" s="64" t="str">
        <f>IF(Inicial!K51="SI",Inicial!I51,"N/A")</f>
        <v>N/A</v>
      </c>
      <c r="J51" s="79" t="s">
        <v>394</v>
      </c>
      <c r="K51" s="6" t="s">
        <v>394</v>
      </c>
      <c r="L51" s="6" t="s">
        <v>394</v>
      </c>
      <c r="M51" s="6" t="s">
        <v>394</v>
      </c>
      <c r="N51" s="6" t="s">
        <v>394</v>
      </c>
      <c r="O51" s="6" t="s">
        <v>394</v>
      </c>
      <c r="P51" s="6" t="s">
        <v>394</v>
      </c>
      <c r="Q51" s="6" t="s">
        <v>394</v>
      </c>
      <c r="R51" s="6" t="s">
        <v>394</v>
      </c>
      <c r="S51" s="6" t="s">
        <v>394</v>
      </c>
      <c r="T51" s="6" t="s">
        <v>394</v>
      </c>
      <c r="U51" s="6" t="s">
        <v>394</v>
      </c>
      <c r="V51" s="6" t="s">
        <v>394</v>
      </c>
      <c r="W51" s="6" t="s">
        <v>394</v>
      </c>
      <c r="X51" s="6" t="s">
        <v>394</v>
      </c>
      <c r="Y51" s="6" t="s">
        <v>394</v>
      </c>
      <c r="Z51" s="6" t="s">
        <v>394</v>
      </c>
      <c r="AA51" s="6" t="s">
        <v>394</v>
      </c>
      <c r="AB51" s="6" t="s">
        <v>394</v>
      </c>
      <c r="AC51" s="6" t="s">
        <v>394</v>
      </c>
      <c r="AD51" s="88" t="str">
        <f t="shared" si="0"/>
        <v>Aceptable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37" t="str" cm="1">
        <f t="array" ref="AV51">IF(OR(AE51:AU51="SI"),"Critico","No critico")</f>
        <v>No critico</v>
      </c>
    </row>
    <row r="52" spans="1:48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IF(Inicial!K52="SI",Inicial!E52,"N/A")</f>
        <v>N/A</v>
      </c>
      <c r="F52" s="53" t="str">
        <f>IF(Inicial!K52="SI",Inicial!F52,"N/A")</f>
        <v>N/A</v>
      </c>
      <c r="G52" s="53" t="str">
        <f>IF(Inicial!K52="SI",Inicial!G52,"N/A")</f>
        <v>N/A</v>
      </c>
      <c r="H52" s="53" t="str">
        <f>IF(Inicial!K52="SI",Inicial!H52,"N/A")</f>
        <v>N/A</v>
      </c>
      <c r="I52" s="64" t="str">
        <f>IF(Inicial!K52="SI",Inicial!I52,"N/A")</f>
        <v>N/A</v>
      </c>
      <c r="J52" s="79" t="s">
        <v>394</v>
      </c>
      <c r="K52" s="6" t="s">
        <v>394</v>
      </c>
      <c r="L52" s="6" t="s">
        <v>394</v>
      </c>
      <c r="M52" s="6" t="s">
        <v>394</v>
      </c>
      <c r="N52" s="6" t="s">
        <v>394</v>
      </c>
      <c r="O52" s="6" t="s">
        <v>394</v>
      </c>
      <c r="P52" s="6" t="s">
        <v>394</v>
      </c>
      <c r="Q52" s="6" t="s">
        <v>394</v>
      </c>
      <c r="R52" s="6" t="s">
        <v>394</v>
      </c>
      <c r="S52" s="6" t="s">
        <v>394</v>
      </c>
      <c r="T52" s="6" t="s">
        <v>394</v>
      </c>
      <c r="U52" s="6" t="s">
        <v>394</v>
      </c>
      <c r="V52" s="6" t="s">
        <v>394</v>
      </c>
      <c r="W52" s="6" t="s">
        <v>394</v>
      </c>
      <c r="X52" s="6" t="s">
        <v>394</v>
      </c>
      <c r="Y52" s="6" t="s">
        <v>394</v>
      </c>
      <c r="Z52" s="6" t="s">
        <v>394</v>
      </c>
      <c r="AA52" s="6" t="s">
        <v>394</v>
      </c>
      <c r="AB52" s="6" t="s">
        <v>394</v>
      </c>
      <c r="AC52" s="6" t="s">
        <v>394</v>
      </c>
      <c r="AD52" s="88" t="str">
        <f t="shared" si="0"/>
        <v>Aceptable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37" t="str" cm="1">
        <f t="array" ref="AV52">IF(OR(AE52:AU52="SI"),"Critico","No critico")</f>
        <v>No critico</v>
      </c>
    </row>
    <row r="53" spans="1:48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IF(Inicial!K53="SI",Inicial!E53,"N/A")</f>
        <v>N/A</v>
      </c>
      <c r="F53" s="53" t="str">
        <f>IF(Inicial!K53="SI",Inicial!F53,"N/A")</f>
        <v>N/A</v>
      </c>
      <c r="G53" s="53" t="str">
        <f>IF(Inicial!K53="SI",Inicial!G53,"N/A")</f>
        <v>N/A</v>
      </c>
      <c r="H53" s="53" t="str">
        <f>IF(Inicial!K53="SI",Inicial!H53,"N/A")</f>
        <v>N/A</v>
      </c>
      <c r="I53" s="64" t="str">
        <f>IF(Inicial!K53="SI",Inicial!I53,"N/A")</f>
        <v>N/A</v>
      </c>
      <c r="J53" s="79" t="s">
        <v>394</v>
      </c>
      <c r="K53" s="6" t="s">
        <v>394</v>
      </c>
      <c r="L53" s="6" t="s">
        <v>394</v>
      </c>
      <c r="M53" s="6" t="s">
        <v>394</v>
      </c>
      <c r="N53" s="6" t="s">
        <v>394</v>
      </c>
      <c r="O53" s="6" t="s">
        <v>394</v>
      </c>
      <c r="P53" s="6" t="s">
        <v>394</v>
      </c>
      <c r="Q53" s="6" t="s">
        <v>394</v>
      </c>
      <c r="R53" s="6" t="s">
        <v>394</v>
      </c>
      <c r="S53" s="6" t="s">
        <v>394</v>
      </c>
      <c r="T53" s="6" t="s">
        <v>394</v>
      </c>
      <c r="U53" s="6" t="s">
        <v>394</v>
      </c>
      <c r="V53" s="6" t="s">
        <v>394</v>
      </c>
      <c r="W53" s="6" t="s">
        <v>394</v>
      </c>
      <c r="X53" s="6" t="s">
        <v>394</v>
      </c>
      <c r="Y53" s="6" t="s">
        <v>394</v>
      </c>
      <c r="Z53" s="6" t="s">
        <v>394</v>
      </c>
      <c r="AA53" s="6" t="s">
        <v>394</v>
      </c>
      <c r="AB53" s="6" t="s">
        <v>394</v>
      </c>
      <c r="AC53" s="6" t="s">
        <v>394</v>
      </c>
      <c r="AD53" s="88" t="str">
        <f t="shared" si="0"/>
        <v>Aceptable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37" t="str" cm="1">
        <f t="array" ref="AV53">IF(OR(AE53:AU53="SI"),"Critico","No critico")</f>
        <v>No critico</v>
      </c>
    </row>
    <row r="54" spans="1:48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IF(Inicial!K54="SI",Inicial!E54,"N/A")</f>
        <v>N/A</v>
      </c>
      <c r="F54" s="53" t="str">
        <f>IF(Inicial!K54="SI",Inicial!F54,"N/A")</f>
        <v>N/A</v>
      </c>
      <c r="G54" s="53" t="str">
        <f>IF(Inicial!K54="SI",Inicial!G54,"N/A")</f>
        <v>N/A</v>
      </c>
      <c r="H54" s="53" t="str">
        <f>IF(Inicial!K54="SI",Inicial!H54,"N/A")</f>
        <v>N/A</v>
      </c>
      <c r="I54" s="64" t="str">
        <f>IF(Inicial!K54="SI",Inicial!I54,"N/A")</f>
        <v>N/A</v>
      </c>
      <c r="J54" s="79" t="s">
        <v>394</v>
      </c>
      <c r="K54" s="6" t="s">
        <v>394</v>
      </c>
      <c r="L54" s="6" t="s">
        <v>394</v>
      </c>
      <c r="M54" s="6" t="s">
        <v>394</v>
      </c>
      <c r="N54" s="6" t="s">
        <v>394</v>
      </c>
      <c r="O54" s="6" t="s">
        <v>394</v>
      </c>
      <c r="P54" s="6" t="s">
        <v>394</v>
      </c>
      <c r="Q54" s="6" t="s">
        <v>394</v>
      </c>
      <c r="R54" s="6" t="s">
        <v>394</v>
      </c>
      <c r="S54" s="6" t="s">
        <v>394</v>
      </c>
      <c r="T54" s="6" t="s">
        <v>394</v>
      </c>
      <c r="U54" s="6" t="s">
        <v>394</v>
      </c>
      <c r="V54" s="6" t="s">
        <v>394</v>
      </c>
      <c r="W54" s="6" t="s">
        <v>394</v>
      </c>
      <c r="X54" s="6" t="s">
        <v>394</v>
      </c>
      <c r="Y54" s="6" t="s">
        <v>394</v>
      </c>
      <c r="Z54" s="6" t="s">
        <v>394</v>
      </c>
      <c r="AA54" s="6" t="s">
        <v>394</v>
      </c>
      <c r="AB54" s="6" t="s">
        <v>394</v>
      </c>
      <c r="AC54" s="6" t="s">
        <v>394</v>
      </c>
      <c r="AD54" s="88" t="str">
        <f t="shared" si="0"/>
        <v>Aceptable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37" t="str" cm="1">
        <f t="array" ref="AV54">IF(OR(AE54:AU54="SI"),"Critico","No critico")</f>
        <v>No critico</v>
      </c>
    </row>
    <row r="55" spans="1:48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IF(Inicial!K55="SI",Inicial!E55,"N/A")</f>
        <v>N/A</v>
      </c>
      <c r="F55" s="53" t="str">
        <f>IF(Inicial!K55="SI",Inicial!F55,"N/A")</f>
        <v>N/A</v>
      </c>
      <c r="G55" s="53" t="str">
        <f>IF(Inicial!K55="SI",Inicial!G55,"N/A")</f>
        <v>N/A</v>
      </c>
      <c r="H55" s="53" t="str">
        <f>IF(Inicial!K55="SI",Inicial!H55,"N/A")</f>
        <v>N/A</v>
      </c>
      <c r="I55" s="64" t="str">
        <f>IF(Inicial!K55="SI",Inicial!I55,"N/A")</f>
        <v>N/A</v>
      </c>
      <c r="J55" s="79" t="s">
        <v>394</v>
      </c>
      <c r="K55" s="6" t="s">
        <v>394</v>
      </c>
      <c r="L55" s="6" t="s">
        <v>394</v>
      </c>
      <c r="M55" s="6" t="s">
        <v>394</v>
      </c>
      <c r="N55" s="6" t="s">
        <v>394</v>
      </c>
      <c r="O55" s="6" t="s">
        <v>394</v>
      </c>
      <c r="P55" s="6" t="s">
        <v>394</v>
      </c>
      <c r="Q55" s="6" t="s">
        <v>394</v>
      </c>
      <c r="R55" s="6" t="s">
        <v>394</v>
      </c>
      <c r="S55" s="6" t="s">
        <v>394</v>
      </c>
      <c r="T55" s="6" t="s">
        <v>394</v>
      </c>
      <c r="U55" s="6" t="s">
        <v>394</v>
      </c>
      <c r="V55" s="6" t="s">
        <v>394</v>
      </c>
      <c r="W55" s="6" t="s">
        <v>394</v>
      </c>
      <c r="X55" s="6" t="s">
        <v>394</v>
      </c>
      <c r="Y55" s="6" t="s">
        <v>394</v>
      </c>
      <c r="Z55" s="6" t="s">
        <v>394</v>
      </c>
      <c r="AA55" s="6" t="s">
        <v>394</v>
      </c>
      <c r="AB55" s="6" t="s">
        <v>394</v>
      </c>
      <c r="AC55" s="6" t="s">
        <v>394</v>
      </c>
      <c r="AD55" s="88" t="str">
        <f t="shared" si="0"/>
        <v>Aceptable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37" t="str" cm="1">
        <f t="array" ref="AV55">IF(OR(AE55:AU55="SI"),"Critico","No critico")</f>
        <v>No critico</v>
      </c>
    </row>
    <row r="56" spans="1:48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64" t="e">
        <f>IF(Inicial!#REF!="SI",Inicial!#REF!,"N/A")</f>
        <v>#REF!</v>
      </c>
      <c r="J56" s="79" t="s">
        <v>394</v>
      </c>
      <c r="K56" s="6" t="s">
        <v>394</v>
      </c>
      <c r="L56" s="6" t="s">
        <v>394</v>
      </c>
      <c r="M56" s="6" t="s">
        <v>394</v>
      </c>
      <c r="N56" s="6" t="s">
        <v>394</v>
      </c>
      <c r="O56" s="6" t="s">
        <v>394</v>
      </c>
      <c r="P56" s="6" t="s">
        <v>394</v>
      </c>
      <c r="Q56" s="6" t="s">
        <v>394</v>
      </c>
      <c r="R56" s="6" t="s">
        <v>394</v>
      </c>
      <c r="S56" s="6" t="s">
        <v>394</v>
      </c>
      <c r="T56" s="6" t="s">
        <v>394</v>
      </c>
      <c r="U56" s="6" t="s">
        <v>394</v>
      </c>
      <c r="V56" s="6" t="s">
        <v>394</v>
      </c>
      <c r="W56" s="6" t="s">
        <v>394</v>
      </c>
      <c r="X56" s="6" t="s">
        <v>394</v>
      </c>
      <c r="Y56" s="6" t="s">
        <v>394</v>
      </c>
      <c r="Z56" s="6" t="s">
        <v>394</v>
      </c>
      <c r="AA56" s="6" t="s">
        <v>394</v>
      </c>
      <c r="AB56" s="6" t="s">
        <v>394</v>
      </c>
      <c r="AC56" s="6" t="s">
        <v>394</v>
      </c>
      <c r="AD56" s="88" t="str">
        <f t="shared" si="0"/>
        <v>Aceptable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37" t="str" cm="1">
        <f t="array" ref="AV56">IF(OR(AE56:AU56="SI"),"Critico","No critico")</f>
        <v>No critico</v>
      </c>
    </row>
    <row r="57" spans="1:48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IF(Inicial!K56="SI",Inicial!E56,"N/A")</f>
        <v>N/A</v>
      </c>
      <c r="F57" s="53" t="str">
        <f>IF(Inicial!K56="SI",Inicial!F56,"N/A")</f>
        <v>N/A</v>
      </c>
      <c r="G57" s="53" t="str">
        <f>IF(Inicial!K56="SI",Inicial!G56,"N/A")</f>
        <v>N/A</v>
      </c>
      <c r="H57" s="53" t="str">
        <f>IF(Inicial!K56="SI",Inicial!H56,"N/A")</f>
        <v>N/A</v>
      </c>
      <c r="I57" s="64" t="str">
        <f>IF(Inicial!K56="SI",Inicial!I56,"N/A")</f>
        <v>N/A</v>
      </c>
      <c r="J57" s="79" t="s">
        <v>394</v>
      </c>
      <c r="K57" s="6" t="s">
        <v>394</v>
      </c>
      <c r="L57" s="6" t="s">
        <v>394</v>
      </c>
      <c r="M57" s="6" t="s">
        <v>394</v>
      </c>
      <c r="N57" s="6" t="s">
        <v>394</v>
      </c>
      <c r="O57" s="6" t="s">
        <v>394</v>
      </c>
      <c r="P57" s="6" t="s">
        <v>394</v>
      </c>
      <c r="Q57" s="6" t="s">
        <v>394</v>
      </c>
      <c r="R57" s="6" t="s">
        <v>394</v>
      </c>
      <c r="S57" s="6" t="s">
        <v>394</v>
      </c>
      <c r="T57" s="6" t="s">
        <v>394</v>
      </c>
      <c r="U57" s="6" t="s">
        <v>394</v>
      </c>
      <c r="V57" s="6" t="s">
        <v>394</v>
      </c>
      <c r="W57" s="6" t="s">
        <v>394</v>
      </c>
      <c r="X57" s="6" t="s">
        <v>394</v>
      </c>
      <c r="Y57" s="6" t="s">
        <v>394</v>
      </c>
      <c r="Z57" s="6" t="s">
        <v>394</v>
      </c>
      <c r="AA57" s="6" t="s">
        <v>394</v>
      </c>
      <c r="AB57" s="6" t="s">
        <v>394</v>
      </c>
      <c r="AC57" s="6" t="s">
        <v>394</v>
      </c>
      <c r="AD57" s="88" t="str">
        <f t="shared" si="0"/>
        <v>Aceptable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37" t="str" cm="1">
        <f t="array" ref="AV57">IF(OR(AE57:AU57="SI"),"Critico","No critico")</f>
        <v>No critico</v>
      </c>
    </row>
    <row r="58" spans="1:48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IF(Inicial!K57="SI",Inicial!E57,"N/A")</f>
        <v>N/A</v>
      </c>
      <c r="F58" s="53" t="str">
        <f>IF(Inicial!K57="SI",Inicial!F57,"N/A")</f>
        <v>N/A</v>
      </c>
      <c r="G58" s="53" t="str">
        <f>IF(Inicial!K57="SI",Inicial!G57,"N/A")</f>
        <v>N/A</v>
      </c>
      <c r="H58" s="53" t="str">
        <f>IF(Inicial!K57="SI",Inicial!H57,"N/A")</f>
        <v>N/A</v>
      </c>
      <c r="I58" s="64" t="str">
        <f>IF(Inicial!K57="SI",Inicial!I57,"N/A")</f>
        <v>N/A</v>
      </c>
      <c r="J58" s="79" t="s">
        <v>394</v>
      </c>
      <c r="K58" s="6" t="s">
        <v>394</v>
      </c>
      <c r="L58" s="6" t="s">
        <v>394</v>
      </c>
      <c r="M58" s="6" t="s">
        <v>394</v>
      </c>
      <c r="N58" s="6" t="s">
        <v>394</v>
      </c>
      <c r="O58" s="6" t="s">
        <v>394</v>
      </c>
      <c r="P58" s="6" t="s">
        <v>394</v>
      </c>
      <c r="Q58" s="6" t="s">
        <v>394</v>
      </c>
      <c r="R58" s="6" t="s">
        <v>394</v>
      </c>
      <c r="S58" s="6" t="s">
        <v>394</v>
      </c>
      <c r="T58" s="6" t="s">
        <v>394</v>
      </c>
      <c r="U58" s="6" t="s">
        <v>394</v>
      </c>
      <c r="V58" s="6" t="s">
        <v>394</v>
      </c>
      <c r="W58" s="6" t="s">
        <v>394</v>
      </c>
      <c r="X58" s="6" t="s">
        <v>394</v>
      </c>
      <c r="Y58" s="6" t="s">
        <v>394</v>
      </c>
      <c r="Z58" s="6" t="s">
        <v>394</v>
      </c>
      <c r="AA58" s="6" t="s">
        <v>394</v>
      </c>
      <c r="AB58" s="6" t="s">
        <v>394</v>
      </c>
      <c r="AC58" s="6" t="s">
        <v>394</v>
      </c>
      <c r="AD58" s="88" t="str">
        <f t="shared" si="0"/>
        <v>Aceptable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37" t="str" cm="1">
        <f t="array" ref="AV58">IF(OR(AE58:AU58="SI"),"Critico","No critico")</f>
        <v>No critico</v>
      </c>
    </row>
    <row r="59" spans="1:48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IF(Inicial!K58="SI",Inicial!E58,"N/A")</f>
        <v>N/A</v>
      </c>
      <c r="F59" s="53" t="str">
        <f>IF(Inicial!K58="SI",Inicial!F58,"N/A")</f>
        <v>N/A</v>
      </c>
      <c r="G59" s="53" t="str">
        <f>IF(Inicial!K58="SI",Inicial!G58,"N/A")</f>
        <v>N/A</v>
      </c>
      <c r="H59" s="53" t="str">
        <f>IF(Inicial!K58="SI",Inicial!H58,"N/A")</f>
        <v>N/A</v>
      </c>
      <c r="I59" s="64" t="str">
        <f>IF(Inicial!K58="SI",Inicial!I58,"N/A")</f>
        <v>N/A</v>
      </c>
      <c r="J59" s="79" t="s">
        <v>394</v>
      </c>
      <c r="K59" s="6" t="s">
        <v>394</v>
      </c>
      <c r="L59" s="6" t="s">
        <v>394</v>
      </c>
      <c r="M59" s="6" t="s">
        <v>394</v>
      </c>
      <c r="N59" s="6" t="s">
        <v>394</v>
      </c>
      <c r="O59" s="6" t="s">
        <v>394</v>
      </c>
      <c r="P59" s="6" t="s">
        <v>394</v>
      </c>
      <c r="Q59" s="6" t="s">
        <v>394</v>
      </c>
      <c r="R59" s="6" t="s">
        <v>394</v>
      </c>
      <c r="S59" s="6" t="s">
        <v>394</v>
      </c>
      <c r="T59" s="6" t="s">
        <v>394</v>
      </c>
      <c r="U59" s="6" t="s">
        <v>394</v>
      </c>
      <c r="V59" s="6" t="s">
        <v>394</v>
      </c>
      <c r="W59" s="6" t="s">
        <v>394</v>
      </c>
      <c r="X59" s="6" t="s">
        <v>394</v>
      </c>
      <c r="Y59" s="6" t="s">
        <v>394</v>
      </c>
      <c r="Z59" s="6" t="s">
        <v>394</v>
      </c>
      <c r="AA59" s="6" t="s">
        <v>394</v>
      </c>
      <c r="AB59" s="6" t="s">
        <v>394</v>
      </c>
      <c r="AC59" s="6" t="s">
        <v>394</v>
      </c>
      <c r="AD59" s="88" t="str">
        <f t="shared" si="0"/>
        <v>Aceptable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37" t="str" cm="1">
        <f t="array" ref="AV59">IF(OR(AE59:AU59="SI"),"Critico","No critico")</f>
        <v>No critico</v>
      </c>
    </row>
    <row r="60" spans="1:48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IF(Inicial!K59="SI",Inicial!E59,"N/A")</f>
        <v>N/A</v>
      </c>
      <c r="F60" s="53" t="str">
        <f>IF(Inicial!K59="SI",Inicial!F59,"N/A")</f>
        <v>N/A</v>
      </c>
      <c r="G60" s="53" t="str">
        <f>IF(Inicial!K59="SI",Inicial!G59,"N/A")</f>
        <v>N/A</v>
      </c>
      <c r="H60" s="53" t="str">
        <f>IF(Inicial!K59="SI",Inicial!H59,"N/A")</f>
        <v>N/A</v>
      </c>
      <c r="I60" s="64" t="str">
        <f>IF(Inicial!K59="SI",Inicial!I59,"N/A")</f>
        <v>N/A</v>
      </c>
      <c r="J60" s="79" t="s">
        <v>394</v>
      </c>
      <c r="K60" s="6" t="s">
        <v>394</v>
      </c>
      <c r="L60" s="6" t="s">
        <v>394</v>
      </c>
      <c r="M60" s="6" t="s">
        <v>394</v>
      </c>
      <c r="N60" s="6" t="s">
        <v>394</v>
      </c>
      <c r="O60" s="6" t="s">
        <v>394</v>
      </c>
      <c r="P60" s="6" t="s">
        <v>394</v>
      </c>
      <c r="Q60" s="6" t="s">
        <v>394</v>
      </c>
      <c r="R60" s="6" t="s">
        <v>394</v>
      </c>
      <c r="S60" s="6" t="s">
        <v>394</v>
      </c>
      <c r="T60" s="6" t="s">
        <v>394</v>
      </c>
      <c r="U60" s="6" t="s">
        <v>394</v>
      </c>
      <c r="V60" s="6" t="s">
        <v>394</v>
      </c>
      <c r="W60" s="6" t="s">
        <v>394</v>
      </c>
      <c r="X60" s="6" t="s">
        <v>394</v>
      </c>
      <c r="Y60" s="6" t="s">
        <v>394</v>
      </c>
      <c r="Z60" s="6" t="s">
        <v>394</v>
      </c>
      <c r="AA60" s="6" t="s">
        <v>394</v>
      </c>
      <c r="AB60" s="6" t="s">
        <v>394</v>
      </c>
      <c r="AC60" s="6" t="s">
        <v>394</v>
      </c>
      <c r="AD60" s="88" t="str">
        <f t="shared" si="0"/>
        <v>Aceptable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37" t="str" cm="1">
        <f t="array" ref="AV60">IF(OR(AE60:AU60="SI"),"Critico","No critico")</f>
        <v>No critico</v>
      </c>
    </row>
    <row r="61" spans="1:48" ht="25.5">
      <c r="A61" s="52">
        <f>Inicial!A60</f>
        <v>58</v>
      </c>
      <c r="B61" s="53" t="str">
        <f>Inicial!B60</f>
        <v>Desposte</v>
      </c>
      <c r="C61" s="53" t="str">
        <f>Inicial!C60</f>
        <v>Operador Línea Costillar</v>
      </c>
      <c r="D61" s="54" t="str">
        <f>Inicial!D60</f>
        <v xml:space="preserve">Cuadrar panceta </v>
      </c>
      <c r="E61" s="52" t="str">
        <f>IF(Inicial!K60="SI",Inicial!E60,"N/A")</f>
        <v>N/A</v>
      </c>
      <c r="F61" s="53" t="str">
        <f>IF(Inicial!K60="SI",Inicial!F60,"N/A")</f>
        <v>N/A</v>
      </c>
      <c r="G61" s="53" t="str">
        <f>IF(Inicial!K60="SI",Inicial!G60,"N/A")</f>
        <v>N/A</v>
      </c>
      <c r="H61" s="53" t="str">
        <f>IF(Inicial!K60="SI",Inicial!H60,"N/A")</f>
        <v>N/A</v>
      </c>
      <c r="I61" s="64" t="str">
        <f>IF(Inicial!K60="SI",Inicial!I60,"N/A")</f>
        <v>N/A</v>
      </c>
      <c r="J61" s="79" t="s">
        <v>394</v>
      </c>
      <c r="K61" s="6" t="s">
        <v>394</v>
      </c>
      <c r="L61" s="6" t="s">
        <v>394</v>
      </c>
      <c r="M61" s="6" t="s">
        <v>394</v>
      </c>
      <c r="N61" s="6" t="s">
        <v>394</v>
      </c>
      <c r="O61" s="6" t="s">
        <v>394</v>
      </c>
      <c r="P61" s="6" t="s">
        <v>394</v>
      </c>
      <c r="Q61" s="6" t="s">
        <v>394</v>
      </c>
      <c r="R61" s="6" t="s">
        <v>394</v>
      </c>
      <c r="S61" s="6" t="s">
        <v>394</v>
      </c>
      <c r="T61" s="6" t="s">
        <v>394</v>
      </c>
      <c r="U61" s="6" t="s">
        <v>394</v>
      </c>
      <c r="V61" s="6" t="s">
        <v>394</v>
      </c>
      <c r="W61" s="6" t="s">
        <v>394</v>
      </c>
      <c r="X61" s="6" t="s">
        <v>394</v>
      </c>
      <c r="Y61" s="6" t="s">
        <v>394</v>
      </c>
      <c r="Z61" s="6" t="s">
        <v>394</v>
      </c>
      <c r="AA61" s="6" t="s">
        <v>394</v>
      </c>
      <c r="AB61" s="6" t="s">
        <v>394</v>
      </c>
      <c r="AC61" s="6" t="s">
        <v>394</v>
      </c>
      <c r="AD61" s="88" t="str">
        <f t="shared" si="0"/>
        <v>Aceptable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37" t="str" cm="1">
        <f t="array" ref="AV61">IF(OR(AE61:AU61="SI"),"Critico","No critico")</f>
        <v>No critico</v>
      </c>
    </row>
    <row r="62" spans="1:48" ht="25.5">
      <c r="A62" s="52">
        <f>Inicial!A61</f>
        <v>59</v>
      </c>
      <c r="B62" s="53" t="str">
        <f>Inicial!B61</f>
        <v>Desposte</v>
      </c>
      <c r="C62" s="53" t="str">
        <f>Inicial!C61</f>
        <v>Operador Línea Costillar</v>
      </c>
      <c r="D62" s="54" t="str">
        <f>Inicial!D61</f>
        <v>Despunte Producto</v>
      </c>
      <c r="E62" s="52" t="str">
        <f>IF(Inicial!K61="SI",Inicial!E61,"N/A")</f>
        <v>N/A</v>
      </c>
      <c r="F62" s="53" t="str">
        <f>IF(Inicial!K61="SI",Inicial!F61,"N/A")</f>
        <v>N/A</v>
      </c>
      <c r="G62" s="53" t="str">
        <f>IF(Inicial!K61="SI",Inicial!G61,"N/A")</f>
        <v>N/A</v>
      </c>
      <c r="H62" s="53" t="str">
        <f>IF(Inicial!K61="SI",Inicial!H61,"N/A")</f>
        <v>N/A</v>
      </c>
      <c r="I62" s="64" t="str">
        <f>IF(Inicial!K61="SI",Inicial!I61,"N/A")</f>
        <v>N/A</v>
      </c>
      <c r="J62" s="79" t="s">
        <v>394</v>
      </c>
      <c r="K62" s="6" t="s">
        <v>394</v>
      </c>
      <c r="L62" s="6" t="s">
        <v>394</v>
      </c>
      <c r="M62" s="6" t="s">
        <v>394</v>
      </c>
      <c r="N62" s="6" t="s">
        <v>394</v>
      </c>
      <c r="O62" s="6" t="s">
        <v>394</v>
      </c>
      <c r="P62" s="6" t="s">
        <v>394</v>
      </c>
      <c r="Q62" s="6" t="s">
        <v>394</v>
      </c>
      <c r="R62" s="6" t="s">
        <v>394</v>
      </c>
      <c r="S62" s="6" t="s">
        <v>394</v>
      </c>
      <c r="T62" s="6" t="s">
        <v>394</v>
      </c>
      <c r="U62" s="6" t="s">
        <v>394</v>
      </c>
      <c r="V62" s="6" t="s">
        <v>394</v>
      </c>
      <c r="W62" s="6" t="s">
        <v>394</v>
      </c>
      <c r="X62" s="6" t="s">
        <v>394</v>
      </c>
      <c r="Y62" s="6" t="s">
        <v>394</v>
      </c>
      <c r="Z62" s="6" t="s">
        <v>394</v>
      </c>
      <c r="AA62" s="6" t="s">
        <v>394</v>
      </c>
      <c r="AB62" s="6" t="s">
        <v>394</v>
      </c>
      <c r="AC62" s="6" t="s">
        <v>394</v>
      </c>
      <c r="AD62" s="88" t="str">
        <f t="shared" si="0"/>
        <v>Aceptable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37" t="str" cm="1">
        <f t="array" ref="AV62">IF(OR(AE62:AU62="SI"),"Critico","No critico")</f>
        <v>No critico</v>
      </c>
    </row>
    <row r="63" spans="1:48" ht="25.5">
      <c r="A63" s="52">
        <f>Inicial!A62</f>
        <v>60</v>
      </c>
      <c r="B63" s="53" t="str">
        <f>Inicial!B62</f>
        <v>Desposte</v>
      </c>
      <c r="C63" s="53" t="str">
        <f>Inicial!C62</f>
        <v>Operador Línea Costillar</v>
      </c>
      <c r="D63" s="54" t="str">
        <f>Inicial!D62</f>
        <v>Prolijado Whizard (grasa)</v>
      </c>
      <c r="E63" s="52" t="str">
        <f>IF(Inicial!K62="SI",Inicial!E62,"N/A")</f>
        <v>N/A</v>
      </c>
      <c r="F63" s="53" t="str">
        <f>IF(Inicial!K62="SI",Inicial!F62,"N/A")</f>
        <v>N/A</v>
      </c>
      <c r="G63" s="53" t="str">
        <f>IF(Inicial!K62="SI",Inicial!G62,"N/A")</f>
        <v>N/A</v>
      </c>
      <c r="H63" s="53" t="str">
        <f>IF(Inicial!K62="SI",Inicial!H62,"N/A")</f>
        <v>N/A</v>
      </c>
      <c r="I63" s="64" t="str">
        <f>IF(Inicial!K62="SI",Inicial!I62,"N/A")</f>
        <v>N/A</v>
      </c>
      <c r="J63" s="79" t="s">
        <v>394</v>
      </c>
      <c r="K63" s="6" t="s">
        <v>394</v>
      </c>
      <c r="L63" s="6" t="s">
        <v>394</v>
      </c>
      <c r="M63" s="6" t="s">
        <v>394</v>
      </c>
      <c r="N63" s="6" t="s">
        <v>394</v>
      </c>
      <c r="O63" s="6" t="s">
        <v>394</v>
      </c>
      <c r="P63" s="6" t="s">
        <v>394</v>
      </c>
      <c r="Q63" s="6" t="s">
        <v>394</v>
      </c>
      <c r="R63" s="6" t="s">
        <v>394</v>
      </c>
      <c r="S63" s="6" t="s">
        <v>394</v>
      </c>
      <c r="T63" s="6" t="s">
        <v>394</v>
      </c>
      <c r="U63" s="6" t="s">
        <v>394</v>
      </c>
      <c r="V63" s="6" t="s">
        <v>394</v>
      </c>
      <c r="W63" s="6" t="s">
        <v>394</v>
      </c>
      <c r="X63" s="6" t="s">
        <v>394</v>
      </c>
      <c r="Y63" s="6" t="s">
        <v>394</v>
      </c>
      <c r="Z63" s="6" t="s">
        <v>394</v>
      </c>
      <c r="AA63" s="6" t="s">
        <v>394</v>
      </c>
      <c r="AB63" s="6" t="s">
        <v>394</v>
      </c>
      <c r="AC63" s="6" t="s">
        <v>394</v>
      </c>
      <c r="AD63" s="88" t="str">
        <f t="shared" si="0"/>
        <v>Aceptable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37" t="str" cm="1">
        <f t="array" ref="AV63">IF(OR(AE63:AU63="SI"),"Critico","No critico")</f>
        <v>No critico</v>
      </c>
    </row>
    <row r="64" spans="1:48" ht="25.5">
      <c r="A64" s="52">
        <f>Inicial!A63</f>
        <v>61</v>
      </c>
      <c r="B64" s="53" t="str">
        <f>Inicial!B63</f>
        <v>Desposte</v>
      </c>
      <c r="C64" s="53" t="str">
        <f>Inicial!C63</f>
        <v>Operador Línea Costillar</v>
      </c>
      <c r="D64" s="54" t="str">
        <f>Inicial!D63</f>
        <v>Calibrado</v>
      </c>
      <c r="E64" s="52" t="str">
        <f>IF(Inicial!K63="SI",Inicial!E63,"N/A")</f>
        <v>N/A</v>
      </c>
      <c r="F64" s="53" t="str">
        <f>IF(Inicial!K63="SI",Inicial!F63,"N/A")</f>
        <v>N/A</v>
      </c>
      <c r="G64" s="53" t="str">
        <f>IF(Inicial!K63="SI",Inicial!G63,"N/A")</f>
        <v>N/A</v>
      </c>
      <c r="H64" s="53" t="str">
        <f>IF(Inicial!K63="SI",Inicial!H63,"N/A")</f>
        <v>N/A</v>
      </c>
      <c r="I64" s="64" t="str">
        <f>IF(Inicial!K63="SI",Inicial!I63,"N/A")</f>
        <v>N/A</v>
      </c>
      <c r="J64" s="79" t="s">
        <v>394</v>
      </c>
      <c r="K64" s="6" t="s">
        <v>394</v>
      </c>
      <c r="L64" s="6" t="s">
        <v>394</v>
      </c>
      <c r="M64" s="6" t="s">
        <v>394</v>
      </c>
      <c r="N64" s="6" t="s">
        <v>394</v>
      </c>
      <c r="O64" s="6" t="s">
        <v>394</v>
      </c>
      <c r="P64" s="6" t="s">
        <v>394</v>
      </c>
      <c r="Q64" s="6" t="s">
        <v>394</v>
      </c>
      <c r="R64" s="6" t="s">
        <v>394</v>
      </c>
      <c r="S64" s="6" t="s">
        <v>394</v>
      </c>
      <c r="T64" s="6" t="s">
        <v>394</v>
      </c>
      <c r="U64" s="6" t="s">
        <v>394</v>
      </c>
      <c r="V64" s="6" t="s">
        <v>394</v>
      </c>
      <c r="W64" s="6" t="s">
        <v>394</v>
      </c>
      <c r="X64" s="6" t="s">
        <v>394</v>
      </c>
      <c r="Y64" s="6" t="s">
        <v>394</v>
      </c>
      <c r="Z64" s="6" t="s">
        <v>394</v>
      </c>
      <c r="AA64" s="6" t="s">
        <v>394</v>
      </c>
      <c r="AB64" s="6" t="s">
        <v>394</v>
      </c>
      <c r="AC64" s="6" t="s">
        <v>394</v>
      </c>
      <c r="AD64" s="88" t="str">
        <f t="shared" si="0"/>
        <v>Aceptable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37" t="str" cm="1">
        <f t="array" ref="AV64">IF(OR(AE64:AU64="SI"),"Critico","No critico")</f>
        <v>No critico</v>
      </c>
    </row>
    <row r="65" spans="1:48" ht="25.5">
      <c r="A65" s="52">
        <f>Inicial!A64</f>
        <v>62</v>
      </c>
      <c r="B65" s="53" t="str">
        <f>Inicial!B64</f>
        <v>Desposte</v>
      </c>
      <c r="C65" s="53" t="str">
        <f>Inicial!C64</f>
        <v>Operador Línea Costillar</v>
      </c>
      <c r="D65" s="54" t="str">
        <f>Inicial!D64</f>
        <v>Cortado de Costillar</v>
      </c>
      <c r="E65" s="52" t="str">
        <f>IF(Inicial!K64="SI",Inicial!E64,"N/A")</f>
        <v>N/A</v>
      </c>
      <c r="F65" s="53" t="str">
        <f>IF(Inicial!K64="SI",Inicial!F64,"N/A")</f>
        <v>N/A</v>
      </c>
      <c r="G65" s="53" t="str">
        <f>IF(Inicial!K64="SI",Inicial!G64,"N/A")</f>
        <v>N/A</v>
      </c>
      <c r="H65" s="53" t="str">
        <f>IF(Inicial!K64="SI",Inicial!H64,"N/A")</f>
        <v>N/A</v>
      </c>
      <c r="I65" s="64" t="str">
        <f>IF(Inicial!K64="SI",Inicial!I64,"N/A")</f>
        <v>N/A</v>
      </c>
      <c r="J65" s="79" t="s">
        <v>394</v>
      </c>
      <c r="K65" s="6" t="s">
        <v>394</v>
      </c>
      <c r="L65" s="6" t="s">
        <v>394</v>
      </c>
      <c r="M65" s="6" t="s">
        <v>394</v>
      </c>
      <c r="N65" s="6" t="s">
        <v>394</v>
      </c>
      <c r="O65" s="6" t="s">
        <v>394</v>
      </c>
      <c r="P65" s="6" t="s">
        <v>394</v>
      </c>
      <c r="Q65" s="6" t="s">
        <v>394</v>
      </c>
      <c r="R65" s="6" t="s">
        <v>394</v>
      </c>
      <c r="S65" s="6" t="s">
        <v>394</v>
      </c>
      <c r="T65" s="6" t="s">
        <v>394</v>
      </c>
      <c r="U65" s="6" t="s">
        <v>394</v>
      </c>
      <c r="V65" s="6" t="s">
        <v>394</v>
      </c>
      <c r="W65" s="6" t="s">
        <v>394</v>
      </c>
      <c r="X65" s="6" t="s">
        <v>394</v>
      </c>
      <c r="Y65" s="6" t="s">
        <v>394</v>
      </c>
      <c r="Z65" s="6" t="s">
        <v>394</v>
      </c>
      <c r="AA65" s="6" t="s">
        <v>394</v>
      </c>
      <c r="AB65" s="6" t="s">
        <v>394</v>
      </c>
      <c r="AC65" s="6" t="s">
        <v>394</v>
      </c>
      <c r="AD65" s="88" t="str">
        <f t="shared" si="0"/>
        <v>Aceptable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37" t="str" cm="1">
        <f t="array" ref="AV65">IF(OR(AE65:AU65="SI"),"Critico","No critico")</f>
        <v>No critico</v>
      </c>
    </row>
    <row r="66" spans="1:48" ht="25.5">
      <c r="A66" s="52">
        <f>Inicial!A65</f>
        <v>63</v>
      </c>
      <c r="B66" s="53" t="str">
        <f>Inicial!B65</f>
        <v>Desposte</v>
      </c>
      <c r="C66" s="53" t="str">
        <f>Inicial!C65</f>
        <v>Operador Línea Costillar</v>
      </c>
      <c r="D66" s="54" t="str">
        <f>Inicial!D65</f>
        <v xml:space="preserve">Abastecer Línea </v>
      </c>
      <c r="E66" s="52" t="str">
        <f>IF(Inicial!K65="SI",Inicial!E65,"N/A")</f>
        <v>N/A</v>
      </c>
      <c r="F66" s="53" t="str">
        <f>IF(Inicial!K65="SI",Inicial!F65,"N/A")</f>
        <v>N/A</v>
      </c>
      <c r="G66" s="53" t="str">
        <f>IF(Inicial!K65="SI",Inicial!G65,"N/A")</f>
        <v>N/A</v>
      </c>
      <c r="H66" s="53" t="str">
        <f>IF(Inicial!K65="SI",Inicial!H65,"N/A")</f>
        <v>N/A</v>
      </c>
      <c r="I66" s="64" t="str">
        <f>IF(Inicial!K65="SI",Inicial!I65,"N/A")</f>
        <v>N/A</v>
      </c>
      <c r="J66" s="79" t="s">
        <v>394</v>
      </c>
      <c r="K66" s="6" t="s">
        <v>394</v>
      </c>
      <c r="L66" s="6" t="s">
        <v>394</v>
      </c>
      <c r="M66" s="6" t="s">
        <v>394</v>
      </c>
      <c r="N66" s="6" t="s">
        <v>394</v>
      </c>
      <c r="O66" s="6" t="s">
        <v>394</v>
      </c>
      <c r="P66" s="6" t="s">
        <v>394</v>
      </c>
      <c r="Q66" s="6" t="s">
        <v>394</v>
      </c>
      <c r="R66" s="6" t="s">
        <v>394</v>
      </c>
      <c r="S66" s="6" t="s">
        <v>394</v>
      </c>
      <c r="T66" s="6" t="s">
        <v>394</v>
      </c>
      <c r="U66" s="6" t="s">
        <v>394</v>
      </c>
      <c r="V66" s="6" t="s">
        <v>394</v>
      </c>
      <c r="W66" s="6" t="s">
        <v>394</v>
      </c>
      <c r="X66" s="6" t="s">
        <v>394</v>
      </c>
      <c r="Y66" s="6" t="s">
        <v>394</v>
      </c>
      <c r="Z66" s="6" t="s">
        <v>394</v>
      </c>
      <c r="AA66" s="6" t="s">
        <v>394</v>
      </c>
      <c r="AB66" s="6" t="s">
        <v>394</v>
      </c>
      <c r="AC66" s="6" t="s">
        <v>394</v>
      </c>
      <c r="AD66" s="88" t="str">
        <f t="shared" ref="AD66:AD125" si="1">IF(OR(J66="NO",K66="NO",L66="NO",M66="NO",N66="NO",O66="NO",P66="NO",R66="NO",S66="NO",T66="NO",U66="NO", V66="NO",W66="NO",Y66="NO",Z66="NO",AA66="NO",AB66="NO",AC66="NO"),"No aceptable","Aceptable")</f>
        <v>Aceptable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37" t="str" cm="1">
        <f t="array" ref="AV66">IF(OR(AE66:AU66="SI"),"Critico","No critico")</f>
        <v>No critico</v>
      </c>
    </row>
    <row r="67" spans="1:48" ht="25.5">
      <c r="A67" s="52">
        <f>Inicial!A66</f>
        <v>64</v>
      </c>
      <c r="B67" s="53" t="str">
        <f>Inicial!B66</f>
        <v>Desposte</v>
      </c>
      <c r="C67" s="53" t="str">
        <f>Inicial!C66</f>
        <v>Operador Línea paleta</v>
      </c>
      <c r="D67" s="54" t="str">
        <f>Inicial!D66</f>
        <v>Separación de Vetado</v>
      </c>
      <c r="E67" s="52" t="str">
        <f>IF(Inicial!K66="SI",Inicial!E66,"N/A")</f>
        <v>N/A</v>
      </c>
      <c r="F67" s="53" t="str">
        <f>IF(Inicial!K66="SI",Inicial!F66,"N/A")</f>
        <v>N/A</v>
      </c>
      <c r="G67" s="53" t="str">
        <f>IF(Inicial!K66="SI",Inicial!G66,"N/A")</f>
        <v>N/A</v>
      </c>
      <c r="H67" s="53" t="str">
        <f>IF(Inicial!K66="SI",Inicial!H66,"N/A")</f>
        <v>N/A</v>
      </c>
      <c r="I67" s="64" t="str">
        <f>IF(Inicial!K66="SI",Inicial!I66,"N/A")</f>
        <v>N/A</v>
      </c>
      <c r="J67" s="79" t="s">
        <v>394</v>
      </c>
      <c r="K67" s="6" t="s">
        <v>394</v>
      </c>
      <c r="L67" s="6" t="s">
        <v>394</v>
      </c>
      <c r="M67" s="6" t="s">
        <v>394</v>
      </c>
      <c r="N67" s="6" t="s">
        <v>394</v>
      </c>
      <c r="O67" s="6" t="s">
        <v>394</v>
      </c>
      <c r="P67" s="6" t="s">
        <v>394</v>
      </c>
      <c r="Q67" s="6" t="s">
        <v>394</v>
      </c>
      <c r="R67" s="6" t="s">
        <v>394</v>
      </c>
      <c r="S67" s="6" t="s">
        <v>394</v>
      </c>
      <c r="T67" s="6" t="s">
        <v>394</v>
      </c>
      <c r="U67" s="6" t="s">
        <v>394</v>
      </c>
      <c r="V67" s="6" t="s">
        <v>394</v>
      </c>
      <c r="W67" s="6" t="s">
        <v>394</v>
      </c>
      <c r="X67" s="6" t="s">
        <v>394</v>
      </c>
      <c r="Y67" s="6" t="s">
        <v>394</v>
      </c>
      <c r="Z67" s="6" t="s">
        <v>394</v>
      </c>
      <c r="AA67" s="6" t="s">
        <v>394</v>
      </c>
      <c r="AB67" s="6" t="s">
        <v>394</v>
      </c>
      <c r="AC67" s="6" t="s">
        <v>394</v>
      </c>
      <c r="AD67" s="88" t="str">
        <f t="shared" si="1"/>
        <v>Aceptable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37" t="str" cm="1">
        <f t="array" ref="AV67">IF(OR(AE67:AU67="SI"),"Critico","No critico")</f>
        <v>No critico</v>
      </c>
    </row>
    <row r="68" spans="1:48" ht="25.5">
      <c r="A68" s="52">
        <f>Inicial!A67</f>
        <v>65</v>
      </c>
      <c r="B68" s="53" t="str">
        <f>Inicial!B67</f>
        <v>Desposte</v>
      </c>
      <c r="C68" s="53" t="str">
        <f>Inicial!C67</f>
        <v>Operador Línea paleta</v>
      </c>
      <c r="D68" s="54" t="str">
        <f>Inicial!D67</f>
        <v>Segrega Producto</v>
      </c>
      <c r="E68" s="52" t="str">
        <f>IF(Inicial!K67="SI",Inicial!E67,"N/A")</f>
        <v>N/A</v>
      </c>
      <c r="F68" s="53" t="str">
        <f>IF(Inicial!K67="SI",Inicial!F67,"N/A")</f>
        <v>N/A</v>
      </c>
      <c r="G68" s="53" t="str">
        <f>IF(Inicial!K67="SI",Inicial!G67,"N/A")</f>
        <v>N/A</v>
      </c>
      <c r="H68" s="53" t="str">
        <f>IF(Inicial!K67="SI",Inicial!H67,"N/A")</f>
        <v>N/A</v>
      </c>
      <c r="I68" s="64" t="str">
        <f>IF(Inicial!K67="SI",Inicial!I67,"N/A")</f>
        <v>N/A</v>
      </c>
      <c r="J68" s="79" t="s">
        <v>394</v>
      </c>
      <c r="K68" s="6" t="s">
        <v>394</v>
      </c>
      <c r="L68" s="6" t="s">
        <v>394</v>
      </c>
      <c r="M68" s="6" t="s">
        <v>394</v>
      </c>
      <c r="N68" s="6" t="s">
        <v>394</v>
      </c>
      <c r="O68" s="6" t="s">
        <v>394</v>
      </c>
      <c r="P68" s="6" t="s">
        <v>394</v>
      </c>
      <c r="Q68" s="6" t="s">
        <v>394</v>
      </c>
      <c r="R68" s="6" t="s">
        <v>394</v>
      </c>
      <c r="S68" s="6" t="s">
        <v>394</v>
      </c>
      <c r="T68" s="6" t="s">
        <v>394</v>
      </c>
      <c r="U68" s="6" t="s">
        <v>394</v>
      </c>
      <c r="V68" s="6" t="s">
        <v>394</v>
      </c>
      <c r="W68" s="6" t="s">
        <v>394</v>
      </c>
      <c r="X68" s="6" t="s">
        <v>394</v>
      </c>
      <c r="Y68" s="6" t="s">
        <v>394</v>
      </c>
      <c r="Z68" s="6" t="s">
        <v>394</v>
      </c>
      <c r="AA68" s="6" t="s">
        <v>394</v>
      </c>
      <c r="AB68" s="6" t="s">
        <v>394</v>
      </c>
      <c r="AC68" s="6" t="s">
        <v>394</v>
      </c>
      <c r="AD68" s="88" t="str">
        <f t="shared" si="1"/>
        <v>Aceptable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37" t="str" cm="1">
        <f t="array" ref="AV68">IF(OR(AE68:AU68="SI"),"Critico","No critico")</f>
        <v>No critico</v>
      </c>
    </row>
    <row r="69" spans="1:48" ht="25.5">
      <c r="A69" s="52">
        <f>Inicial!A68</f>
        <v>66</v>
      </c>
      <c r="B69" s="53" t="str">
        <f>Inicial!B68</f>
        <v>Desposte</v>
      </c>
      <c r="C69" s="53" t="str">
        <f>Inicial!C68</f>
        <v>Operador Línea paleta</v>
      </c>
      <c r="D69" s="54" t="str">
        <f>Inicial!D68</f>
        <v>Papada</v>
      </c>
      <c r="E69" s="52" t="str">
        <f>IF(Inicial!K68="SI",Inicial!E68,"N/A")</f>
        <v>N/A</v>
      </c>
      <c r="F69" s="53" t="str">
        <f>IF(Inicial!K68="SI",Inicial!F68,"N/A")</f>
        <v>N/A</v>
      </c>
      <c r="G69" s="53" t="str">
        <f>IF(Inicial!K68="SI",Inicial!G68,"N/A")</f>
        <v>N/A</v>
      </c>
      <c r="H69" s="53" t="str">
        <f>IF(Inicial!K68="SI",Inicial!H68,"N/A")</f>
        <v>N/A</v>
      </c>
      <c r="I69" s="64" t="str">
        <f>IF(Inicial!K68="SI",Inicial!I68,"N/A")</f>
        <v>N/A</v>
      </c>
      <c r="J69" s="79" t="s">
        <v>394</v>
      </c>
      <c r="K69" s="6" t="s">
        <v>394</v>
      </c>
      <c r="L69" s="6" t="s">
        <v>394</v>
      </c>
      <c r="M69" s="6" t="s">
        <v>394</v>
      </c>
      <c r="N69" s="6" t="s">
        <v>394</v>
      </c>
      <c r="O69" s="6" t="s">
        <v>394</v>
      </c>
      <c r="P69" s="6" t="s">
        <v>394</v>
      </c>
      <c r="Q69" s="6" t="s">
        <v>394</v>
      </c>
      <c r="R69" s="6" t="s">
        <v>394</v>
      </c>
      <c r="S69" s="6" t="s">
        <v>394</v>
      </c>
      <c r="T69" s="6" t="s">
        <v>394</v>
      </c>
      <c r="U69" s="6" t="s">
        <v>394</v>
      </c>
      <c r="V69" s="6" t="s">
        <v>394</v>
      </c>
      <c r="W69" s="6" t="s">
        <v>394</v>
      </c>
      <c r="X69" s="6" t="s">
        <v>394</v>
      </c>
      <c r="Y69" s="6" t="s">
        <v>394</v>
      </c>
      <c r="Z69" s="6" t="s">
        <v>394</v>
      </c>
      <c r="AA69" s="6" t="s">
        <v>394</v>
      </c>
      <c r="AB69" s="6" t="s">
        <v>394</v>
      </c>
      <c r="AC69" s="6" t="s">
        <v>394</v>
      </c>
      <c r="AD69" s="88" t="str">
        <f t="shared" si="1"/>
        <v>Aceptable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37" t="str" cm="1">
        <f t="array" ref="AV69">IF(OR(AE69:AU69="SI"),"Critico","No critico")</f>
        <v>No critico</v>
      </c>
    </row>
    <row r="70" spans="1:48" ht="25.5">
      <c r="A70" s="52">
        <f>Inicial!A69</f>
        <v>67</v>
      </c>
      <c r="B70" s="53" t="str">
        <f>Inicial!B69</f>
        <v>Desposte</v>
      </c>
      <c r="C70" s="53" t="str">
        <f>Inicial!C69</f>
        <v>Operador Línea paleta</v>
      </c>
      <c r="D70" s="54" t="str">
        <f>Inicial!D69</f>
        <v>Forrero</v>
      </c>
      <c r="E70" s="52" t="str">
        <f>IF(Inicial!K69="SI",Inicial!E69,"N/A")</f>
        <v>N/A</v>
      </c>
      <c r="F70" s="53" t="str">
        <f>IF(Inicial!K69="SI",Inicial!F69,"N/A")</f>
        <v>N/A</v>
      </c>
      <c r="G70" s="53" t="str">
        <f>IF(Inicial!K69="SI",Inicial!G69,"N/A")</f>
        <v>N/A</v>
      </c>
      <c r="H70" s="53" t="str">
        <f>IF(Inicial!K69="SI",Inicial!H69,"N/A")</f>
        <v>N/A</v>
      </c>
      <c r="I70" s="64" t="str">
        <f>IF(Inicial!K69="SI",Inicial!I69,"N/A")</f>
        <v>N/A</v>
      </c>
      <c r="J70" s="79" t="s">
        <v>394</v>
      </c>
      <c r="K70" s="6" t="s">
        <v>394</v>
      </c>
      <c r="L70" s="6" t="s">
        <v>394</v>
      </c>
      <c r="M70" s="6" t="s">
        <v>394</v>
      </c>
      <c r="N70" s="6" t="s">
        <v>394</v>
      </c>
      <c r="O70" s="6" t="s">
        <v>394</v>
      </c>
      <c r="P70" s="6" t="s">
        <v>394</v>
      </c>
      <c r="Q70" s="6" t="s">
        <v>394</v>
      </c>
      <c r="R70" s="6" t="s">
        <v>394</v>
      </c>
      <c r="S70" s="6" t="s">
        <v>394</v>
      </c>
      <c r="T70" s="6" t="s">
        <v>394</v>
      </c>
      <c r="U70" s="6" t="s">
        <v>394</v>
      </c>
      <c r="V70" s="6" t="s">
        <v>394</v>
      </c>
      <c r="W70" s="6" t="s">
        <v>394</v>
      </c>
      <c r="X70" s="6" t="s">
        <v>394</v>
      </c>
      <c r="Y70" s="6" t="s">
        <v>394</v>
      </c>
      <c r="Z70" s="6" t="s">
        <v>394</v>
      </c>
      <c r="AA70" s="6" t="s">
        <v>394</v>
      </c>
      <c r="AB70" s="6" t="s">
        <v>394</v>
      </c>
      <c r="AC70" s="6" t="s">
        <v>394</v>
      </c>
      <c r="AD70" s="88" t="str">
        <f t="shared" si="1"/>
        <v>Aceptable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37" t="str" cm="1">
        <f t="array" ref="AV70">IF(OR(AE70:AU70="SI"),"Critico","No critico")</f>
        <v>No critico</v>
      </c>
    </row>
    <row r="71" spans="1:48" ht="25.5">
      <c r="A71" s="52">
        <f>Inicial!A70</f>
        <v>68</v>
      </c>
      <c r="B71" s="53" t="str">
        <f>Inicial!B70</f>
        <v>Desposte</v>
      </c>
      <c r="C71" s="53" t="str">
        <f>Inicial!C70</f>
        <v>Operador Línea paleta</v>
      </c>
      <c r="D71" s="54" t="str">
        <f>Inicial!D70</f>
        <v>Rayado</v>
      </c>
      <c r="E71" s="52" t="str">
        <f>IF(Inicial!K70="SI",Inicial!E70,"N/A")</f>
        <v>N/A</v>
      </c>
      <c r="F71" s="53" t="str">
        <f>IF(Inicial!K70="SI",Inicial!F70,"N/A")</f>
        <v>N/A</v>
      </c>
      <c r="G71" s="53" t="str">
        <f>IF(Inicial!K70="SI",Inicial!G70,"N/A")</f>
        <v>N/A</v>
      </c>
      <c r="H71" s="53" t="str">
        <f>IF(Inicial!K70="SI",Inicial!H70,"N/A")</f>
        <v>N/A</v>
      </c>
      <c r="I71" s="64" t="str">
        <f>IF(Inicial!K70="SI",Inicial!I70,"N/A")</f>
        <v>N/A</v>
      </c>
      <c r="J71" s="79" t="s">
        <v>394</v>
      </c>
      <c r="K71" s="6" t="s">
        <v>394</v>
      </c>
      <c r="L71" s="6" t="s">
        <v>394</v>
      </c>
      <c r="M71" s="6" t="s">
        <v>394</v>
      </c>
      <c r="N71" s="6" t="s">
        <v>394</v>
      </c>
      <c r="O71" s="6" t="s">
        <v>394</v>
      </c>
      <c r="P71" s="6" t="s">
        <v>394</v>
      </c>
      <c r="Q71" s="6" t="s">
        <v>394</v>
      </c>
      <c r="R71" s="6" t="s">
        <v>394</v>
      </c>
      <c r="S71" s="6" t="s">
        <v>394</v>
      </c>
      <c r="T71" s="6" t="s">
        <v>394</v>
      </c>
      <c r="U71" s="6" t="s">
        <v>394</v>
      </c>
      <c r="V71" s="6" t="s">
        <v>394</v>
      </c>
      <c r="W71" s="6" t="s">
        <v>394</v>
      </c>
      <c r="X71" s="6" t="s">
        <v>394</v>
      </c>
      <c r="Y71" s="6" t="s">
        <v>394</v>
      </c>
      <c r="Z71" s="6" t="s">
        <v>394</v>
      </c>
      <c r="AA71" s="6" t="s">
        <v>394</v>
      </c>
      <c r="AB71" s="6" t="s">
        <v>394</v>
      </c>
      <c r="AC71" s="6" t="s">
        <v>394</v>
      </c>
      <c r="AD71" s="88" t="str">
        <f t="shared" si="1"/>
        <v>Aceptable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37" t="str" cm="1">
        <f t="array" ref="AV71">IF(OR(AE71:AU71="SI"),"Critico","No critico")</f>
        <v>No critico</v>
      </c>
    </row>
    <row r="72" spans="1:48" ht="25.5">
      <c r="A72" s="52">
        <f>Inicial!A71</f>
        <v>69</v>
      </c>
      <c r="B72" s="53" t="str">
        <f>Inicial!B71</f>
        <v>Desposte</v>
      </c>
      <c r="C72" s="53" t="str">
        <f>Inicial!C71</f>
        <v>Operador Línea paleta</v>
      </c>
      <c r="D72" s="54" t="str">
        <f>Inicial!D71</f>
        <v>Cortar Plateada</v>
      </c>
      <c r="E72" s="52" t="str">
        <f>IF(Inicial!K71="SI",Inicial!E71,"N/A")</f>
        <v>N/A</v>
      </c>
      <c r="F72" s="53" t="str">
        <f>IF(Inicial!K71="SI",Inicial!F71,"N/A")</f>
        <v>N/A</v>
      </c>
      <c r="G72" s="53" t="str">
        <f>IF(Inicial!K71="SI",Inicial!G71,"N/A")</f>
        <v>N/A</v>
      </c>
      <c r="H72" s="53" t="str">
        <f>IF(Inicial!K71="SI",Inicial!H71,"N/A")</f>
        <v>N/A</v>
      </c>
      <c r="I72" s="64" t="str">
        <f>IF(Inicial!K71="SI",Inicial!I71,"N/A")</f>
        <v>N/A</v>
      </c>
      <c r="J72" s="79" t="s">
        <v>394</v>
      </c>
      <c r="K72" s="6" t="s">
        <v>394</v>
      </c>
      <c r="L72" s="6" t="s">
        <v>394</v>
      </c>
      <c r="M72" s="6" t="s">
        <v>394</v>
      </c>
      <c r="N72" s="6" t="s">
        <v>394</v>
      </c>
      <c r="O72" s="6" t="s">
        <v>394</v>
      </c>
      <c r="P72" s="6" t="s">
        <v>394</v>
      </c>
      <c r="Q72" s="6" t="s">
        <v>394</v>
      </c>
      <c r="R72" s="6" t="s">
        <v>394</v>
      </c>
      <c r="S72" s="6" t="s">
        <v>394</v>
      </c>
      <c r="T72" s="6" t="s">
        <v>394</v>
      </c>
      <c r="U72" s="6" t="s">
        <v>394</v>
      </c>
      <c r="V72" s="6" t="s">
        <v>394</v>
      </c>
      <c r="W72" s="6" t="s">
        <v>394</v>
      </c>
      <c r="X72" s="6" t="s">
        <v>394</v>
      </c>
      <c r="Y72" s="6" t="s">
        <v>394</v>
      </c>
      <c r="Z72" s="6" t="s">
        <v>394</v>
      </c>
      <c r="AA72" s="6" t="s">
        <v>394</v>
      </c>
      <c r="AB72" s="6" t="s">
        <v>394</v>
      </c>
      <c r="AC72" s="6" t="s">
        <v>394</v>
      </c>
      <c r="AD72" s="88" t="str">
        <f t="shared" si="1"/>
        <v>Aceptable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37" t="str" cm="1">
        <f t="array" ref="AV72">IF(OR(AE72:AU72="SI"),"Critico","No critico")</f>
        <v>No critico</v>
      </c>
    </row>
    <row r="73" spans="1:48" ht="25.5">
      <c r="A73" s="52">
        <f>Inicial!A72</f>
        <v>70</v>
      </c>
      <c r="B73" s="53" t="str">
        <f>Inicial!B72</f>
        <v>Desposte</v>
      </c>
      <c r="C73" s="53" t="str">
        <f>Inicial!C72</f>
        <v>Operador Línea paleta</v>
      </c>
      <c r="D73" s="54" t="str">
        <f>Inicial!D72</f>
        <v>Pistola Escapula</v>
      </c>
      <c r="E73" s="52" t="str">
        <f>IF(Inicial!K72="SI",Inicial!E72,"N/A")</f>
        <v>N/A</v>
      </c>
      <c r="F73" s="53" t="str">
        <f>IF(Inicial!K72="SI",Inicial!F72,"N/A")</f>
        <v>N/A</v>
      </c>
      <c r="G73" s="53" t="str">
        <f>IF(Inicial!K72="SI",Inicial!G72,"N/A")</f>
        <v>N/A</v>
      </c>
      <c r="H73" s="53" t="str">
        <f>IF(Inicial!K72="SI",Inicial!H72,"N/A")</f>
        <v>N/A</v>
      </c>
      <c r="I73" s="64" t="str">
        <f>IF(Inicial!K72="SI",Inicial!I72,"N/A")</f>
        <v>N/A</v>
      </c>
      <c r="J73" s="79" t="s">
        <v>394</v>
      </c>
      <c r="K73" s="6" t="s">
        <v>394</v>
      </c>
      <c r="L73" s="6" t="s">
        <v>394</v>
      </c>
      <c r="M73" s="6" t="s">
        <v>394</v>
      </c>
      <c r="N73" s="6" t="s">
        <v>394</v>
      </c>
      <c r="O73" s="6" t="s">
        <v>394</v>
      </c>
      <c r="P73" s="6" t="s">
        <v>394</v>
      </c>
      <c r="Q73" s="6" t="s">
        <v>394</v>
      </c>
      <c r="R73" s="6" t="s">
        <v>394</v>
      </c>
      <c r="S73" s="6" t="s">
        <v>394</v>
      </c>
      <c r="T73" s="6" t="s">
        <v>394</v>
      </c>
      <c r="U73" s="6" t="s">
        <v>394</v>
      </c>
      <c r="V73" s="6" t="s">
        <v>394</v>
      </c>
      <c r="W73" s="6" t="s">
        <v>394</v>
      </c>
      <c r="X73" s="6" t="s">
        <v>394</v>
      </c>
      <c r="Y73" s="6" t="s">
        <v>394</v>
      </c>
      <c r="Z73" s="6" t="s">
        <v>394</v>
      </c>
      <c r="AA73" s="6" t="s">
        <v>394</v>
      </c>
      <c r="AB73" s="6" t="s">
        <v>394</v>
      </c>
      <c r="AC73" s="6" t="s">
        <v>394</v>
      </c>
      <c r="AD73" s="88" t="str">
        <f t="shared" si="1"/>
        <v>Aceptable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37" t="str" cm="1">
        <f t="array" ref="AV73">IF(OR(AE73:AU73="SI"),"Critico","No critico")</f>
        <v>No critico</v>
      </c>
    </row>
    <row r="74" spans="1:48" ht="25.5">
      <c r="A74" s="52">
        <f>Inicial!A73</f>
        <v>71</v>
      </c>
      <c r="B74" s="53" t="str">
        <f>Inicial!B73</f>
        <v>Desposte</v>
      </c>
      <c r="C74" s="53" t="str">
        <f>Inicial!C73</f>
        <v>Operador Línea paleta</v>
      </c>
      <c r="D74" s="54" t="str">
        <f>Inicial!D73</f>
        <v>Deshuesado Escapula</v>
      </c>
      <c r="E74" s="52" t="str">
        <f>IF(Inicial!K73="SI",Inicial!E73,"N/A")</f>
        <v>06:30 14:50 / 17:30 a 02:50</v>
      </c>
      <c r="F74" s="53">
        <f>IF(Inicial!K73="SI",Inicial!F73,"N/A")</f>
        <v>1</v>
      </c>
      <c r="G74" s="53">
        <f>IF(Inicial!K73="SI",Inicial!G73,"N/A")</f>
        <v>6</v>
      </c>
      <c r="H74" s="53">
        <f>IF(Inicial!K73="SI",Inicial!H73,"N/A")</f>
        <v>32</v>
      </c>
      <c r="I74" s="64">
        <f>IF(Inicial!K73="SI",Inicial!I73,"N/A")</f>
        <v>0</v>
      </c>
      <c r="J74" s="79" t="s">
        <v>394</v>
      </c>
      <c r="K74" s="6" t="s">
        <v>394</v>
      </c>
      <c r="L74" s="6" t="s">
        <v>394</v>
      </c>
      <c r="M74" s="6" t="s">
        <v>394</v>
      </c>
      <c r="N74" s="6" t="s">
        <v>394</v>
      </c>
      <c r="O74" s="6" t="s">
        <v>394</v>
      </c>
      <c r="P74" s="6" t="s">
        <v>394</v>
      </c>
      <c r="Q74" s="6" t="s">
        <v>394</v>
      </c>
      <c r="R74" s="6" t="s">
        <v>394</v>
      </c>
      <c r="S74" s="6" t="s">
        <v>394</v>
      </c>
      <c r="T74" s="6" t="s">
        <v>394</v>
      </c>
      <c r="U74" s="6" t="s">
        <v>394</v>
      </c>
      <c r="V74" s="6" t="s">
        <v>394</v>
      </c>
      <c r="W74" s="6" t="s">
        <v>394</v>
      </c>
      <c r="X74" s="6" t="s">
        <v>394</v>
      </c>
      <c r="Y74" s="6" t="s">
        <v>394</v>
      </c>
      <c r="Z74" s="6" t="s">
        <v>394</v>
      </c>
      <c r="AA74" s="6" t="s">
        <v>394</v>
      </c>
      <c r="AB74" s="6" t="s">
        <v>394</v>
      </c>
      <c r="AC74" s="6" t="s">
        <v>394</v>
      </c>
      <c r="AD74" s="88" t="str">
        <f t="shared" si="1"/>
        <v>Aceptable</v>
      </c>
      <c r="AE74" s="6" t="s">
        <v>64</v>
      </c>
      <c r="AF74" s="6" t="s">
        <v>64</v>
      </c>
      <c r="AG74" s="6" t="s">
        <v>63</v>
      </c>
      <c r="AH74" s="6" t="s">
        <v>64</v>
      </c>
      <c r="AI74" s="6" t="s">
        <v>64</v>
      </c>
      <c r="AJ74" s="6" t="s">
        <v>63</v>
      </c>
      <c r="AK74" s="6" t="s">
        <v>64</v>
      </c>
      <c r="AL74" s="6" t="s">
        <v>64</v>
      </c>
      <c r="AM74" s="6" t="s">
        <v>64</v>
      </c>
      <c r="AN74" s="6" t="s">
        <v>64</v>
      </c>
      <c r="AO74" s="6" t="s">
        <v>64</v>
      </c>
      <c r="AP74" s="6" t="s">
        <v>64</v>
      </c>
      <c r="AQ74" s="6" t="s">
        <v>64</v>
      </c>
      <c r="AR74" s="6" t="s">
        <v>64</v>
      </c>
      <c r="AS74" s="6" t="s">
        <v>64</v>
      </c>
      <c r="AT74" s="6" t="s">
        <v>64</v>
      </c>
      <c r="AU74" s="6" t="s">
        <v>64</v>
      </c>
      <c r="AV74" s="37" t="str" cm="1">
        <f t="array" ref="AV74">IF(OR(AE74:AU74="SI"),"Critico","No critico")</f>
        <v>Critico</v>
      </c>
    </row>
    <row r="75" spans="1:48" ht="25.5">
      <c r="A75" s="52">
        <f>Inicial!A74</f>
        <v>72</v>
      </c>
      <c r="B75" s="53" t="str">
        <f>Inicial!B74</f>
        <v>Desposte</v>
      </c>
      <c r="C75" s="53" t="str">
        <f>Inicial!C74</f>
        <v>Operador Línea paleta</v>
      </c>
      <c r="D75" s="54" t="str">
        <f>Inicial!D74</f>
        <v>Deshuesado Humero</v>
      </c>
      <c r="E75" s="52" t="str">
        <f>IF(Inicial!K74="SI",Inicial!E74,"N/A")</f>
        <v>N/A</v>
      </c>
      <c r="F75" s="53" t="str">
        <f>IF(Inicial!K74="SI",Inicial!F74,"N/A")</f>
        <v>N/A</v>
      </c>
      <c r="G75" s="53" t="str">
        <f>IF(Inicial!K74="SI",Inicial!G74,"N/A")</f>
        <v>N/A</v>
      </c>
      <c r="H75" s="53" t="str">
        <f>IF(Inicial!K74="SI",Inicial!H74,"N/A")</f>
        <v>N/A</v>
      </c>
      <c r="I75" s="64" t="str">
        <f>IF(Inicial!K74="SI",Inicial!I74,"N/A")</f>
        <v>N/A</v>
      </c>
      <c r="K75" s="6"/>
      <c r="L75" s="6"/>
      <c r="M75" s="6"/>
      <c r="N75" s="6"/>
      <c r="O75" s="6"/>
      <c r="P75" s="83"/>
      <c r="Q75" s="79"/>
      <c r="R75" s="6"/>
      <c r="S75" s="6"/>
      <c r="T75" s="6"/>
      <c r="U75" s="6"/>
      <c r="V75" s="6"/>
      <c r="W75" s="80"/>
      <c r="X75" s="79"/>
      <c r="Y75" s="6"/>
      <c r="Z75" s="6"/>
      <c r="AA75" s="6"/>
      <c r="AB75" s="6"/>
      <c r="AC75" s="80"/>
      <c r="AD75" s="88" t="str">
        <f t="shared" si="1"/>
        <v>Aceptable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37" t="str" cm="1">
        <f t="array" ref="AV75">IF(OR(AE75:AU75="SI"),"Critico","No critico")</f>
        <v>No critico</v>
      </c>
    </row>
    <row r="76" spans="1:48" ht="25.5">
      <c r="A76" s="52">
        <f>Inicial!A75</f>
        <v>73</v>
      </c>
      <c r="B76" s="53" t="str">
        <f>Inicial!B75</f>
        <v>Desposte</v>
      </c>
      <c r="C76" s="53" t="str">
        <f>Inicial!C75</f>
        <v>Operador Línea paleta</v>
      </c>
      <c r="D76" s="54" t="str">
        <f>Inicial!D75</f>
        <v>Embolsado</v>
      </c>
      <c r="E76" s="52" t="str">
        <f>IF(Inicial!K75="SI",Inicial!E75,"N/A")</f>
        <v>N/A</v>
      </c>
      <c r="F76" s="53" t="str">
        <f>IF(Inicial!K75="SI",Inicial!F75,"N/A")</f>
        <v>N/A</v>
      </c>
      <c r="G76" s="53" t="str">
        <f>IF(Inicial!K75="SI",Inicial!G75,"N/A")</f>
        <v>N/A</v>
      </c>
      <c r="H76" s="53" t="str">
        <f>IF(Inicial!K75="SI",Inicial!H75,"N/A")</f>
        <v>N/A</v>
      </c>
      <c r="I76" s="64" t="str">
        <f>IF(Inicial!K75="SI",Inicial!I75,"N/A")</f>
        <v>N/A</v>
      </c>
      <c r="K76" s="6"/>
      <c r="L76" s="6"/>
      <c r="M76" s="6"/>
      <c r="N76" s="6"/>
      <c r="O76" s="6"/>
      <c r="P76" s="83"/>
      <c r="Q76" s="79"/>
      <c r="R76" s="6"/>
      <c r="S76" s="6"/>
      <c r="T76" s="6"/>
      <c r="U76" s="6"/>
      <c r="V76" s="6"/>
      <c r="W76" s="80"/>
      <c r="X76" s="79"/>
      <c r="Y76" s="6"/>
      <c r="Z76" s="6"/>
      <c r="AA76" s="6"/>
      <c r="AB76" s="6"/>
      <c r="AC76" s="80"/>
      <c r="AD76" s="88" t="str">
        <f t="shared" si="1"/>
        <v>Aceptable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37" t="str" cm="1">
        <f t="array" ref="AV76">IF(OR(AE76:AU76="SI"),"Critico","No critico")</f>
        <v>No critico</v>
      </c>
    </row>
    <row r="77" spans="1:48" ht="25.5">
      <c r="A77" s="52">
        <f>Inicial!A76</f>
        <v>74</v>
      </c>
      <c r="B77" s="53" t="str">
        <f>Inicial!B76</f>
        <v>Desposte</v>
      </c>
      <c r="C77" s="53" t="str">
        <f>Inicial!C76</f>
        <v>Operador Línea paleta</v>
      </c>
      <c r="D77" s="54" t="str">
        <f>Inicial!D76</f>
        <v>Prolijado</v>
      </c>
      <c r="E77" s="52" t="str">
        <f>IF(Inicial!K76="SI",Inicial!E76,"N/A")</f>
        <v>N/A</v>
      </c>
      <c r="F77" s="53" t="str">
        <f>IF(Inicial!K76="SI",Inicial!F76,"N/A")</f>
        <v>N/A</v>
      </c>
      <c r="G77" s="53" t="str">
        <f>IF(Inicial!K76="SI",Inicial!G76,"N/A")</f>
        <v>N/A</v>
      </c>
      <c r="H77" s="53" t="str">
        <f>IF(Inicial!K76="SI",Inicial!H76,"N/A")</f>
        <v>N/A</v>
      </c>
      <c r="I77" s="64" t="str">
        <f>IF(Inicial!K76="SI",Inicial!I76,"N/A")</f>
        <v>N/A</v>
      </c>
      <c r="K77" s="6"/>
      <c r="L77" s="6"/>
      <c r="M77" s="6"/>
      <c r="N77" s="6"/>
      <c r="O77" s="6"/>
      <c r="P77" s="83"/>
      <c r="Q77" s="79"/>
      <c r="R77" s="6"/>
      <c r="S77" s="6"/>
      <c r="T77" s="6"/>
      <c r="U77" s="6"/>
      <c r="V77" s="6"/>
      <c r="W77" s="80"/>
      <c r="X77" s="79"/>
      <c r="Y77" s="6"/>
      <c r="Z77" s="6"/>
      <c r="AA77" s="6"/>
      <c r="AB77" s="6"/>
      <c r="AC77" s="80"/>
      <c r="AD77" s="88" t="str">
        <f t="shared" si="1"/>
        <v>Aceptable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37" t="str" cm="1">
        <f t="array" ref="AV77">IF(OR(AE77:AU77="SI"),"Critico","No critico")</f>
        <v>No critico</v>
      </c>
    </row>
    <row r="78" spans="1:48" ht="25.5">
      <c r="A78" s="52">
        <f>Inicial!A77</f>
        <v>75</v>
      </c>
      <c r="B78" s="53" t="str">
        <f>Inicial!B77</f>
        <v>Desposte</v>
      </c>
      <c r="C78" s="53" t="str">
        <f>Inicial!C77</f>
        <v>Operador LíneaVetado</v>
      </c>
      <c r="D78" s="54" t="str">
        <f>Inicial!D77</f>
        <v xml:space="preserve">Abastecer máquina </v>
      </c>
      <c r="E78" s="52" t="str">
        <f>IF(Inicial!K77="SI",Inicial!E77,"N/A")</f>
        <v>N/A</v>
      </c>
      <c r="F78" s="53" t="str">
        <f>IF(Inicial!K77="SI",Inicial!F77,"N/A")</f>
        <v>N/A</v>
      </c>
      <c r="G78" s="53" t="str">
        <f>IF(Inicial!K77="SI",Inicial!G77,"N/A")</f>
        <v>N/A</v>
      </c>
      <c r="H78" s="53" t="str">
        <f>IF(Inicial!K77="SI",Inicial!H77,"N/A")</f>
        <v>N/A</v>
      </c>
      <c r="I78" s="64" t="str">
        <f>IF(Inicial!K77="SI",Inicial!I77,"N/A")</f>
        <v>N/A</v>
      </c>
      <c r="K78" s="6"/>
      <c r="L78" s="6"/>
      <c r="M78" s="6"/>
      <c r="N78" s="6"/>
      <c r="O78" s="6"/>
      <c r="P78" s="83"/>
      <c r="Q78" s="79"/>
      <c r="R78" s="6"/>
      <c r="S78" s="6"/>
      <c r="T78" s="6"/>
      <c r="U78" s="6"/>
      <c r="V78" s="6"/>
      <c r="W78" s="80"/>
      <c r="X78" s="79"/>
      <c r="Y78" s="6"/>
      <c r="Z78" s="6"/>
      <c r="AA78" s="6"/>
      <c r="AB78" s="6"/>
      <c r="AC78" s="80"/>
      <c r="AD78" s="88" t="str">
        <f t="shared" si="1"/>
        <v>Aceptable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37" t="str" cm="1">
        <f t="array" ref="AV78">IF(OR(AE78:AU78="SI"),"Critico","No critico")</f>
        <v>No critico</v>
      </c>
    </row>
    <row r="79" spans="1:48" ht="25.5">
      <c r="A79" s="52">
        <f>Inicial!A78</f>
        <v>76</v>
      </c>
      <c r="B79" s="53" t="str">
        <f>Inicial!B78</f>
        <v>Desposte</v>
      </c>
      <c r="C79" s="53" t="str">
        <f>Inicial!C78</f>
        <v>Operador LíneaVetado</v>
      </c>
      <c r="D79" s="54" t="str">
        <f>Inicial!D78</f>
        <v>Punta Costilla</v>
      </c>
      <c r="E79" s="52" t="str">
        <f>IF(Inicial!K78="SI",Inicial!E78,"N/A")</f>
        <v>N/A</v>
      </c>
      <c r="F79" s="53" t="str">
        <f>IF(Inicial!K78="SI",Inicial!F78,"N/A")</f>
        <v>N/A</v>
      </c>
      <c r="G79" s="53" t="str">
        <f>IF(Inicial!K78="SI",Inicial!G78,"N/A")</f>
        <v>N/A</v>
      </c>
      <c r="H79" s="53" t="str">
        <f>IF(Inicial!K78="SI",Inicial!H78,"N/A")</f>
        <v>N/A</v>
      </c>
      <c r="I79" s="64" t="str">
        <f>IF(Inicial!K78="SI",Inicial!I78,"N/A")</f>
        <v>N/A</v>
      </c>
      <c r="K79" s="6"/>
      <c r="L79" s="6"/>
      <c r="M79" s="6"/>
      <c r="N79" s="6"/>
      <c r="O79" s="6"/>
      <c r="P79" s="83"/>
      <c r="Q79" s="79"/>
      <c r="R79" s="6"/>
      <c r="S79" s="6"/>
      <c r="T79" s="6"/>
      <c r="U79" s="6"/>
      <c r="V79" s="6"/>
      <c r="W79" s="80"/>
      <c r="X79" s="79"/>
      <c r="Y79" s="6"/>
      <c r="Z79" s="6"/>
      <c r="AA79" s="6"/>
      <c r="AB79" s="6"/>
      <c r="AC79" s="80"/>
      <c r="AD79" s="88" t="str">
        <f t="shared" si="1"/>
        <v>Aceptable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37" t="str" cm="1">
        <f t="array" ref="AV79">IF(OR(AE79:AU79="SI"),"Critico","No critico")</f>
        <v>No critico</v>
      </c>
    </row>
    <row r="80" spans="1:48" ht="25.5">
      <c r="A80" s="52">
        <f>Inicial!A79</f>
        <v>77</v>
      </c>
      <c r="B80" s="53" t="str">
        <f>Inicial!B79</f>
        <v>Desposte</v>
      </c>
      <c r="C80" s="53" t="str">
        <f>Inicial!C79</f>
        <v>Operador LíneaVetado</v>
      </c>
      <c r="D80" s="54" t="str">
        <f>Inicial!D79</f>
        <v xml:space="preserve">Hueso Externón </v>
      </c>
      <c r="E80" s="52" t="str">
        <f>IF(Inicial!K79="SI",Inicial!E79,"N/A")</f>
        <v>N/A</v>
      </c>
      <c r="F80" s="53" t="str">
        <f>IF(Inicial!K79="SI",Inicial!F79,"N/A")</f>
        <v>N/A</v>
      </c>
      <c r="G80" s="53" t="str">
        <f>IF(Inicial!K79="SI",Inicial!G79,"N/A")</f>
        <v>N/A</v>
      </c>
      <c r="H80" s="53" t="str">
        <f>IF(Inicial!K79="SI",Inicial!H79,"N/A")</f>
        <v>N/A</v>
      </c>
      <c r="I80" s="64" t="str">
        <f>IF(Inicial!K79="SI",Inicial!I79,"N/A")</f>
        <v>N/A</v>
      </c>
      <c r="K80" s="6"/>
      <c r="L80" s="6"/>
      <c r="M80" s="6"/>
      <c r="N80" s="6"/>
      <c r="O80" s="6"/>
      <c r="P80" s="83"/>
      <c r="Q80" s="79"/>
      <c r="R80" s="6"/>
      <c r="S80" s="6"/>
      <c r="T80" s="6"/>
      <c r="U80" s="6"/>
      <c r="V80" s="6"/>
      <c r="W80" s="80"/>
      <c r="X80" s="79"/>
      <c r="Y80" s="6"/>
      <c r="Z80" s="6"/>
      <c r="AA80" s="6"/>
      <c r="AB80" s="6"/>
      <c r="AC80" s="80"/>
      <c r="AD80" s="88" t="str">
        <f t="shared" si="1"/>
        <v>Aceptable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ht="25.5">
      <c r="A81" s="52">
        <f>Inicial!A80</f>
        <v>78</v>
      </c>
      <c r="B81" s="53" t="str">
        <f>Inicial!B80</f>
        <v>Desposte</v>
      </c>
      <c r="C81" s="53" t="str">
        <f>Inicial!C80</f>
        <v>Operador LíneaVetado</v>
      </c>
      <c r="D81" s="54" t="str">
        <f>Inicial!D80</f>
        <v>Costillita</v>
      </c>
      <c r="E81" s="52" t="str">
        <f>IF(Inicial!K80="SI",Inicial!E80,"N/A")</f>
        <v>N/A</v>
      </c>
      <c r="F81" s="53" t="str">
        <f>IF(Inicial!K80="SI",Inicial!F80,"N/A")</f>
        <v>N/A</v>
      </c>
      <c r="G81" s="53" t="str">
        <f>IF(Inicial!K80="SI",Inicial!G80,"N/A")</f>
        <v>N/A</v>
      </c>
      <c r="H81" s="53" t="str">
        <f>IF(Inicial!K80="SI",Inicial!H80,"N/A")</f>
        <v>N/A</v>
      </c>
      <c r="I81" s="64" t="str">
        <f>IF(Inicial!K80="SI",Inicial!I80,"N/A")</f>
        <v>N/A</v>
      </c>
      <c r="K81" s="6"/>
      <c r="L81" s="6"/>
      <c r="M81" s="6"/>
      <c r="N81" s="6"/>
      <c r="O81" s="6"/>
      <c r="P81" s="83"/>
      <c r="Q81" s="79"/>
      <c r="R81" s="6"/>
      <c r="S81" s="6"/>
      <c r="T81" s="6"/>
      <c r="U81" s="6"/>
      <c r="V81" s="6"/>
      <c r="W81" s="80"/>
      <c r="X81" s="79"/>
      <c r="Y81" s="6"/>
      <c r="Z81" s="6"/>
      <c r="AA81" s="6"/>
      <c r="AB81" s="6"/>
      <c r="AC81" s="80"/>
      <c r="AD81" s="88" t="str">
        <f t="shared" si="1"/>
        <v>Aceptable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ht="25.5">
      <c r="A82" s="52">
        <f>Inicial!A81</f>
        <v>79</v>
      </c>
      <c r="B82" s="53" t="str">
        <f>Inicial!B81</f>
        <v>Desposte</v>
      </c>
      <c r="C82" s="53" t="str">
        <f>Inicial!C81</f>
        <v>Operador LíneaVetado</v>
      </c>
      <c r="D82" s="54" t="str">
        <f>Inicial!D81</f>
        <v>Prolijado de Papada</v>
      </c>
      <c r="E82" s="52" t="str">
        <f>IF(Inicial!K81="SI",Inicial!E81,"N/A")</f>
        <v>N/A</v>
      </c>
      <c r="F82" s="53" t="str">
        <f>IF(Inicial!K81="SI",Inicial!F81,"N/A")</f>
        <v>N/A</v>
      </c>
      <c r="G82" s="53" t="str">
        <f>IF(Inicial!K81="SI",Inicial!G81,"N/A")</f>
        <v>N/A</v>
      </c>
      <c r="H82" s="53" t="str">
        <f>IF(Inicial!K81="SI",Inicial!H81,"N/A")</f>
        <v>N/A</v>
      </c>
      <c r="I82" s="64" t="str">
        <f>IF(Inicial!K81="SI",Inicial!I81,"N/A")</f>
        <v>N/A</v>
      </c>
      <c r="K82" s="6"/>
      <c r="L82" s="6"/>
      <c r="M82" s="6"/>
      <c r="N82" s="6"/>
      <c r="O82" s="6"/>
      <c r="P82" s="83"/>
      <c r="Q82" s="79"/>
      <c r="R82" s="6"/>
      <c r="S82" s="6"/>
      <c r="T82" s="6"/>
      <c r="U82" s="6"/>
      <c r="V82" s="6"/>
      <c r="W82" s="80"/>
      <c r="X82" s="79"/>
      <c r="Y82" s="6"/>
      <c r="Z82" s="6"/>
      <c r="AA82" s="6"/>
      <c r="AB82" s="6"/>
      <c r="AC82" s="80"/>
      <c r="AD82" s="88" t="str">
        <f t="shared" si="1"/>
        <v>Aceptable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ht="25.5">
      <c r="A83" s="52">
        <f>Inicial!A82</f>
        <v>80</v>
      </c>
      <c r="B83" s="53" t="str">
        <f>Inicial!B82</f>
        <v>Desposte</v>
      </c>
      <c r="C83" s="53" t="str">
        <f>Inicial!C82</f>
        <v>Operador LíneaVetado</v>
      </c>
      <c r="D83" s="54" t="str">
        <f>Inicial!D82</f>
        <v>Ganglios</v>
      </c>
      <c r="E83" s="52" t="str">
        <f>IF(Inicial!K82="SI",Inicial!E82,"N/A")</f>
        <v>N/A</v>
      </c>
      <c r="F83" s="53" t="str">
        <f>IF(Inicial!K82="SI",Inicial!F82,"N/A")</f>
        <v>N/A</v>
      </c>
      <c r="G83" s="53" t="str">
        <f>IF(Inicial!K82="SI",Inicial!G82,"N/A")</f>
        <v>N/A</v>
      </c>
      <c r="H83" s="53" t="str">
        <f>IF(Inicial!K82="SI",Inicial!H82,"N/A")</f>
        <v>N/A</v>
      </c>
      <c r="I83" s="64" t="str">
        <f>IF(Inicial!K82="SI",Inicial!I82,"N/A")</f>
        <v>N/A</v>
      </c>
      <c r="K83" s="6"/>
      <c r="L83" s="6"/>
      <c r="M83" s="6"/>
      <c r="N83" s="6"/>
      <c r="O83" s="6"/>
      <c r="P83" s="83"/>
      <c r="Q83" s="79"/>
      <c r="R83" s="6"/>
      <c r="S83" s="6"/>
      <c r="T83" s="6"/>
      <c r="U83" s="6"/>
      <c r="V83" s="6"/>
      <c r="W83" s="80"/>
      <c r="X83" s="79"/>
      <c r="Y83" s="6"/>
      <c r="Z83" s="6"/>
      <c r="AA83" s="6"/>
      <c r="AB83" s="6"/>
      <c r="AC83" s="80"/>
      <c r="AD83" s="88" t="str">
        <f t="shared" si="1"/>
        <v>Aceptable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ht="25.5">
      <c r="A84" s="52">
        <f>Inicial!A83</f>
        <v>81</v>
      </c>
      <c r="B84" s="53" t="str">
        <f>Inicial!B83</f>
        <v>Desposte</v>
      </c>
      <c r="C84" s="53" t="str">
        <f>Inicial!C83</f>
        <v>Operador LíneaVetado</v>
      </c>
      <c r="D84" s="54" t="str">
        <f>Inicial!D83</f>
        <v>Deshuesado de Chuleta</v>
      </c>
      <c r="E84" s="52" t="str">
        <f>IF(Inicial!K83="SI",Inicial!E83,"N/A")</f>
        <v>N/A</v>
      </c>
      <c r="F84" s="53" t="str">
        <f>IF(Inicial!K83="SI",Inicial!F83,"N/A")</f>
        <v>N/A</v>
      </c>
      <c r="G84" s="53" t="str">
        <f>IF(Inicial!K83="SI",Inicial!G83,"N/A")</f>
        <v>N/A</v>
      </c>
      <c r="H84" s="53" t="str">
        <f>IF(Inicial!K83="SI",Inicial!H83,"N/A")</f>
        <v>N/A</v>
      </c>
      <c r="I84" s="64" t="str">
        <f>IF(Inicial!K83="SI",Inicial!I83,"N/A")</f>
        <v>N/A</v>
      </c>
      <c r="K84" s="6"/>
      <c r="L84" s="6"/>
      <c r="M84" s="6"/>
      <c r="N84" s="6"/>
      <c r="O84" s="6"/>
      <c r="P84" s="83"/>
      <c r="Q84" s="79"/>
      <c r="R84" s="6"/>
      <c r="S84" s="6"/>
      <c r="T84" s="6"/>
      <c r="U84" s="6"/>
      <c r="V84" s="6"/>
      <c r="W84" s="80"/>
      <c r="X84" s="79"/>
      <c r="Y84" s="6"/>
      <c r="Z84" s="6"/>
      <c r="AA84" s="6"/>
      <c r="AB84" s="6"/>
      <c r="AC84" s="80"/>
      <c r="AD84" s="88" t="str">
        <f t="shared" si="1"/>
        <v>Aceptable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ht="25.5">
      <c r="A85" s="52">
        <f>Inicial!A84</f>
        <v>82</v>
      </c>
      <c r="B85" s="53" t="str">
        <f>Inicial!B84</f>
        <v>Desposte</v>
      </c>
      <c r="C85" s="53" t="str">
        <f>Inicial!C84</f>
        <v>Operador LíneaVetado</v>
      </c>
      <c r="D85" s="54" t="str">
        <f>Inicial!D84</f>
        <v>Embalado de hueso</v>
      </c>
      <c r="E85" s="52" t="str">
        <f>IF(Inicial!K84="SI",Inicial!E84,"N/A")</f>
        <v>N/A</v>
      </c>
      <c r="F85" s="53" t="str">
        <f>IF(Inicial!K84="SI",Inicial!F84,"N/A")</f>
        <v>N/A</v>
      </c>
      <c r="G85" s="53" t="str">
        <f>IF(Inicial!K84="SI",Inicial!G84,"N/A")</f>
        <v>N/A</v>
      </c>
      <c r="H85" s="53" t="str">
        <f>IF(Inicial!K84="SI",Inicial!H84,"N/A")</f>
        <v>N/A</v>
      </c>
      <c r="I85" s="64" t="str">
        <f>IF(Inicial!K84="SI",Inicial!I84,"N/A")</f>
        <v>N/A</v>
      </c>
      <c r="K85" s="6"/>
      <c r="L85" s="6"/>
      <c r="M85" s="6"/>
      <c r="N85" s="6"/>
      <c r="O85" s="6"/>
      <c r="P85" s="83"/>
      <c r="Q85" s="79"/>
      <c r="R85" s="6"/>
      <c r="S85" s="6"/>
      <c r="T85" s="6"/>
      <c r="U85" s="6"/>
      <c r="V85" s="6"/>
      <c r="W85" s="80"/>
      <c r="X85" s="79"/>
      <c r="Y85" s="6"/>
      <c r="Z85" s="6"/>
      <c r="AA85" s="6"/>
      <c r="AB85" s="6"/>
      <c r="AC85" s="80"/>
      <c r="AD85" s="88" t="str">
        <f t="shared" si="1"/>
        <v>Aceptable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ht="25.5">
      <c r="A86" s="52">
        <f>Inicial!A85</f>
        <v>83</v>
      </c>
      <c r="B86" s="53" t="str">
        <f>Inicial!B85</f>
        <v>Desposte</v>
      </c>
      <c r="C86" s="53" t="str">
        <f>Inicial!C85</f>
        <v>Operador LíneaVetado</v>
      </c>
      <c r="D86" s="54" t="str">
        <f>Inicial!D85</f>
        <v xml:space="preserve">extracción Cinta de Despunte </v>
      </c>
      <c r="E86" s="52" t="str">
        <f>IF(Inicial!K85="SI",Inicial!E85,"N/A")</f>
        <v>N/A</v>
      </c>
      <c r="F86" s="53" t="str">
        <f>IF(Inicial!K85="SI",Inicial!F85,"N/A")</f>
        <v>N/A</v>
      </c>
      <c r="G86" s="53" t="str">
        <f>IF(Inicial!K85="SI",Inicial!G85,"N/A")</f>
        <v>N/A</v>
      </c>
      <c r="H86" s="53" t="str">
        <f>IF(Inicial!K85="SI",Inicial!H85,"N/A")</f>
        <v>N/A</v>
      </c>
      <c r="I86" s="64" t="str">
        <f>IF(Inicial!K85="SI",Inicial!I85,"N/A")</f>
        <v>N/A</v>
      </c>
      <c r="K86" s="6"/>
      <c r="L86" s="6"/>
      <c r="M86" s="6"/>
      <c r="N86" s="6"/>
      <c r="O86" s="6"/>
      <c r="P86" s="83"/>
      <c r="Q86" s="79"/>
      <c r="R86" s="6"/>
      <c r="S86" s="6"/>
      <c r="T86" s="6"/>
      <c r="U86" s="6"/>
      <c r="V86" s="6"/>
      <c r="W86" s="80"/>
      <c r="X86" s="79"/>
      <c r="Y86" s="6"/>
      <c r="Z86" s="6"/>
      <c r="AA86" s="6"/>
      <c r="AB86" s="6"/>
      <c r="AC86" s="80"/>
      <c r="AD86" s="88" t="str">
        <f t="shared" si="1"/>
        <v>Aceptable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ht="25.5">
      <c r="A87" s="52">
        <f>Inicial!A86</f>
        <v>84</v>
      </c>
      <c r="B87" s="53" t="str">
        <f>Inicial!B86</f>
        <v>Desposte</v>
      </c>
      <c r="C87" s="53" t="str">
        <f>Inicial!C86</f>
        <v>Operador LíneaVetado</v>
      </c>
      <c r="D87" s="54" t="str">
        <f>Inicial!D86</f>
        <v>Prolijado Cartilago Hueso</v>
      </c>
      <c r="E87" s="52" t="str">
        <f>IF(Inicial!K86="SI",Inicial!E86,"N/A")</f>
        <v>N/A</v>
      </c>
      <c r="F87" s="53" t="str">
        <f>IF(Inicial!K86="SI",Inicial!F86,"N/A")</f>
        <v>N/A</v>
      </c>
      <c r="G87" s="53" t="str">
        <f>IF(Inicial!K86="SI",Inicial!G86,"N/A")</f>
        <v>N/A</v>
      </c>
      <c r="H87" s="53" t="str">
        <f>IF(Inicial!K86="SI",Inicial!H86,"N/A")</f>
        <v>N/A</v>
      </c>
      <c r="I87" s="64" t="str">
        <f>IF(Inicial!K86="SI",Inicial!I86,"N/A")</f>
        <v>N/A</v>
      </c>
      <c r="K87" s="6"/>
      <c r="L87" s="6"/>
      <c r="M87" s="6"/>
      <c r="N87" s="6"/>
      <c r="O87" s="6"/>
      <c r="P87" s="83"/>
      <c r="Q87" s="79"/>
      <c r="R87" s="6"/>
      <c r="S87" s="6"/>
      <c r="T87" s="6"/>
      <c r="U87" s="6"/>
      <c r="V87" s="6"/>
      <c r="W87" s="80"/>
      <c r="X87" s="79"/>
      <c r="Y87" s="6"/>
      <c r="Z87" s="6"/>
      <c r="AA87" s="6"/>
      <c r="AB87" s="6"/>
      <c r="AC87" s="80"/>
      <c r="AD87" s="88" t="str">
        <f t="shared" si="1"/>
        <v>Aceptable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ht="25.5">
      <c r="A88" s="52">
        <f>Inicial!A87</f>
        <v>85</v>
      </c>
      <c r="B88" s="53" t="str">
        <f>Inicial!B87</f>
        <v>Desposte</v>
      </c>
      <c r="C88" s="53" t="str">
        <f>Inicial!C87</f>
        <v>Operador LíneaVetado</v>
      </c>
      <c r="D88" s="54" t="str">
        <f>Inicial!D87</f>
        <v>Prolijado Carne Longaniza</v>
      </c>
      <c r="E88" s="52" t="str">
        <f>IF(Inicial!K87="SI",Inicial!E87,"N/A")</f>
        <v>N/A</v>
      </c>
      <c r="F88" s="53" t="str">
        <f>IF(Inicial!K87="SI",Inicial!F87,"N/A")</f>
        <v>N/A</v>
      </c>
      <c r="G88" s="53" t="str">
        <f>IF(Inicial!K87="SI",Inicial!G87,"N/A")</f>
        <v>N/A</v>
      </c>
      <c r="H88" s="53" t="str">
        <f>IF(Inicial!K87="SI",Inicial!H87,"N/A")</f>
        <v>N/A</v>
      </c>
      <c r="I88" s="64" t="str">
        <f>IF(Inicial!K87="SI",Inicial!I87,"N/A")</f>
        <v>N/A</v>
      </c>
      <c r="K88" s="6"/>
      <c r="L88" s="6"/>
      <c r="M88" s="6"/>
      <c r="N88" s="6"/>
      <c r="O88" s="6"/>
      <c r="P88" s="83"/>
      <c r="Q88" s="79"/>
      <c r="R88" s="6"/>
      <c r="S88" s="6"/>
      <c r="T88" s="6"/>
      <c r="U88" s="6"/>
      <c r="V88" s="6"/>
      <c r="W88" s="80"/>
      <c r="X88" s="79"/>
      <c r="Y88" s="6"/>
      <c r="Z88" s="6"/>
      <c r="AA88" s="6"/>
      <c r="AB88" s="6"/>
      <c r="AC88" s="80"/>
      <c r="AD88" s="88" t="str">
        <f t="shared" si="1"/>
        <v>Aceptable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ht="25.5">
      <c r="A89" s="52">
        <f>Inicial!A88</f>
        <v>86</v>
      </c>
      <c r="B89" s="53" t="str">
        <f>Inicial!B88</f>
        <v>Desposte</v>
      </c>
      <c r="C89" s="53" t="str">
        <f>Inicial!C88</f>
        <v>Operador LíneaVetado</v>
      </c>
      <c r="D89" s="54" t="str">
        <f>Inicial!D88</f>
        <v xml:space="preserve">Prolijado Lomo Vetado </v>
      </c>
      <c r="E89" s="52" t="str">
        <f>IF(Inicial!K88="SI",Inicial!E88,"N/A")</f>
        <v>N/A</v>
      </c>
      <c r="F89" s="53" t="str">
        <f>IF(Inicial!K88="SI",Inicial!F88,"N/A")</f>
        <v>N/A</v>
      </c>
      <c r="G89" s="53" t="str">
        <f>IF(Inicial!K88="SI",Inicial!G88,"N/A")</f>
        <v>N/A</v>
      </c>
      <c r="H89" s="53" t="str">
        <f>IF(Inicial!K88="SI",Inicial!H88,"N/A")</f>
        <v>N/A</v>
      </c>
      <c r="I89" s="64" t="str">
        <f>IF(Inicial!K88="SI",Inicial!I88,"N/A")</f>
        <v>N/A</v>
      </c>
      <c r="K89" s="6"/>
      <c r="L89" s="6"/>
      <c r="M89" s="6"/>
      <c r="N89" s="6"/>
      <c r="O89" s="6"/>
      <c r="P89" s="83"/>
      <c r="Q89" s="79"/>
      <c r="R89" s="6"/>
      <c r="S89" s="6"/>
      <c r="T89" s="6"/>
      <c r="U89" s="6"/>
      <c r="V89" s="6"/>
      <c r="W89" s="80"/>
      <c r="X89" s="79"/>
      <c r="Y89" s="6"/>
      <c r="Z89" s="6"/>
      <c r="AA89" s="6"/>
      <c r="AB89" s="6"/>
      <c r="AC89" s="80"/>
      <c r="AD89" s="88" t="str">
        <f t="shared" si="1"/>
        <v>Aceptable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ht="25.5">
      <c r="A90" s="52">
        <f>Inicial!A89</f>
        <v>87</v>
      </c>
      <c r="B90" s="53" t="str">
        <f>Inicial!B89</f>
        <v>Desposte</v>
      </c>
      <c r="C90" s="53" t="str">
        <f>Inicial!C89</f>
        <v>Operador LíneaVetado</v>
      </c>
      <c r="D90" s="54" t="str">
        <f>Inicial!D89</f>
        <v>Calibrado</v>
      </c>
      <c r="E90" s="52" t="str">
        <f>IF(Inicial!K89="SI",Inicial!E89,"N/A")</f>
        <v>N/A</v>
      </c>
      <c r="F90" s="53" t="str">
        <f>IF(Inicial!K89="SI",Inicial!F89,"N/A")</f>
        <v>N/A</v>
      </c>
      <c r="G90" s="53" t="str">
        <f>IF(Inicial!K89="SI",Inicial!G89,"N/A")</f>
        <v>N/A</v>
      </c>
      <c r="H90" s="53" t="str">
        <f>IF(Inicial!K89="SI",Inicial!H89,"N/A")</f>
        <v>N/A</v>
      </c>
      <c r="I90" s="64" t="str">
        <f>IF(Inicial!K89="SI",Inicial!I89,"N/A")</f>
        <v>N/A</v>
      </c>
      <c r="K90" s="6"/>
      <c r="L90" s="6"/>
      <c r="M90" s="6"/>
      <c r="N90" s="6"/>
      <c r="O90" s="6"/>
      <c r="P90" s="83"/>
      <c r="Q90" s="79"/>
      <c r="R90" s="6"/>
      <c r="S90" s="6"/>
      <c r="T90" s="6"/>
      <c r="U90" s="6"/>
      <c r="V90" s="6"/>
      <c r="W90" s="80"/>
      <c r="X90" s="79"/>
      <c r="Y90" s="6"/>
      <c r="Z90" s="6"/>
      <c r="AA90" s="6"/>
      <c r="AB90" s="6"/>
      <c r="AC90" s="80"/>
      <c r="AD90" s="88" t="str">
        <f t="shared" si="1"/>
        <v>Aceptable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>
      <c r="A91" s="52" t="e">
        <f>Inicial!#REF!</f>
        <v>#REF!</v>
      </c>
      <c r="B91" s="53" t="e">
        <f>Inicial!#REF!</f>
        <v>#REF!</v>
      </c>
      <c r="C91" s="53" t="e">
        <f>Inicial!#REF!</f>
        <v>#REF!</v>
      </c>
      <c r="D91" s="54" t="e">
        <f>Inicial!#REF!</f>
        <v>#REF!</v>
      </c>
      <c r="E91" s="52" t="e">
        <f>IF(Inicial!#REF!="SI",Inicial!#REF!,"N/A")</f>
        <v>#REF!</v>
      </c>
      <c r="F91" s="53" t="e">
        <f>IF(Inicial!#REF!="SI",Inicial!#REF!,"N/A")</f>
        <v>#REF!</v>
      </c>
      <c r="G91" s="53" t="e">
        <f>IF(Inicial!#REF!="SI",Inicial!#REF!,"N/A")</f>
        <v>#REF!</v>
      </c>
      <c r="H91" s="53" t="e">
        <f>IF(Inicial!#REF!="SI",Inicial!#REF!,"N/A")</f>
        <v>#REF!</v>
      </c>
      <c r="I91" s="64" t="e">
        <f>IF(Inicial!#REF!="SI",Inicial!#REF!,"N/A")</f>
        <v>#REF!</v>
      </c>
      <c r="K91" s="6"/>
      <c r="L91" s="6"/>
      <c r="M91" s="6"/>
      <c r="N91" s="6"/>
      <c r="O91" s="6"/>
      <c r="P91" s="83"/>
      <c r="Q91" s="79"/>
      <c r="R91" s="6"/>
      <c r="S91" s="6"/>
      <c r="T91" s="6"/>
      <c r="U91" s="6"/>
      <c r="V91" s="6"/>
      <c r="W91" s="80"/>
      <c r="X91" s="79"/>
      <c r="Y91" s="6"/>
      <c r="Z91" s="6"/>
      <c r="AA91" s="6"/>
      <c r="AB91" s="6"/>
      <c r="AC91" s="80"/>
      <c r="AD91" s="88" t="str">
        <f t="shared" si="1"/>
        <v>Aceptable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ht="25.5">
      <c r="A92" s="52">
        <f>Inicial!A90</f>
        <v>88</v>
      </c>
      <c r="B92" s="53" t="str">
        <f>Inicial!B90</f>
        <v>Desposte</v>
      </c>
      <c r="C92" s="53" t="str">
        <f>Inicial!C90</f>
        <v>Operador Linea Piernas</v>
      </c>
      <c r="D92" s="54" t="str">
        <f>Inicial!D90</f>
        <v>Extraer Cola-Cazuela</v>
      </c>
      <c r="E92" s="52" t="str">
        <f>IF(Inicial!K90="SI",Inicial!E90,"N/A")</f>
        <v>N/A</v>
      </c>
      <c r="F92" s="53" t="str">
        <f>IF(Inicial!K90="SI",Inicial!F90,"N/A")</f>
        <v>N/A</v>
      </c>
      <c r="G92" s="53" t="str">
        <f>IF(Inicial!K90="SI",Inicial!G90,"N/A")</f>
        <v>N/A</v>
      </c>
      <c r="H92" s="53" t="str">
        <f>IF(Inicial!K90="SI",Inicial!H90,"N/A")</f>
        <v>N/A</v>
      </c>
      <c r="I92" s="64" t="str">
        <f>IF(Inicial!K90="SI",Inicial!I90,"N/A")</f>
        <v>N/A</v>
      </c>
      <c r="K92" s="6"/>
      <c r="L92" s="6"/>
      <c r="M92" s="6"/>
      <c r="N92" s="6"/>
      <c r="O92" s="6"/>
      <c r="P92" s="83"/>
      <c r="Q92" s="79"/>
      <c r="R92" s="6"/>
      <c r="S92" s="6"/>
      <c r="T92" s="6"/>
      <c r="U92" s="6"/>
      <c r="V92" s="6"/>
      <c r="W92" s="80"/>
      <c r="X92" s="79"/>
      <c r="Y92" s="6"/>
      <c r="Z92" s="6"/>
      <c r="AA92" s="6"/>
      <c r="AB92" s="6"/>
      <c r="AC92" s="80"/>
      <c r="AD92" s="88" t="str">
        <f t="shared" si="1"/>
        <v>Aceptable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ht="25.5">
      <c r="A93" s="52">
        <f>Inicial!A91</f>
        <v>89</v>
      </c>
      <c r="B93" s="53" t="str">
        <f>Inicial!B91</f>
        <v>Desposte</v>
      </c>
      <c r="C93" s="53" t="str">
        <f>Inicial!C91</f>
        <v>Operador Linea Piernas</v>
      </c>
      <c r="D93" s="54" t="str">
        <f>Inicial!D91</f>
        <v>Exraer Pernil</v>
      </c>
      <c r="E93" s="52" t="str">
        <f>IF(Inicial!K91="SI",Inicial!E91,"N/A")</f>
        <v>N/A</v>
      </c>
      <c r="F93" s="53" t="str">
        <f>IF(Inicial!K91="SI",Inicial!F91,"N/A")</f>
        <v>N/A</v>
      </c>
      <c r="G93" s="53" t="str">
        <f>IF(Inicial!K91="SI",Inicial!G91,"N/A")</f>
        <v>N/A</v>
      </c>
      <c r="H93" s="53" t="str">
        <f>IF(Inicial!K91="SI",Inicial!H91,"N/A")</f>
        <v>N/A</v>
      </c>
      <c r="I93" s="64" t="str">
        <f>IF(Inicial!K91="SI",Inicial!I91,"N/A")</f>
        <v>N/A</v>
      </c>
      <c r="K93" s="6"/>
      <c r="L93" s="6"/>
      <c r="M93" s="6"/>
      <c r="N93" s="6"/>
      <c r="O93" s="6"/>
      <c r="P93" s="83"/>
      <c r="Q93" s="79"/>
      <c r="R93" s="6"/>
      <c r="S93" s="6"/>
      <c r="T93" s="6"/>
      <c r="U93" s="6"/>
      <c r="V93" s="6"/>
      <c r="W93" s="80"/>
      <c r="X93" s="79"/>
      <c r="Y93" s="6"/>
      <c r="Z93" s="6"/>
      <c r="AA93" s="6"/>
      <c r="AB93" s="6"/>
      <c r="AC93" s="80"/>
      <c r="AD93" s="88" t="str">
        <f t="shared" si="1"/>
        <v>Aceptable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ht="25.5">
      <c r="A94" s="52">
        <f>Inicial!A92</f>
        <v>90</v>
      </c>
      <c r="B94" s="53" t="str">
        <f>Inicial!B92</f>
        <v>Desposte</v>
      </c>
      <c r="C94" s="53" t="str">
        <f>Inicial!C92</f>
        <v>Operador Linea Piernas</v>
      </c>
      <c r="D94" s="54" t="str">
        <f>Inicial!D92</f>
        <v xml:space="preserve">Evacuar Bandejas </v>
      </c>
      <c r="E94" s="52" t="str">
        <f>IF(Inicial!K92="SI",Inicial!E92,"N/A")</f>
        <v>N/A</v>
      </c>
      <c r="F94" s="53" t="str">
        <f>IF(Inicial!K92="SI",Inicial!F92,"N/A")</f>
        <v>N/A</v>
      </c>
      <c r="G94" s="53" t="str">
        <f>IF(Inicial!K92="SI",Inicial!G92,"N/A")</f>
        <v>N/A</v>
      </c>
      <c r="H94" s="53" t="str">
        <f>IF(Inicial!K92="SI",Inicial!H92,"N/A")</f>
        <v>N/A</v>
      </c>
      <c r="I94" s="64" t="str">
        <f>IF(Inicial!K92="SI",Inicial!I92,"N/A")</f>
        <v>N/A</v>
      </c>
      <c r="K94" s="6"/>
      <c r="L94" s="6"/>
      <c r="M94" s="6"/>
      <c r="N94" s="6"/>
      <c r="O94" s="6"/>
      <c r="P94" s="83"/>
      <c r="Q94" s="79"/>
      <c r="R94" s="6"/>
      <c r="S94" s="6"/>
      <c r="T94" s="6"/>
      <c r="U94" s="6"/>
      <c r="V94" s="6"/>
      <c r="W94" s="80"/>
      <c r="X94" s="79"/>
      <c r="Y94" s="6"/>
      <c r="Z94" s="6"/>
      <c r="AA94" s="6"/>
      <c r="AB94" s="6"/>
      <c r="AC94" s="80"/>
      <c r="AD94" s="88" t="str">
        <f t="shared" si="1"/>
        <v>Aceptable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>
      <c r="A95" s="52" t="e">
        <f>Inicial!#REF!</f>
        <v>#REF!</v>
      </c>
      <c r="B95" s="53" t="e">
        <f>Inicial!#REF!</f>
        <v>#REF!</v>
      </c>
      <c r="C95" s="53" t="e">
        <f>Inicial!#REF!</f>
        <v>#REF!</v>
      </c>
      <c r="D95" s="54" t="e">
        <f>Inicial!#REF!</f>
        <v>#REF!</v>
      </c>
      <c r="E95" s="52" t="e">
        <f>IF(Inicial!#REF!="SI",Inicial!#REF!,"N/A")</f>
        <v>#REF!</v>
      </c>
      <c r="F95" s="53" t="e">
        <f>IF(Inicial!#REF!="SI",Inicial!#REF!,"N/A")</f>
        <v>#REF!</v>
      </c>
      <c r="G95" s="53" t="e">
        <f>IF(Inicial!#REF!="SI",Inicial!#REF!,"N/A")</f>
        <v>#REF!</v>
      </c>
      <c r="H95" s="53" t="e">
        <f>IF(Inicial!#REF!="SI",Inicial!#REF!,"N/A")</f>
        <v>#REF!</v>
      </c>
      <c r="I95" s="64" t="e">
        <f>IF(Inicial!#REF!="SI",Inicial!#REF!,"N/A")</f>
        <v>#REF!</v>
      </c>
      <c r="K95" s="6"/>
      <c r="L95" s="6"/>
      <c r="M95" s="6"/>
      <c r="N95" s="6"/>
      <c r="O95" s="6"/>
      <c r="P95" s="83"/>
      <c r="Q95" s="79"/>
      <c r="R95" s="6"/>
      <c r="S95" s="6"/>
      <c r="T95" s="6"/>
      <c r="U95" s="6"/>
      <c r="V95" s="6"/>
      <c r="W95" s="80"/>
      <c r="X95" s="79"/>
      <c r="Y95" s="6"/>
      <c r="Z95" s="6"/>
      <c r="AA95" s="6"/>
      <c r="AB95" s="6"/>
      <c r="AC95" s="80"/>
      <c r="AD95" s="88" t="str">
        <f t="shared" si="1"/>
        <v>Aceptable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>
      <c r="A96" s="52" t="e">
        <f>Inicial!#REF!</f>
        <v>#REF!</v>
      </c>
      <c r="B96" s="53" t="e">
        <f>Inicial!#REF!</f>
        <v>#REF!</v>
      </c>
      <c r="C96" s="53" t="e">
        <f>Inicial!#REF!</f>
        <v>#REF!</v>
      </c>
      <c r="D96" s="54" t="e">
        <f>Inicial!#REF!</f>
        <v>#REF!</v>
      </c>
      <c r="E96" s="52" t="e">
        <f>IF(Inicial!#REF!="SI",Inicial!#REF!,"N/A")</f>
        <v>#REF!</v>
      </c>
      <c r="F96" s="53" t="e">
        <f>IF(Inicial!#REF!="SI",Inicial!#REF!,"N/A")</f>
        <v>#REF!</v>
      </c>
      <c r="G96" s="53" t="e">
        <f>IF(Inicial!#REF!="SI",Inicial!#REF!,"N/A")</f>
        <v>#REF!</v>
      </c>
      <c r="H96" s="53" t="e">
        <f>IF(Inicial!#REF!="SI",Inicial!#REF!,"N/A")</f>
        <v>#REF!</v>
      </c>
      <c r="I96" s="64" t="e">
        <f>IF(Inicial!#REF!="SI",Inicial!#REF!,"N/A")</f>
        <v>#REF!</v>
      </c>
      <c r="K96" s="6"/>
      <c r="L96" s="6"/>
      <c r="M96" s="6"/>
      <c r="N96" s="6"/>
      <c r="O96" s="6"/>
      <c r="P96" s="83"/>
      <c r="Q96" s="79"/>
      <c r="R96" s="6"/>
      <c r="S96" s="6"/>
      <c r="T96" s="6"/>
      <c r="U96" s="6"/>
      <c r="V96" s="6"/>
      <c r="W96" s="80"/>
      <c r="X96" s="79"/>
      <c r="Y96" s="6"/>
      <c r="Z96" s="6"/>
      <c r="AA96" s="6"/>
      <c r="AB96" s="6"/>
      <c r="AC96" s="80"/>
      <c r="AD96" s="88" t="str">
        <f t="shared" si="1"/>
        <v>Aceptable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ht="25.5">
      <c r="A97" s="52">
        <f>Inicial!A93</f>
        <v>91</v>
      </c>
      <c r="B97" s="53" t="str">
        <f>Inicial!B93</f>
        <v>Desposte</v>
      </c>
      <c r="C97" s="53" t="str">
        <f>Inicial!C93</f>
        <v>Operador Linea Piernas</v>
      </c>
      <c r="D97" s="54" t="str">
        <f>Inicial!D93</f>
        <v>Peladora Maja</v>
      </c>
      <c r="E97" s="52" t="str">
        <f>IF(Inicial!K93="SI",Inicial!E93,"N/A")</f>
        <v>N/A</v>
      </c>
      <c r="F97" s="53" t="str">
        <f>IF(Inicial!K93="SI",Inicial!F93,"N/A")</f>
        <v>N/A</v>
      </c>
      <c r="G97" s="53" t="str">
        <f>IF(Inicial!K93="SI",Inicial!G93,"N/A")</f>
        <v>N/A</v>
      </c>
      <c r="H97" s="53" t="str">
        <f>IF(Inicial!K93="SI",Inicial!H93,"N/A")</f>
        <v>N/A</v>
      </c>
      <c r="I97" s="64" t="str">
        <f>IF(Inicial!K93="SI",Inicial!I93,"N/A")</f>
        <v>N/A</v>
      </c>
      <c r="K97" s="6"/>
      <c r="L97" s="6"/>
      <c r="M97" s="6"/>
      <c r="N97" s="6"/>
      <c r="O97" s="6"/>
      <c r="P97" s="83"/>
      <c r="Q97" s="79"/>
      <c r="R97" s="6"/>
      <c r="S97" s="6"/>
      <c r="T97" s="6"/>
      <c r="U97" s="6"/>
      <c r="V97" s="6"/>
      <c r="W97" s="80"/>
      <c r="X97" s="79"/>
      <c r="Y97" s="6"/>
      <c r="Z97" s="6"/>
      <c r="AA97" s="6"/>
      <c r="AB97" s="6"/>
      <c r="AC97" s="80"/>
      <c r="AD97" s="88" t="str">
        <f t="shared" si="1"/>
        <v>Aceptable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ht="25.5">
      <c r="A98" s="52">
        <f>Inicial!A94</f>
        <v>92</v>
      </c>
      <c r="B98" s="53" t="str">
        <f>Inicial!B94</f>
        <v>Desposte</v>
      </c>
      <c r="C98" s="53" t="str">
        <f>Inicial!C94</f>
        <v>Operador Linea Piernas</v>
      </c>
      <c r="D98" s="54" t="str">
        <f>Inicial!D94</f>
        <v>Whizard</v>
      </c>
      <c r="E98" s="52" t="str">
        <f>IF(Inicial!K94="SI",Inicial!E94,"N/A")</f>
        <v>N/A</v>
      </c>
      <c r="F98" s="53" t="str">
        <f>IF(Inicial!K94="SI",Inicial!F94,"N/A")</f>
        <v>N/A</v>
      </c>
      <c r="G98" s="53" t="str">
        <f>IF(Inicial!K94="SI",Inicial!G94,"N/A")</f>
        <v>N/A</v>
      </c>
      <c r="H98" s="53" t="str">
        <f>IF(Inicial!K94="SI",Inicial!H94,"N/A")</f>
        <v>N/A</v>
      </c>
      <c r="I98" s="64" t="str">
        <f>IF(Inicial!K94="SI",Inicial!I94,"N/A")</f>
        <v>N/A</v>
      </c>
      <c r="K98" s="6"/>
      <c r="L98" s="6"/>
      <c r="M98" s="6"/>
      <c r="N98" s="6"/>
      <c r="O98" s="6"/>
      <c r="P98" s="83"/>
      <c r="Q98" s="79"/>
      <c r="R98" s="6"/>
      <c r="S98" s="6"/>
      <c r="T98" s="6"/>
      <c r="U98" s="6"/>
      <c r="V98" s="6"/>
      <c r="W98" s="80"/>
      <c r="X98" s="79"/>
      <c r="Y98" s="6"/>
      <c r="Z98" s="6"/>
      <c r="AA98" s="6"/>
      <c r="AB98" s="6"/>
      <c r="AC98" s="80"/>
      <c r="AD98" s="88" t="str">
        <f t="shared" si="1"/>
        <v>Aceptable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t="25.5">
      <c r="A99" s="52">
        <f>Inicial!A95</f>
        <v>93</v>
      </c>
      <c r="B99" s="53" t="str">
        <f>Inicial!B95</f>
        <v>Desposte</v>
      </c>
      <c r="C99" s="53" t="str">
        <f>Inicial!C95</f>
        <v>Operador Linea Piernas</v>
      </c>
      <c r="D99" s="54" t="str">
        <f>Inicial!D95</f>
        <v>Deshuesado Coxal</v>
      </c>
      <c r="E99" s="52" t="str">
        <f>IF(Inicial!K95="SI",Inicial!E95,"N/A")</f>
        <v>N/A</v>
      </c>
      <c r="F99" s="53" t="str">
        <f>IF(Inicial!K95="SI",Inicial!F95,"N/A")</f>
        <v>N/A</v>
      </c>
      <c r="G99" s="53" t="str">
        <f>IF(Inicial!K95="SI",Inicial!G95,"N/A")</f>
        <v>N/A</v>
      </c>
      <c r="H99" s="53" t="str">
        <f>IF(Inicial!K95="SI",Inicial!H95,"N/A")</f>
        <v>N/A</v>
      </c>
      <c r="I99" s="64" t="str">
        <f>IF(Inicial!K95="SI",Inicial!I95,"N/A")</f>
        <v>N/A</v>
      </c>
      <c r="K99" s="6"/>
      <c r="L99" s="6"/>
      <c r="M99" s="6"/>
      <c r="N99" s="6"/>
      <c r="O99" s="6"/>
      <c r="P99" s="83"/>
      <c r="Q99" s="79"/>
      <c r="R99" s="6"/>
      <c r="S99" s="6"/>
      <c r="T99" s="6"/>
      <c r="U99" s="6"/>
      <c r="V99" s="6"/>
      <c r="W99" s="80"/>
      <c r="X99" s="79"/>
      <c r="Y99" s="6"/>
      <c r="Z99" s="6"/>
      <c r="AA99" s="6"/>
      <c r="AB99" s="6"/>
      <c r="AC99" s="80"/>
      <c r="AD99" s="88" t="str">
        <f t="shared" si="1"/>
        <v>Aceptable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ht="25.5">
      <c r="A100" s="52">
        <f>Inicial!A96</f>
        <v>94</v>
      </c>
      <c r="B100" s="53" t="str">
        <f>Inicial!B96</f>
        <v>Desposte</v>
      </c>
      <c r="C100" s="53" t="str">
        <f>Inicial!C96</f>
        <v>Operador Linea Piernas</v>
      </c>
      <c r="D100" s="54" t="str">
        <f>Inicial!D96</f>
        <v xml:space="preserve">Deshuesadores Femur </v>
      </c>
      <c r="E100" s="52" t="str">
        <f>IF(Inicial!K96="SI",Inicial!E96,"N/A")</f>
        <v>N/A</v>
      </c>
      <c r="F100" s="53" t="str">
        <f>IF(Inicial!K96="SI",Inicial!F96,"N/A")</f>
        <v>N/A</v>
      </c>
      <c r="G100" s="53" t="str">
        <f>IF(Inicial!K96="SI",Inicial!G96,"N/A")</f>
        <v>N/A</v>
      </c>
      <c r="H100" s="53" t="str">
        <f>IF(Inicial!K96="SI",Inicial!H96,"N/A")</f>
        <v>N/A</v>
      </c>
      <c r="I100" s="64" t="str">
        <f>IF(Inicial!K96="SI",Inicial!I96,"N/A")</f>
        <v>N/A</v>
      </c>
      <c r="K100" s="6"/>
      <c r="L100" s="6"/>
      <c r="M100" s="6"/>
      <c r="N100" s="6"/>
      <c r="O100" s="6"/>
      <c r="P100" s="83"/>
      <c r="Q100" s="79"/>
      <c r="R100" s="6"/>
      <c r="S100" s="6"/>
      <c r="T100" s="6"/>
      <c r="U100" s="6"/>
      <c r="V100" s="6"/>
      <c r="W100" s="80"/>
      <c r="X100" s="79"/>
      <c r="Y100" s="6"/>
      <c r="Z100" s="6"/>
      <c r="AA100" s="6"/>
      <c r="AB100" s="6"/>
      <c r="AC100" s="80"/>
      <c r="AD100" s="88" t="str">
        <f t="shared" si="1"/>
        <v>Aceptable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ht="25.5">
      <c r="A101" s="52">
        <f>Inicial!A97</f>
        <v>95</v>
      </c>
      <c r="B101" s="53" t="str">
        <f>Inicial!B97</f>
        <v>Desposte</v>
      </c>
      <c r="C101" s="53" t="str">
        <f>Inicial!C97</f>
        <v>Operador Linea Piernas</v>
      </c>
      <c r="D101" s="54" t="str">
        <f>Inicial!D97</f>
        <v>Prolijadores</v>
      </c>
      <c r="E101" s="52" t="str">
        <f>IF(Inicial!K97="SI",Inicial!E97,"N/A")</f>
        <v>N/A</v>
      </c>
      <c r="F101" s="53" t="str">
        <f>IF(Inicial!K97="SI",Inicial!F97,"N/A")</f>
        <v>N/A</v>
      </c>
      <c r="G101" s="53" t="str">
        <f>IF(Inicial!K97="SI",Inicial!G97,"N/A")</f>
        <v>N/A</v>
      </c>
      <c r="H101" s="53" t="str">
        <f>IF(Inicial!K97="SI",Inicial!H97,"N/A")</f>
        <v>N/A</v>
      </c>
      <c r="I101" s="64" t="str">
        <f>IF(Inicial!K97="SI",Inicial!I97,"N/A")</f>
        <v>N/A</v>
      </c>
      <c r="K101" s="6"/>
      <c r="L101" s="6"/>
      <c r="M101" s="6"/>
      <c r="N101" s="6"/>
      <c r="O101" s="6"/>
      <c r="P101" s="83"/>
      <c r="Q101" s="79"/>
      <c r="R101" s="6"/>
      <c r="S101" s="6"/>
      <c r="T101" s="6"/>
      <c r="U101" s="6"/>
      <c r="V101" s="6"/>
      <c r="W101" s="80"/>
      <c r="X101" s="79"/>
      <c r="Y101" s="6"/>
      <c r="Z101" s="6"/>
      <c r="AA101" s="6"/>
      <c r="AB101" s="6"/>
      <c r="AC101" s="80"/>
      <c r="AD101" s="88" t="str">
        <f t="shared" si="1"/>
        <v>Aceptable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ht="25.5">
      <c r="A102" s="52">
        <f>Inicial!A98</f>
        <v>96</v>
      </c>
      <c r="B102" s="53" t="str">
        <f>Inicial!B98</f>
        <v>Desposte</v>
      </c>
      <c r="C102" s="53" t="str">
        <f>Inicial!C98</f>
        <v>Operador Linea Piernas</v>
      </c>
      <c r="D102" s="54" t="str">
        <f>Inicial!D98</f>
        <v xml:space="preserve">Calibrado </v>
      </c>
      <c r="E102" s="52" t="str">
        <f>IF(Inicial!K98="SI",Inicial!E98,"N/A")</f>
        <v>N/A</v>
      </c>
      <c r="F102" s="53" t="str">
        <f>IF(Inicial!K98="SI",Inicial!F98,"N/A")</f>
        <v>N/A</v>
      </c>
      <c r="G102" s="53" t="str">
        <f>IF(Inicial!K98="SI",Inicial!G98,"N/A")</f>
        <v>N/A</v>
      </c>
      <c r="H102" s="53" t="str">
        <f>IF(Inicial!K98="SI",Inicial!H98,"N/A")</f>
        <v>N/A</v>
      </c>
      <c r="I102" s="64" t="str">
        <f>IF(Inicial!K98="SI",Inicial!I98,"N/A")</f>
        <v>N/A</v>
      </c>
      <c r="K102" s="6"/>
      <c r="L102" s="6"/>
      <c r="M102" s="6"/>
      <c r="N102" s="6"/>
      <c r="O102" s="6"/>
      <c r="P102" s="83"/>
      <c r="Q102" s="79"/>
      <c r="R102" s="6"/>
      <c r="S102" s="6"/>
      <c r="T102" s="6"/>
      <c r="U102" s="6"/>
      <c r="V102" s="6"/>
      <c r="W102" s="80"/>
      <c r="X102" s="79"/>
      <c r="Y102" s="6"/>
      <c r="Z102" s="6"/>
      <c r="AA102" s="6"/>
      <c r="AB102" s="6"/>
      <c r="AC102" s="80"/>
      <c r="AD102" s="88" t="str">
        <f t="shared" si="1"/>
        <v>Aceptable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ht="25.5">
      <c r="A103" s="52">
        <f>Inicial!A99</f>
        <v>97</v>
      </c>
      <c r="B103" s="53" t="str">
        <f>Inicial!B99</f>
        <v>Desposte</v>
      </c>
      <c r="C103" s="53" t="str">
        <f>Inicial!C99</f>
        <v>Operador Linea Piernas</v>
      </c>
      <c r="D103" s="54" t="str">
        <f>Inicial!D99</f>
        <v>Peladora Maja</v>
      </c>
      <c r="E103" s="52" t="str">
        <f>IF(Inicial!K99="SI",Inicial!E99,"N/A")</f>
        <v>N/A</v>
      </c>
      <c r="F103" s="53" t="str">
        <f>IF(Inicial!K99="SI",Inicial!F99,"N/A")</f>
        <v>N/A</v>
      </c>
      <c r="G103" s="53" t="str">
        <f>IF(Inicial!K99="SI",Inicial!G99,"N/A")</f>
        <v>N/A</v>
      </c>
      <c r="H103" s="53" t="str">
        <f>IF(Inicial!K99="SI",Inicial!H99,"N/A")</f>
        <v>N/A</v>
      </c>
      <c r="I103" s="64" t="str">
        <f>IF(Inicial!K99="SI",Inicial!I99,"N/A")</f>
        <v>N/A</v>
      </c>
      <c r="K103" s="6"/>
      <c r="L103" s="6"/>
      <c r="M103" s="6"/>
      <c r="N103" s="6"/>
      <c r="O103" s="6"/>
      <c r="P103" s="83"/>
      <c r="Q103" s="79"/>
      <c r="R103" s="6"/>
      <c r="S103" s="6"/>
      <c r="T103" s="6"/>
      <c r="U103" s="6"/>
      <c r="V103" s="6"/>
      <c r="W103" s="80"/>
      <c r="X103" s="79"/>
      <c r="Y103" s="6"/>
      <c r="Z103" s="6"/>
      <c r="AA103" s="6"/>
      <c r="AB103" s="6"/>
      <c r="AC103" s="80"/>
      <c r="AD103" s="88" t="str">
        <f t="shared" si="1"/>
        <v>Aceptable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ht="25.5">
      <c r="A104" s="52">
        <f>Inicial!A100</f>
        <v>98</v>
      </c>
      <c r="B104" s="53" t="str">
        <f>Inicial!B100</f>
        <v>Desposte</v>
      </c>
      <c r="C104" s="53" t="str">
        <f>Inicial!C100</f>
        <v>Operador Linea Piernas</v>
      </c>
      <c r="D104" s="54" t="str">
        <f>Inicial!D100</f>
        <v>Abastecer Varivac</v>
      </c>
      <c r="E104" s="52" t="str">
        <f>IF(Inicial!K100="SI",Inicial!E100,"N/A")</f>
        <v>N/A</v>
      </c>
      <c r="F104" s="53" t="str">
        <f>IF(Inicial!K100="SI",Inicial!F100,"N/A")</f>
        <v>N/A</v>
      </c>
      <c r="G104" s="53" t="str">
        <f>IF(Inicial!K100="SI",Inicial!G100,"N/A")</f>
        <v>N/A</v>
      </c>
      <c r="H104" s="53" t="str">
        <f>IF(Inicial!K100="SI",Inicial!H100,"N/A")</f>
        <v>N/A</v>
      </c>
      <c r="I104" s="64" t="str">
        <f>IF(Inicial!K100="SI",Inicial!I100,"N/A")</f>
        <v>N/A</v>
      </c>
      <c r="K104" s="6"/>
      <c r="L104" s="6"/>
      <c r="M104" s="6"/>
      <c r="N104" s="6"/>
      <c r="O104" s="6"/>
      <c r="P104" s="83"/>
      <c r="Q104" s="79"/>
      <c r="R104" s="6"/>
      <c r="S104" s="6"/>
      <c r="T104" s="6"/>
      <c r="U104" s="6"/>
      <c r="V104" s="6"/>
      <c r="W104" s="80"/>
      <c r="X104" s="79"/>
      <c r="Y104" s="6"/>
      <c r="Z104" s="6"/>
      <c r="AA104" s="6"/>
      <c r="AB104" s="6"/>
      <c r="AC104" s="80"/>
      <c r="AD104" s="88" t="str">
        <f t="shared" si="1"/>
        <v>Aceptable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ht="25.5">
      <c r="A105" s="52">
        <f>Inicial!A101</f>
        <v>99</v>
      </c>
      <c r="B105" s="53" t="str">
        <f>Inicial!B101</f>
        <v>Desposte</v>
      </c>
      <c r="C105" s="53" t="str">
        <f>Inicial!C101</f>
        <v>Operador Linea Piernas</v>
      </c>
      <c r="D105" s="54" t="str">
        <f>Inicial!D101</f>
        <v>Recibir producto</v>
      </c>
      <c r="E105" s="52" t="str">
        <f>IF(Inicial!K101="SI",Inicial!E101,"N/A")</f>
        <v>N/A</v>
      </c>
      <c r="F105" s="53" t="str">
        <f>IF(Inicial!K101="SI",Inicial!F101,"N/A")</f>
        <v>N/A</v>
      </c>
      <c r="G105" s="53" t="str">
        <f>IF(Inicial!K101="SI",Inicial!G101,"N/A")</f>
        <v>N/A</v>
      </c>
      <c r="H105" s="53" t="str">
        <f>IF(Inicial!K101="SI",Inicial!H101,"N/A")</f>
        <v>N/A</v>
      </c>
      <c r="I105" s="64" t="str">
        <f>IF(Inicial!K101="SI",Inicial!I101,"N/A")</f>
        <v>N/A</v>
      </c>
      <c r="K105" s="6"/>
      <c r="L105" s="6"/>
      <c r="M105" s="6"/>
      <c r="N105" s="6"/>
      <c r="O105" s="6"/>
      <c r="P105" s="83"/>
      <c r="Q105" s="79"/>
      <c r="R105" s="6"/>
      <c r="S105" s="6"/>
      <c r="T105" s="6"/>
      <c r="U105" s="6"/>
      <c r="V105" s="6"/>
      <c r="W105" s="80"/>
      <c r="X105" s="79"/>
      <c r="Y105" s="6"/>
      <c r="Z105" s="6"/>
      <c r="AA105" s="6"/>
      <c r="AB105" s="6"/>
      <c r="AC105" s="80"/>
      <c r="AD105" s="88" t="str">
        <f t="shared" si="1"/>
        <v>Aceptable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ht="25.5">
      <c r="A106" s="52">
        <f>Inicial!A102</f>
        <v>100</v>
      </c>
      <c r="B106" s="53" t="str">
        <f>Inicial!B102</f>
        <v>Desposte</v>
      </c>
      <c r="C106" s="53" t="str">
        <f>Inicial!C102</f>
        <v>Operador Linea Piernas</v>
      </c>
      <c r="D106" s="54" t="str">
        <f>Inicial!D102</f>
        <v>Pegar etiqueta</v>
      </c>
      <c r="E106" s="52" t="str">
        <f>IF(Inicial!K102="SI",Inicial!E102,"N/A")</f>
        <v>N/A</v>
      </c>
      <c r="F106" s="53" t="str">
        <f>IF(Inicial!K102="SI",Inicial!F102,"N/A")</f>
        <v>N/A</v>
      </c>
      <c r="G106" s="53" t="str">
        <f>IF(Inicial!K102="SI",Inicial!G102,"N/A")</f>
        <v>N/A</v>
      </c>
      <c r="H106" s="53" t="str">
        <f>IF(Inicial!K102="SI",Inicial!H102,"N/A")</f>
        <v>N/A</v>
      </c>
      <c r="I106" s="64" t="str">
        <f>IF(Inicial!K102="SI",Inicial!I102,"N/A")</f>
        <v>N/A</v>
      </c>
      <c r="K106" s="6"/>
      <c r="L106" s="6"/>
      <c r="M106" s="6"/>
      <c r="N106" s="6"/>
      <c r="O106" s="6"/>
      <c r="P106" s="83"/>
      <c r="Q106" s="79"/>
      <c r="R106" s="6"/>
      <c r="S106" s="6"/>
      <c r="T106" s="6"/>
      <c r="U106" s="6"/>
      <c r="V106" s="6"/>
      <c r="W106" s="80"/>
      <c r="X106" s="79"/>
      <c r="Y106" s="6"/>
      <c r="Z106" s="6"/>
      <c r="AA106" s="6"/>
      <c r="AB106" s="6"/>
      <c r="AC106" s="80"/>
      <c r="AD106" s="88" t="str">
        <f t="shared" si="1"/>
        <v>Aceptable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ht="25.5">
      <c r="A107" s="52">
        <f>Inicial!A103</f>
        <v>101</v>
      </c>
      <c r="B107" s="53" t="str">
        <f>Inicial!B103</f>
        <v>Desposte</v>
      </c>
      <c r="C107" s="53" t="str">
        <f>Inicial!C103</f>
        <v>Operador Linea Piernas</v>
      </c>
      <c r="D107" s="54" t="str">
        <f>Inicial!D103</f>
        <v>evacuar bandeja</v>
      </c>
      <c r="E107" s="52" t="str">
        <f>IF(Inicial!K103="SI",Inicial!E103,"N/A")</f>
        <v>N/A</v>
      </c>
      <c r="F107" s="53" t="str">
        <f>IF(Inicial!K103="SI",Inicial!F103,"N/A")</f>
        <v>N/A</v>
      </c>
      <c r="G107" s="53" t="str">
        <f>IF(Inicial!K103="SI",Inicial!G103,"N/A")</f>
        <v>N/A</v>
      </c>
      <c r="H107" s="53" t="str">
        <f>IF(Inicial!K103="SI",Inicial!H103,"N/A")</f>
        <v>N/A</v>
      </c>
      <c r="I107" s="64" t="str">
        <f>IF(Inicial!K103="SI",Inicial!I103,"N/A")</f>
        <v>N/A</v>
      </c>
      <c r="K107" s="6"/>
      <c r="L107" s="6"/>
      <c r="M107" s="6"/>
      <c r="N107" s="6"/>
      <c r="O107" s="6"/>
      <c r="P107" s="83"/>
      <c r="Q107" s="79"/>
      <c r="R107" s="6"/>
      <c r="S107" s="6"/>
      <c r="T107" s="6"/>
      <c r="U107" s="6"/>
      <c r="V107" s="6"/>
      <c r="W107" s="80"/>
      <c r="X107" s="79"/>
      <c r="Y107" s="6"/>
      <c r="Z107" s="6"/>
      <c r="AA107" s="6"/>
      <c r="AB107" s="6"/>
      <c r="AC107" s="80"/>
      <c r="AD107" s="88" t="str">
        <f t="shared" si="1"/>
        <v>Aceptable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ht="38.25">
      <c r="A108" s="52">
        <f>Inicial!A104</f>
        <v>102</v>
      </c>
      <c r="B108" s="53" t="str">
        <f>Inicial!B104</f>
        <v>Desposte</v>
      </c>
      <c r="C108" s="53" t="str">
        <f>Inicial!C104</f>
        <v xml:space="preserve">Operador Línea Empaque </v>
      </c>
      <c r="D108" s="54" t="str">
        <f>Inicial!D104</f>
        <v>Palletizado</v>
      </c>
      <c r="E108" s="52" t="str">
        <f>IF(Inicial!K104="SI",Inicial!E104,"N/A")</f>
        <v>N/A</v>
      </c>
      <c r="F108" s="53" t="str">
        <f>IF(Inicial!K104="SI",Inicial!F104,"N/A")</f>
        <v>N/A</v>
      </c>
      <c r="G108" s="53" t="str">
        <f>IF(Inicial!K104="SI",Inicial!G104,"N/A")</f>
        <v>N/A</v>
      </c>
      <c r="H108" s="53" t="str">
        <f>IF(Inicial!K104="SI",Inicial!H104,"N/A")</f>
        <v>N/A</v>
      </c>
      <c r="I108" s="64" t="str">
        <f>IF(Inicial!K104="SI",Inicial!I104,"N/A")</f>
        <v>N/A</v>
      </c>
      <c r="K108" s="6"/>
      <c r="L108" s="6"/>
      <c r="M108" s="6"/>
      <c r="N108" s="6"/>
      <c r="O108" s="6"/>
      <c r="P108" s="83"/>
      <c r="Q108" s="79"/>
      <c r="R108" s="6"/>
      <c r="S108" s="6"/>
      <c r="T108" s="6"/>
      <c r="U108" s="6"/>
      <c r="V108" s="6"/>
      <c r="W108" s="80"/>
      <c r="X108" s="79"/>
      <c r="Y108" s="6"/>
      <c r="Z108" s="6"/>
      <c r="AA108" s="6"/>
      <c r="AB108" s="6"/>
      <c r="AC108" s="80"/>
      <c r="AD108" s="88" t="str">
        <f t="shared" si="1"/>
        <v>Aceptable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ht="38.25">
      <c r="A109" s="52">
        <f>Inicial!A105</f>
        <v>103</v>
      </c>
      <c r="B109" s="53" t="str">
        <f>Inicial!B105</f>
        <v>Desposte</v>
      </c>
      <c r="C109" s="53" t="str">
        <f>Inicial!C105</f>
        <v xml:space="preserve">Operador Línea Empaque </v>
      </c>
      <c r="D109" s="54" t="str">
        <f>Inicial!D105</f>
        <v xml:space="preserve">Calibrado </v>
      </c>
      <c r="E109" s="52" t="str">
        <f>IF(Inicial!K105="SI",Inicial!E105,"N/A")</f>
        <v>N/A</v>
      </c>
      <c r="F109" s="53" t="str">
        <f>IF(Inicial!K105="SI",Inicial!F105,"N/A")</f>
        <v>N/A</v>
      </c>
      <c r="G109" s="53" t="str">
        <f>IF(Inicial!K105="SI",Inicial!G105,"N/A")</f>
        <v>N/A</v>
      </c>
      <c r="H109" s="53" t="str">
        <f>IF(Inicial!K105="SI",Inicial!H105,"N/A")</f>
        <v>N/A</v>
      </c>
      <c r="I109" s="64" t="str">
        <f>IF(Inicial!K105="SI",Inicial!I105,"N/A")</f>
        <v>N/A</v>
      </c>
      <c r="K109" s="6"/>
      <c r="L109" s="6"/>
      <c r="M109" s="6"/>
      <c r="N109" s="6"/>
      <c r="O109" s="6"/>
      <c r="P109" s="83"/>
      <c r="Q109" s="79"/>
      <c r="R109" s="6"/>
      <c r="S109" s="6"/>
      <c r="T109" s="6"/>
      <c r="U109" s="6"/>
      <c r="V109" s="6"/>
      <c r="W109" s="80"/>
      <c r="X109" s="79"/>
      <c r="Y109" s="6"/>
      <c r="Z109" s="6"/>
      <c r="AA109" s="6"/>
      <c r="AB109" s="6"/>
      <c r="AC109" s="80"/>
      <c r="AD109" s="88" t="str">
        <f t="shared" si="1"/>
        <v>Aceptable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ht="38.25">
      <c r="A110" s="52">
        <f>Inicial!A106</f>
        <v>104</v>
      </c>
      <c r="B110" s="53" t="str">
        <f>Inicial!B106</f>
        <v>Desposte</v>
      </c>
      <c r="C110" s="53" t="str">
        <f>Inicial!C106</f>
        <v xml:space="preserve">Operador Línea Empaque </v>
      </c>
      <c r="D110" s="54" t="str">
        <f>Inicial!D106</f>
        <v xml:space="preserve"> Volteador 500</v>
      </c>
      <c r="E110" s="52" t="str">
        <f>IF(Inicial!K106="SI",Inicial!E106,"N/A")</f>
        <v>N/A</v>
      </c>
      <c r="F110" s="53" t="str">
        <f>IF(Inicial!K106="SI",Inicial!F106,"N/A")</f>
        <v>N/A</v>
      </c>
      <c r="G110" s="53" t="str">
        <f>IF(Inicial!K106="SI",Inicial!G106,"N/A")</f>
        <v>N/A</v>
      </c>
      <c r="H110" s="53" t="str">
        <f>IF(Inicial!K106="SI",Inicial!H106,"N/A")</f>
        <v>N/A</v>
      </c>
      <c r="I110" s="64" t="str">
        <f>IF(Inicial!K106="SI",Inicial!I106,"N/A")</f>
        <v>N/A</v>
      </c>
      <c r="K110" s="6"/>
      <c r="L110" s="6"/>
      <c r="M110" s="6"/>
      <c r="N110" s="6"/>
      <c r="O110" s="6"/>
      <c r="P110" s="83"/>
      <c r="Q110" s="79"/>
      <c r="R110" s="6"/>
      <c r="S110" s="6"/>
      <c r="T110" s="6"/>
      <c r="U110" s="6"/>
      <c r="V110" s="6"/>
      <c r="W110" s="80"/>
      <c r="X110" s="79"/>
      <c r="Y110" s="6"/>
      <c r="Z110" s="6"/>
      <c r="AA110" s="6"/>
      <c r="AB110" s="6"/>
      <c r="AC110" s="80"/>
      <c r="AD110" s="88" t="str">
        <f t="shared" si="1"/>
        <v>Aceptable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ht="38.25">
      <c r="A111" s="52">
        <f>Inicial!A107</f>
        <v>105</v>
      </c>
      <c r="B111" s="53" t="str">
        <f>Inicial!B107</f>
        <v>Desposte</v>
      </c>
      <c r="C111" s="53" t="str">
        <f>Inicial!C107</f>
        <v xml:space="preserve">Operador Línea Empaque </v>
      </c>
      <c r="D111" s="54" t="str">
        <f>Inicial!D107</f>
        <v>Direccionado</v>
      </c>
      <c r="E111" s="52" t="str">
        <f>IF(Inicial!K107="SI",Inicial!E107,"N/A")</f>
        <v>N/A</v>
      </c>
      <c r="F111" s="53" t="str">
        <f>IF(Inicial!K107="SI",Inicial!F107,"N/A")</f>
        <v>N/A</v>
      </c>
      <c r="G111" s="53" t="str">
        <f>IF(Inicial!K107="SI",Inicial!G107,"N/A")</f>
        <v>N/A</v>
      </c>
      <c r="H111" s="53" t="str">
        <f>IF(Inicial!K107="SI",Inicial!H107,"N/A")</f>
        <v>N/A</v>
      </c>
      <c r="I111" s="64" t="str">
        <f>IF(Inicial!K107="SI",Inicial!I107,"N/A")</f>
        <v>N/A</v>
      </c>
      <c r="K111" s="6"/>
      <c r="L111" s="6"/>
      <c r="M111" s="6"/>
      <c r="N111" s="6"/>
      <c r="O111" s="6"/>
      <c r="P111" s="83"/>
      <c r="Q111" s="79"/>
      <c r="R111" s="6"/>
      <c r="S111" s="6"/>
      <c r="T111" s="6"/>
      <c r="U111" s="6"/>
      <c r="V111" s="6"/>
      <c r="W111" s="80"/>
      <c r="X111" s="79"/>
      <c r="Y111" s="6"/>
      <c r="Z111" s="6"/>
      <c r="AA111" s="6"/>
      <c r="AB111" s="6"/>
      <c r="AC111" s="80"/>
      <c r="AD111" s="88" t="str">
        <f t="shared" si="1"/>
        <v>Aceptable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ht="38.25">
      <c r="A112" s="52">
        <f>Inicial!A108</f>
        <v>106</v>
      </c>
      <c r="B112" s="53" t="str">
        <f>Inicial!B108</f>
        <v>Desposte</v>
      </c>
      <c r="C112" s="53" t="str">
        <f>Inicial!C108</f>
        <v xml:space="preserve">Operador Línea Empaque </v>
      </c>
      <c r="D112" s="54" t="str">
        <f>Inicial!D108</f>
        <v>Embalado</v>
      </c>
      <c r="E112" s="52" t="str">
        <f>IF(Inicial!K108="SI",Inicial!E108,"N/A")</f>
        <v>N/A</v>
      </c>
      <c r="F112" s="53" t="str">
        <f>IF(Inicial!K108="SI",Inicial!F108,"N/A")</f>
        <v>N/A</v>
      </c>
      <c r="G112" s="53" t="str">
        <f>IF(Inicial!K108="SI",Inicial!G108,"N/A")</f>
        <v>N/A</v>
      </c>
      <c r="H112" s="53" t="str">
        <f>IF(Inicial!K108="SI",Inicial!H108,"N/A")</f>
        <v>N/A</v>
      </c>
      <c r="I112" s="64" t="str">
        <f>IF(Inicial!K108="SI",Inicial!I108,"N/A")</f>
        <v>N/A</v>
      </c>
      <c r="K112" s="6"/>
      <c r="L112" s="6"/>
      <c r="M112" s="6"/>
      <c r="N112" s="6"/>
      <c r="O112" s="6"/>
      <c r="P112" s="83"/>
      <c r="Q112" s="79"/>
      <c r="R112" s="6"/>
      <c r="S112" s="6"/>
      <c r="T112" s="6"/>
      <c r="U112" s="6"/>
      <c r="V112" s="6"/>
      <c r="W112" s="80"/>
      <c r="X112" s="79"/>
      <c r="Y112" s="6"/>
      <c r="Z112" s="6"/>
      <c r="AA112" s="6"/>
      <c r="AB112" s="6"/>
      <c r="AC112" s="80"/>
      <c r="AD112" s="88" t="str">
        <f t="shared" si="1"/>
        <v>Aceptable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ht="38.25">
      <c r="A113" s="52">
        <f>Inicial!A109</f>
        <v>107</v>
      </c>
      <c r="B113" s="53" t="str">
        <f>Inicial!B109</f>
        <v>Desposte</v>
      </c>
      <c r="C113" s="53" t="str">
        <f>Inicial!C109</f>
        <v xml:space="preserve">Operador Línea Empaque </v>
      </c>
      <c r="D113" s="54" t="str">
        <f>Inicial!D109</f>
        <v>PC</v>
      </c>
      <c r="E113" s="52" t="str">
        <f>IF(Inicial!K109="SI",Inicial!E109,"N/A")</f>
        <v>N/A</v>
      </c>
      <c r="F113" s="53" t="str">
        <f>IF(Inicial!K109="SI",Inicial!F109,"N/A")</f>
        <v>N/A</v>
      </c>
      <c r="G113" s="53" t="str">
        <f>IF(Inicial!K109="SI",Inicial!G109,"N/A")</f>
        <v>N/A</v>
      </c>
      <c r="H113" s="53" t="str">
        <f>IF(Inicial!K109="SI",Inicial!H109,"N/A")</f>
        <v>N/A</v>
      </c>
      <c r="I113" s="64" t="str">
        <f>IF(Inicial!K109="SI",Inicial!I109,"N/A")</f>
        <v>N/A</v>
      </c>
      <c r="K113" s="6"/>
      <c r="L113" s="6"/>
      <c r="M113" s="6"/>
      <c r="N113" s="6"/>
      <c r="O113" s="6"/>
      <c r="P113" s="83"/>
      <c r="Q113" s="79"/>
      <c r="R113" s="6"/>
      <c r="S113" s="6"/>
      <c r="T113" s="6"/>
      <c r="U113" s="6"/>
      <c r="V113" s="6"/>
      <c r="W113" s="80"/>
      <c r="X113" s="79"/>
      <c r="Y113" s="6"/>
      <c r="Z113" s="6"/>
      <c r="AA113" s="6"/>
      <c r="AB113" s="6"/>
      <c r="AC113" s="80"/>
      <c r="AD113" s="88" t="str">
        <f t="shared" si="1"/>
        <v>Aceptable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ht="38.25">
      <c r="A114" s="52">
        <f>Inicial!A110</f>
        <v>108</v>
      </c>
      <c r="B114" s="53" t="str">
        <f>Inicial!B110</f>
        <v>Desposte</v>
      </c>
      <c r="C114" s="53" t="str">
        <f>Inicial!C110</f>
        <v xml:space="preserve">Operador Línea Empaque </v>
      </c>
      <c r="D114" s="54" t="str">
        <f>Inicial!D110</f>
        <v>Volteado 100</v>
      </c>
      <c r="E114" s="52" t="str">
        <f>IF(Inicial!K110="SI",Inicial!E110,"N/A")</f>
        <v>N/A</v>
      </c>
      <c r="F114" s="53" t="str">
        <f>IF(Inicial!K110="SI",Inicial!F110,"N/A")</f>
        <v>N/A</v>
      </c>
      <c r="G114" s="53" t="str">
        <f>IF(Inicial!K110="SI",Inicial!G110,"N/A")</f>
        <v>N/A</v>
      </c>
      <c r="H114" s="53" t="str">
        <f>IF(Inicial!K110="SI",Inicial!H110,"N/A")</f>
        <v>N/A</v>
      </c>
      <c r="I114" s="64" t="str">
        <f>IF(Inicial!K110="SI",Inicial!I110,"N/A")</f>
        <v>N/A</v>
      </c>
      <c r="K114" s="6"/>
      <c r="L114" s="6"/>
      <c r="M114" s="6"/>
      <c r="N114" s="6"/>
      <c r="O114" s="6"/>
      <c r="P114" s="83"/>
      <c r="Q114" s="79"/>
      <c r="R114" s="6"/>
      <c r="S114" s="6"/>
      <c r="T114" s="6"/>
      <c r="U114" s="6"/>
      <c r="V114" s="6"/>
      <c r="W114" s="80"/>
      <c r="X114" s="79"/>
      <c r="Y114" s="6"/>
      <c r="Z114" s="6"/>
      <c r="AA114" s="6"/>
      <c r="AB114" s="6"/>
      <c r="AC114" s="80"/>
      <c r="AD114" s="88" t="str">
        <f t="shared" si="1"/>
        <v>Aceptable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ht="38.25">
      <c r="A115" s="52">
        <f>Inicial!A111</f>
        <v>109</v>
      </c>
      <c r="B115" s="53" t="str">
        <f>Inicial!B111</f>
        <v>Desposte</v>
      </c>
      <c r="C115" s="53" t="str">
        <f>Inicial!C111</f>
        <v>Operador Línea Filete y Cabeza</v>
      </c>
      <c r="D115" s="54" t="str">
        <f>Inicial!D111</f>
        <v>Cortar Cabeza</v>
      </c>
      <c r="E115" s="52" t="str">
        <f>IF(Inicial!K111="SI",Inicial!E111,"N/A")</f>
        <v>N/A</v>
      </c>
      <c r="F115" s="53" t="str">
        <f>IF(Inicial!K111="SI",Inicial!F111,"N/A")</f>
        <v>N/A</v>
      </c>
      <c r="G115" s="53" t="str">
        <f>IF(Inicial!K111="SI",Inicial!G111,"N/A")</f>
        <v>N/A</v>
      </c>
      <c r="H115" s="53" t="str">
        <f>IF(Inicial!K111="SI",Inicial!H111,"N/A")</f>
        <v>N/A</v>
      </c>
      <c r="I115" s="64" t="str">
        <f>IF(Inicial!K111="SI",Inicial!I111,"N/A")</f>
        <v>N/A</v>
      </c>
      <c r="K115" s="6"/>
      <c r="L115" s="6"/>
      <c r="M115" s="6"/>
      <c r="N115" s="6"/>
      <c r="O115" s="6"/>
      <c r="P115" s="83"/>
      <c r="Q115" s="79"/>
      <c r="R115" s="6"/>
      <c r="S115" s="6"/>
      <c r="T115" s="6"/>
      <c r="U115" s="6"/>
      <c r="V115" s="6"/>
      <c r="W115" s="80"/>
      <c r="X115" s="79"/>
      <c r="Y115" s="6"/>
      <c r="Z115" s="6"/>
      <c r="AA115" s="6"/>
      <c r="AB115" s="6"/>
      <c r="AC115" s="80"/>
      <c r="AD115" s="88" t="str">
        <f t="shared" si="1"/>
        <v>Aceptable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ht="38.25">
      <c r="A116" s="52">
        <f>Inicial!A112</f>
        <v>110</v>
      </c>
      <c r="B116" s="53" t="str">
        <f>Inicial!B112</f>
        <v>Desposte</v>
      </c>
      <c r="C116" s="53" t="str">
        <f>Inicial!C112</f>
        <v>Operador Línea Filete y Cabeza</v>
      </c>
      <c r="D116" s="54" t="str">
        <f>Inicial!D112</f>
        <v>Filetero</v>
      </c>
      <c r="E116" s="52" t="str">
        <f>IF(Inicial!K112="SI",Inicial!E112,"N/A")</f>
        <v>N/A</v>
      </c>
      <c r="F116" s="53" t="str">
        <f>IF(Inicial!K112="SI",Inicial!F112,"N/A")</f>
        <v>N/A</v>
      </c>
      <c r="G116" s="53" t="str">
        <f>IF(Inicial!K112="SI",Inicial!G112,"N/A")</f>
        <v>N/A</v>
      </c>
      <c r="H116" s="53" t="str">
        <f>IF(Inicial!K112="SI",Inicial!H112,"N/A")</f>
        <v>N/A</v>
      </c>
      <c r="I116" s="64" t="str">
        <f>IF(Inicial!K112="SI",Inicial!I112,"N/A")</f>
        <v>N/A</v>
      </c>
      <c r="K116" s="6"/>
      <c r="L116" s="6"/>
      <c r="M116" s="6"/>
      <c r="N116" s="6"/>
      <c r="O116" s="6"/>
      <c r="P116" s="83"/>
      <c r="Q116" s="79"/>
      <c r="R116" s="6"/>
      <c r="S116" s="6"/>
      <c r="T116" s="6"/>
      <c r="U116" s="6"/>
      <c r="V116" s="6"/>
      <c r="W116" s="80"/>
      <c r="X116" s="79"/>
      <c r="Y116" s="6"/>
      <c r="Z116" s="6"/>
      <c r="AA116" s="6"/>
      <c r="AB116" s="6"/>
      <c r="AC116" s="80"/>
      <c r="AD116" s="88" t="str">
        <f t="shared" si="1"/>
        <v>Aceptable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ht="38.25">
      <c r="A117" s="52">
        <f>Inicial!A113</f>
        <v>111</v>
      </c>
      <c r="B117" s="53" t="str">
        <f>Inicial!B113</f>
        <v>Desposte</v>
      </c>
      <c r="C117" s="53" t="str">
        <f>Inicial!C113</f>
        <v>Operador Línea Filete y Cabeza</v>
      </c>
      <c r="D117" s="54" t="str">
        <f>Inicial!D113</f>
        <v>Exracción de cuero Axilar</v>
      </c>
      <c r="E117" s="52" t="str">
        <f>IF(Inicial!K113="SI",Inicial!E113,"N/A")</f>
        <v>N/A</v>
      </c>
      <c r="F117" s="53" t="str">
        <f>IF(Inicial!K113="SI",Inicial!F113,"N/A")</f>
        <v>N/A</v>
      </c>
      <c r="G117" s="53" t="str">
        <f>IF(Inicial!K113="SI",Inicial!G113,"N/A")</f>
        <v>N/A</v>
      </c>
      <c r="H117" s="53" t="str">
        <f>IF(Inicial!K113="SI",Inicial!H113,"N/A")</f>
        <v>N/A</v>
      </c>
      <c r="I117" s="64" t="str">
        <f>IF(Inicial!K113="SI",Inicial!I113,"N/A")</f>
        <v>N/A</v>
      </c>
      <c r="K117" s="6"/>
      <c r="L117" s="6"/>
      <c r="M117" s="6"/>
      <c r="N117" s="6"/>
      <c r="O117" s="6"/>
      <c r="P117" s="83"/>
      <c r="Q117" s="79"/>
      <c r="R117" s="6"/>
      <c r="S117" s="6"/>
      <c r="T117" s="6"/>
      <c r="U117" s="6"/>
      <c r="V117" s="6"/>
      <c r="W117" s="80"/>
      <c r="X117" s="79"/>
      <c r="Y117" s="6"/>
      <c r="Z117" s="6"/>
      <c r="AA117" s="6"/>
      <c r="AB117" s="6"/>
      <c r="AC117" s="80"/>
      <c r="AD117" s="88" t="str">
        <f t="shared" si="1"/>
        <v>Aceptable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ht="38.25">
      <c r="A118" s="52">
        <f>Inicial!A114</f>
        <v>112</v>
      </c>
      <c r="B118" s="53" t="str">
        <f>Inicial!B114</f>
        <v>Desposte</v>
      </c>
      <c r="C118" s="53" t="str">
        <f>Inicial!C114</f>
        <v>Operador Línea Filete y Cabeza</v>
      </c>
      <c r="D118" s="54" t="str">
        <f>Inicial!D114</f>
        <v>Embalar Perniles</v>
      </c>
      <c r="E118" s="52" t="str">
        <f>IF(Inicial!K114="SI",Inicial!E114,"N/A")</f>
        <v>N/A</v>
      </c>
      <c r="F118" s="53" t="str">
        <f>IF(Inicial!K114="SI",Inicial!F114,"N/A")</f>
        <v>N/A</v>
      </c>
      <c r="G118" s="53" t="str">
        <f>IF(Inicial!K114="SI",Inicial!G114,"N/A")</f>
        <v>N/A</v>
      </c>
      <c r="H118" s="53" t="str">
        <f>IF(Inicial!K114="SI",Inicial!H114,"N/A")</f>
        <v>N/A</v>
      </c>
      <c r="I118" s="64" t="str">
        <f>IF(Inicial!K114="SI",Inicial!I114,"N/A")</f>
        <v>N/A</v>
      </c>
      <c r="K118" s="6"/>
      <c r="L118" s="6"/>
      <c r="M118" s="6"/>
      <c r="N118" s="6"/>
      <c r="O118" s="6"/>
      <c r="P118" s="83"/>
      <c r="Q118" s="79"/>
      <c r="R118" s="6"/>
      <c r="S118" s="6"/>
      <c r="T118" s="6"/>
      <c r="U118" s="6"/>
      <c r="V118" s="6"/>
      <c r="W118" s="80"/>
      <c r="X118" s="79"/>
      <c r="Y118" s="6"/>
      <c r="Z118" s="6"/>
      <c r="AA118" s="6"/>
      <c r="AB118" s="6"/>
      <c r="AC118" s="80"/>
      <c r="AD118" s="88" t="str">
        <f t="shared" si="1"/>
        <v>Aceptable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ht="38.25">
      <c r="A119" s="52">
        <f>Inicial!A115</f>
        <v>113</v>
      </c>
      <c r="B119" s="53" t="str">
        <f>Inicial!B115</f>
        <v>Desposte</v>
      </c>
      <c r="C119" s="53" t="str">
        <f>Inicial!C115</f>
        <v>Operador Línea Filete y Cabeza</v>
      </c>
      <c r="D119" s="54" t="str">
        <f>Inicial!D115</f>
        <v>Embalador Perniles</v>
      </c>
      <c r="E119" s="52" t="str">
        <f>IF(Inicial!K115="SI",Inicial!E115,"N/A")</f>
        <v>N/A</v>
      </c>
      <c r="F119" s="53" t="str">
        <f>IF(Inicial!K115="SI",Inicial!F115,"N/A")</f>
        <v>N/A</v>
      </c>
      <c r="G119" s="53" t="str">
        <f>IF(Inicial!K115="SI",Inicial!G115,"N/A")</f>
        <v>N/A</v>
      </c>
      <c r="H119" s="53" t="str">
        <f>IF(Inicial!K115="SI",Inicial!H115,"N/A")</f>
        <v>N/A</v>
      </c>
      <c r="I119" s="64" t="str">
        <f>IF(Inicial!K115="SI",Inicial!I115,"N/A")</f>
        <v>N/A</v>
      </c>
      <c r="K119" s="6"/>
      <c r="L119" s="6"/>
      <c r="M119" s="6"/>
      <c r="N119" s="6"/>
      <c r="O119" s="6"/>
      <c r="P119" s="83"/>
      <c r="Q119" s="79"/>
      <c r="R119" s="6"/>
      <c r="S119" s="6"/>
      <c r="T119" s="6"/>
      <c r="U119" s="6"/>
      <c r="V119" s="6"/>
      <c r="W119" s="80"/>
      <c r="X119" s="79"/>
      <c r="Y119" s="6"/>
      <c r="Z119" s="6"/>
      <c r="AA119" s="6"/>
      <c r="AB119" s="6"/>
      <c r="AC119" s="80"/>
      <c r="AD119" s="88" t="str">
        <f t="shared" si="1"/>
        <v>Aceptable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ht="38.25">
      <c r="A120" s="52">
        <f>Inicial!A116</f>
        <v>114</v>
      </c>
      <c r="B120" s="53" t="str">
        <f>Inicial!B116</f>
        <v>Desposte</v>
      </c>
      <c r="C120" s="53" t="str">
        <f>Inicial!C116</f>
        <v>Operador Línea Filete y Cabeza</v>
      </c>
      <c r="D120" s="54" t="str">
        <f>Inicial!D116</f>
        <v>Prolijado Entraña</v>
      </c>
      <c r="E120" s="52" t="str">
        <f>IF(Inicial!K116="SI",Inicial!E116,"N/A")</f>
        <v>N/A</v>
      </c>
      <c r="F120" s="53" t="str">
        <f>IF(Inicial!K116="SI",Inicial!F116,"N/A")</f>
        <v>N/A</v>
      </c>
      <c r="G120" s="53" t="str">
        <f>IF(Inicial!K116="SI",Inicial!G116,"N/A")</f>
        <v>N/A</v>
      </c>
      <c r="H120" s="53" t="str">
        <f>IF(Inicial!K116="SI",Inicial!H116,"N/A")</f>
        <v>N/A</v>
      </c>
      <c r="I120" s="64" t="str">
        <f>IF(Inicial!K116="SI",Inicial!I116,"N/A")</f>
        <v>N/A</v>
      </c>
      <c r="K120" s="6"/>
      <c r="L120" s="6"/>
      <c r="M120" s="6"/>
      <c r="N120" s="6"/>
      <c r="O120" s="6"/>
      <c r="P120" s="83"/>
      <c r="Q120" s="79"/>
      <c r="R120" s="6"/>
      <c r="S120" s="6"/>
      <c r="T120" s="6"/>
      <c r="U120" s="6"/>
      <c r="V120" s="6"/>
      <c r="W120" s="80"/>
      <c r="X120" s="79"/>
      <c r="Y120" s="6"/>
      <c r="Z120" s="6"/>
      <c r="AA120" s="6"/>
      <c r="AB120" s="6"/>
      <c r="AC120" s="80"/>
      <c r="AD120" s="88" t="str">
        <f t="shared" si="1"/>
        <v>Aceptable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ht="38.25">
      <c r="A121" s="52">
        <f>Inicial!A117</f>
        <v>115</v>
      </c>
      <c r="B121" s="53" t="str">
        <f>Inicial!B117</f>
        <v>Desposte</v>
      </c>
      <c r="C121" s="53" t="str">
        <f>Inicial!C117</f>
        <v>Operador Línea Filete y Cabeza</v>
      </c>
      <c r="D121" s="54" t="str">
        <f>Inicial!D117</f>
        <v>Embalaje patas y manos</v>
      </c>
      <c r="E121" s="52" t="str">
        <f>IF(Inicial!K117="SI",Inicial!E117,"N/A")</f>
        <v>N/A</v>
      </c>
      <c r="F121" s="53" t="str">
        <f>IF(Inicial!K117="SI",Inicial!F117,"N/A")</f>
        <v>N/A</v>
      </c>
      <c r="G121" s="53" t="str">
        <f>IF(Inicial!K117="SI",Inicial!G117,"N/A")</f>
        <v>N/A</v>
      </c>
      <c r="H121" s="53" t="str">
        <f>IF(Inicial!K117="SI",Inicial!H117,"N/A")</f>
        <v>N/A</v>
      </c>
      <c r="I121" s="64" t="str">
        <f>IF(Inicial!K117="SI",Inicial!I117,"N/A")</f>
        <v>N/A</v>
      </c>
      <c r="K121" s="6"/>
      <c r="L121" s="6"/>
      <c r="M121" s="6"/>
      <c r="N121" s="6"/>
      <c r="O121" s="6"/>
      <c r="P121" s="83"/>
      <c r="Q121" s="79"/>
      <c r="R121" s="6"/>
      <c r="S121" s="6"/>
      <c r="T121" s="6"/>
      <c r="U121" s="6"/>
      <c r="V121" s="6"/>
      <c r="W121" s="80"/>
      <c r="X121" s="79"/>
      <c r="Y121" s="6"/>
      <c r="Z121" s="6"/>
      <c r="AA121" s="6"/>
      <c r="AB121" s="6"/>
      <c r="AC121" s="80"/>
      <c r="AD121" s="88" t="str">
        <f t="shared" si="1"/>
        <v>Aceptable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>
      <c r="A122" s="52">
        <f>Inicial!A118</f>
        <v>0</v>
      </c>
      <c r="B122" s="53">
        <f>Inicial!B118</f>
        <v>0</v>
      </c>
      <c r="C122" s="53">
        <f>Inicial!C118</f>
        <v>0</v>
      </c>
      <c r="D122" s="54">
        <f>Inicial!D118</f>
        <v>0</v>
      </c>
      <c r="E122" s="52" t="str">
        <f>IF(Inicial!K118="SI",Inicial!E118,"N/A")</f>
        <v>N/A</v>
      </c>
      <c r="F122" s="53" t="str">
        <f>IF(Inicial!K118="SI",Inicial!F118,"N/A")</f>
        <v>N/A</v>
      </c>
      <c r="G122" s="53" t="str">
        <f>IF(Inicial!K118="SI",Inicial!G118,"N/A")</f>
        <v>N/A</v>
      </c>
      <c r="H122" s="53" t="str">
        <f>IF(Inicial!K118="SI",Inicial!H118,"N/A")</f>
        <v>N/A</v>
      </c>
      <c r="I122" s="64" t="str">
        <f>IF(Inicial!K118="SI",Inicial!I118,"N/A")</f>
        <v>N/A</v>
      </c>
      <c r="K122" s="6"/>
      <c r="L122" s="6"/>
      <c r="M122" s="6"/>
      <c r="N122" s="6"/>
      <c r="O122" s="6"/>
      <c r="P122" s="83"/>
      <c r="Q122" s="79"/>
      <c r="R122" s="6"/>
      <c r="S122" s="6"/>
      <c r="T122" s="6"/>
      <c r="U122" s="6"/>
      <c r="V122" s="6"/>
      <c r="W122" s="80"/>
      <c r="X122" s="79"/>
      <c r="Y122" s="6"/>
      <c r="Z122" s="6"/>
      <c r="AA122" s="6"/>
      <c r="AB122" s="6"/>
      <c r="AC122" s="80"/>
      <c r="AD122" s="88" t="str">
        <f t="shared" si="1"/>
        <v>Aceptable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>
      <c r="A123" s="52">
        <f>Inicial!A119</f>
        <v>0</v>
      </c>
      <c r="B123" s="53">
        <f>Inicial!B119</f>
        <v>0</v>
      </c>
      <c r="C123" s="53">
        <f>Inicial!C119</f>
        <v>0</v>
      </c>
      <c r="D123" s="54">
        <f>Inicial!D119</f>
        <v>0</v>
      </c>
      <c r="E123" s="52" t="str">
        <f>IF(Inicial!K119="SI",Inicial!E119,"N/A")</f>
        <v>N/A</v>
      </c>
      <c r="F123" s="53" t="str">
        <f>IF(Inicial!K119="SI",Inicial!F119,"N/A")</f>
        <v>N/A</v>
      </c>
      <c r="G123" s="53" t="str">
        <f>IF(Inicial!K119="SI",Inicial!G119,"N/A")</f>
        <v>N/A</v>
      </c>
      <c r="H123" s="53" t="str">
        <f>IF(Inicial!K119="SI",Inicial!H119,"N/A")</f>
        <v>N/A</v>
      </c>
      <c r="I123" s="64" t="str">
        <f>IF(Inicial!K119="SI",Inicial!I119,"N/A")</f>
        <v>N/A</v>
      </c>
      <c r="K123" s="6"/>
      <c r="L123" s="6"/>
      <c r="M123" s="6"/>
      <c r="N123" s="6"/>
      <c r="O123" s="6"/>
      <c r="P123" s="83"/>
      <c r="Q123" s="79"/>
      <c r="R123" s="6"/>
      <c r="S123" s="6"/>
      <c r="T123" s="6"/>
      <c r="U123" s="6"/>
      <c r="V123" s="6"/>
      <c r="W123" s="80"/>
      <c r="X123" s="79"/>
      <c r="Y123" s="6"/>
      <c r="Z123" s="6"/>
      <c r="AA123" s="6"/>
      <c r="AB123" s="6"/>
      <c r="AC123" s="80"/>
      <c r="AD123" s="88" t="str">
        <f t="shared" si="1"/>
        <v>Aceptable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>
      <c r="A124" s="52">
        <f>Inicial!A120</f>
        <v>0</v>
      </c>
      <c r="B124" s="53">
        <f>Inicial!B120</f>
        <v>0</v>
      </c>
      <c r="C124" s="53">
        <f>Inicial!C120</f>
        <v>0</v>
      </c>
      <c r="D124" s="54">
        <f>Inicial!D120</f>
        <v>0</v>
      </c>
      <c r="E124" s="52" t="str">
        <f>IF(Inicial!K120="SI",Inicial!E120,"N/A")</f>
        <v>N/A</v>
      </c>
      <c r="F124" s="53" t="str">
        <f>IF(Inicial!K120="SI",Inicial!F120,"N/A")</f>
        <v>N/A</v>
      </c>
      <c r="G124" s="53" t="str">
        <f>IF(Inicial!K120="SI",Inicial!G120,"N/A")</f>
        <v>N/A</v>
      </c>
      <c r="H124" s="53" t="str">
        <f>IF(Inicial!K120="SI",Inicial!H120,"N/A")</f>
        <v>N/A</v>
      </c>
      <c r="I124" s="64" t="str">
        <f>IF(Inicial!K120="SI",Inicial!I120,"N/A")</f>
        <v>N/A</v>
      </c>
      <c r="K124" s="6"/>
      <c r="L124" s="6"/>
      <c r="M124" s="6"/>
      <c r="N124" s="6"/>
      <c r="O124" s="6"/>
      <c r="P124" s="83"/>
      <c r="Q124" s="79"/>
      <c r="R124" s="6"/>
      <c r="S124" s="6"/>
      <c r="T124" s="6"/>
      <c r="U124" s="6"/>
      <c r="V124" s="6"/>
      <c r="W124" s="80"/>
      <c r="X124" s="79"/>
      <c r="Y124" s="6"/>
      <c r="Z124" s="6"/>
      <c r="AA124" s="6"/>
      <c r="AB124" s="6"/>
      <c r="AC124" s="80"/>
      <c r="AD124" s="88" t="str">
        <f t="shared" si="1"/>
        <v>Aceptable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>
      <c r="A125" s="52">
        <f>Inicial!A121</f>
        <v>0</v>
      </c>
      <c r="B125" s="53">
        <f>Inicial!B121</f>
        <v>0</v>
      </c>
      <c r="C125" s="53">
        <f>Inicial!C121</f>
        <v>0</v>
      </c>
      <c r="D125" s="54">
        <f>Inicial!D121</f>
        <v>0</v>
      </c>
      <c r="E125" s="52" t="str">
        <f>IF(Inicial!K121="SI",Inicial!E121,"N/A")</f>
        <v>N/A</v>
      </c>
      <c r="F125" s="53" t="str">
        <f>IF(Inicial!K121="SI",Inicial!F121,"N/A")</f>
        <v>N/A</v>
      </c>
      <c r="G125" s="53" t="str">
        <f>IF(Inicial!K121="SI",Inicial!G121,"N/A")</f>
        <v>N/A</v>
      </c>
      <c r="H125" s="53" t="str">
        <f>IF(Inicial!K121="SI",Inicial!H121,"N/A")</f>
        <v>N/A</v>
      </c>
      <c r="I125" s="64" t="str">
        <f>IF(Inicial!K121="SI",Inicial!I121,"N/A")</f>
        <v>N/A</v>
      </c>
      <c r="K125" s="6"/>
      <c r="L125" s="6"/>
      <c r="M125" s="6"/>
      <c r="N125" s="6"/>
      <c r="O125" s="6"/>
      <c r="P125" s="83"/>
      <c r="Q125" s="79"/>
      <c r="R125" s="6"/>
      <c r="S125" s="6"/>
      <c r="T125" s="6"/>
      <c r="U125" s="6"/>
      <c r="V125" s="6"/>
      <c r="W125" s="80"/>
      <c r="X125" s="79"/>
      <c r="Y125" s="6"/>
      <c r="Z125" s="6"/>
      <c r="AA125" s="6"/>
      <c r="AB125" s="6"/>
      <c r="AC125" s="80"/>
      <c r="AD125" s="88" t="str">
        <f t="shared" si="1"/>
        <v>Aceptable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>
      <c r="A126" s="52"/>
      <c r="B126" s="53"/>
      <c r="C126" s="53"/>
      <c r="D126" s="54"/>
      <c r="E126" s="52"/>
      <c r="F126" s="53"/>
      <c r="G126" s="53"/>
      <c r="H126" s="53"/>
      <c r="I126" s="64"/>
      <c r="K126" s="6"/>
      <c r="L126" s="6"/>
      <c r="M126" s="6"/>
      <c r="N126" s="6"/>
      <c r="O126" s="6"/>
      <c r="P126" s="83"/>
      <c r="Q126" s="79"/>
      <c r="R126" s="6"/>
      <c r="S126" s="6"/>
      <c r="T126" s="6"/>
      <c r="U126" s="6"/>
      <c r="V126" s="6"/>
      <c r="W126" s="80"/>
      <c r="X126" s="79"/>
      <c r="Y126" s="6"/>
      <c r="Z126" s="6"/>
      <c r="AA126" s="6"/>
      <c r="AB126" s="6"/>
      <c r="AC126" s="80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>
      <c r="A127" s="52"/>
      <c r="B127" s="53"/>
      <c r="C127" s="53"/>
      <c r="D127" s="54"/>
      <c r="E127" s="52"/>
      <c r="F127" s="53"/>
      <c r="G127" s="53"/>
      <c r="H127" s="53"/>
      <c r="I127" s="64"/>
      <c r="K127" s="6"/>
      <c r="L127" s="6"/>
      <c r="M127" s="6"/>
      <c r="N127" s="6"/>
      <c r="O127" s="6"/>
      <c r="P127" s="83"/>
      <c r="Q127" s="79"/>
      <c r="R127" s="6"/>
      <c r="S127" s="6"/>
      <c r="T127" s="6"/>
      <c r="U127" s="6"/>
      <c r="V127" s="6"/>
      <c r="W127" s="80"/>
      <c r="X127" s="79"/>
      <c r="Y127" s="6"/>
      <c r="Z127" s="6"/>
      <c r="AA127" s="6"/>
      <c r="AB127" s="6"/>
      <c r="AC127" s="80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>
      <c r="A128" s="52"/>
      <c r="B128" s="53"/>
      <c r="C128" s="53"/>
      <c r="D128" s="54"/>
      <c r="E128" s="52"/>
      <c r="F128" s="53"/>
      <c r="G128" s="53"/>
      <c r="H128" s="53"/>
      <c r="I128" s="64"/>
      <c r="K128" s="6"/>
      <c r="L128" s="6"/>
      <c r="M128" s="6"/>
      <c r="N128" s="6"/>
      <c r="O128" s="6"/>
      <c r="P128" s="83"/>
      <c r="Q128" s="79"/>
      <c r="R128" s="6"/>
      <c r="S128" s="6"/>
      <c r="T128" s="6"/>
      <c r="U128" s="6"/>
      <c r="V128" s="6"/>
      <c r="W128" s="80"/>
      <c r="X128" s="79"/>
      <c r="Y128" s="6"/>
      <c r="Z128" s="6"/>
      <c r="AA128" s="6"/>
      <c r="AB128" s="6"/>
      <c r="AC128" s="80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>
      <c r="A129" s="52"/>
      <c r="B129" s="53"/>
      <c r="C129" s="53"/>
      <c r="D129" s="54"/>
      <c r="E129" s="52"/>
      <c r="F129" s="53"/>
      <c r="G129" s="53"/>
      <c r="H129" s="53"/>
      <c r="I129" s="64"/>
      <c r="K129" s="6"/>
      <c r="L129" s="6"/>
      <c r="M129" s="6"/>
      <c r="N129" s="6"/>
      <c r="O129" s="6"/>
      <c r="P129" s="83"/>
      <c r="Q129" s="79"/>
      <c r="R129" s="6"/>
      <c r="S129" s="6"/>
      <c r="T129" s="6"/>
      <c r="U129" s="6"/>
      <c r="V129" s="6"/>
      <c r="W129" s="80"/>
      <c r="X129" s="79"/>
      <c r="Y129" s="6"/>
      <c r="Z129" s="6"/>
      <c r="AA129" s="6"/>
      <c r="AB129" s="6"/>
      <c r="AC129" s="80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>
      <c r="A130" s="52"/>
      <c r="B130" s="53"/>
      <c r="C130" s="53"/>
      <c r="D130" s="54"/>
      <c r="E130" s="52"/>
      <c r="F130" s="53"/>
      <c r="G130" s="53"/>
      <c r="H130" s="53"/>
      <c r="I130" s="64"/>
      <c r="K130" s="6"/>
      <c r="L130" s="6"/>
      <c r="M130" s="6"/>
      <c r="N130" s="6"/>
      <c r="O130" s="6"/>
      <c r="P130" s="83"/>
      <c r="Q130" s="79"/>
      <c r="R130" s="6"/>
      <c r="S130" s="6"/>
      <c r="T130" s="6"/>
      <c r="U130" s="6"/>
      <c r="V130" s="6"/>
      <c r="W130" s="80"/>
      <c r="X130" s="79"/>
      <c r="Y130" s="6"/>
      <c r="Z130" s="6"/>
      <c r="AA130" s="6"/>
      <c r="AB130" s="6"/>
      <c r="AC130" s="80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>
      <c r="A131" s="52"/>
      <c r="B131" s="53"/>
      <c r="C131" s="53"/>
      <c r="D131" s="54"/>
      <c r="E131" s="52"/>
      <c r="F131" s="53"/>
      <c r="G131" s="53"/>
      <c r="H131" s="53"/>
      <c r="I131" s="64"/>
      <c r="K131" s="6"/>
      <c r="L131" s="6"/>
      <c r="M131" s="6"/>
      <c r="N131" s="6"/>
      <c r="O131" s="6"/>
      <c r="P131" s="83"/>
      <c r="Q131" s="79"/>
      <c r="R131" s="6"/>
      <c r="S131" s="6"/>
      <c r="T131" s="6"/>
      <c r="U131" s="6"/>
      <c r="V131" s="6"/>
      <c r="W131" s="80"/>
      <c r="X131" s="79"/>
      <c r="Y131" s="6"/>
      <c r="Z131" s="6"/>
      <c r="AA131" s="6"/>
      <c r="AB131" s="6"/>
      <c r="AC131" s="80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>
      <c r="A132" s="52"/>
      <c r="B132" s="53"/>
      <c r="C132" s="53"/>
      <c r="D132" s="54"/>
      <c r="E132" s="52"/>
      <c r="F132" s="53"/>
      <c r="G132" s="53"/>
      <c r="H132" s="53"/>
      <c r="I132" s="64"/>
      <c r="K132" s="6"/>
      <c r="L132" s="6"/>
      <c r="M132" s="6"/>
      <c r="N132" s="6"/>
      <c r="O132" s="6"/>
      <c r="P132" s="83"/>
      <c r="Q132" s="79"/>
      <c r="R132" s="6"/>
      <c r="S132" s="6"/>
      <c r="T132" s="6"/>
      <c r="U132" s="6"/>
      <c r="V132" s="6"/>
      <c r="W132" s="80"/>
      <c r="X132" s="79"/>
      <c r="Y132" s="6"/>
      <c r="Z132" s="6"/>
      <c r="AA132" s="6"/>
      <c r="AB132" s="6"/>
      <c r="AC132" s="80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>
      <c r="A133" s="52"/>
      <c r="B133" s="53"/>
      <c r="C133" s="53"/>
      <c r="D133" s="54"/>
      <c r="E133" s="52"/>
      <c r="F133" s="53"/>
      <c r="G133" s="53"/>
      <c r="H133" s="53"/>
      <c r="I133" s="64"/>
      <c r="K133" s="6"/>
      <c r="L133" s="6"/>
      <c r="M133" s="6"/>
      <c r="N133" s="6"/>
      <c r="O133" s="6"/>
      <c r="P133" s="83"/>
      <c r="Q133" s="79"/>
      <c r="R133" s="6"/>
      <c r="S133" s="6"/>
      <c r="T133" s="6"/>
      <c r="U133" s="6"/>
      <c r="V133" s="6"/>
      <c r="W133" s="80"/>
      <c r="X133" s="79"/>
      <c r="Y133" s="6"/>
      <c r="Z133" s="6"/>
      <c r="AA133" s="6"/>
      <c r="AB133" s="6"/>
      <c r="AC133" s="80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>
      <c r="A134" s="52"/>
      <c r="B134" s="53"/>
      <c r="C134" s="53"/>
      <c r="D134" s="54"/>
      <c r="E134" s="52"/>
      <c r="F134" s="53"/>
      <c r="G134" s="53"/>
      <c r="H134" s="53"/>
      <c r="I134" s="64"/>
      <c r="K134" s="6"/>
      <c r="L134" s="6"/>
      <c r="M134" s="6"/>
      <c r="N134" s="6"/>
      <c r="O134" s="6"/>
      <c r="P134" s="83"/>
      <c r="Q134" s="79"/>
      <c r="R134" s="6"/>
      <c r="S134" s="6"/>
      <c r="T134" s="6"/>
      <c r="U134" s="6"/>
      <c r="V134" s="6"/>
      <c r="W134" s="80"/>
      <c r="X134" s="79"/>
      <c r="Y134" s="6"/>
      <c r="Z134" s="6"/>
      <c r="AA134" s="6"/>
      <c r="AB134" s="6"/>
      <c r="AC134" s="80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>
      <c r="A135" s="52"/>
      <c r="B135" s="53"/>
      <c r="C135" s="53"/>
      <c r="D135" s="54"/>
      <c r="E135" s="52"/>
      <c r="F135" s="53"/>
      <c r="G135" s="53"/>
      <c r="H135" s="53"/>
      <c r="I135" s="64"/>
      <c r="K135" s="6"/>
      <c r="L135" s="6"/>
      <c r="M135" s="6"/>
      <c r="N135" s="6"/>
      <c r="O135" s="6"/>
      <c r="P135" s="83"/>
      <c r="Q135" s="79"/>
      <c r="R135" s="6"/>
      <c r="S135" s="6"/>
      <c r="T135" s="6"/>
      <c r="U135" s="6"/>
      <c r="V135" s="6"/>
      <c r="W135" s="80"/>
      <c r="X135" s="79"/>
      <c r="Y135" s="6"/>
      <c r="Z135" s="6"/>
      <c r="AA135" s="6"/>
      <c r="AB135" s="6"/>
      <c r="AC135" s="80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>
      <c r="A136" s="52"/>
      <c r="B136" s="53"/>
      <c r="C136" s="53"/>
      <c r="D136" s="54"/>
      <c r="E136" s="52"/>
      <c r="F136" s="53"/>
      <c r="G136" s="53"/>
      <c r="H136" s="53"/>
      <c r="I136" s="64"/>
      <c r="K136" s="6"/>
      <c r="L136" s="6"/>
      <c r="M136" s="6"/>
      <c r="N136" s="6"/>
      <c r="O136" s="6"/>
      <c r="P136" s="83"/>
      <c r="Q136" s="79"/>
      <c r="R136" s="6"/>
      <c r="S136" s="6"/>
      <c r="T136" s="6"/>
      <c r="U136" s="6"/>
      <c r="V136" s="6"/>
      <c r="W136" s="80"/>
      <c r="X136" s="79"/>
      <c r="Y136" s="6"/>
      <c r="Z136" s="6"/>
      <c r="AA136" s="6"/>
      <c r="AB136" s="6"/>
      <c r="AC136" s="80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>
      <c r="A137" s="52"/>
      <c r="B137" s="53"/>
      <c r="C137" s="53"/>
      <c r="D137" s="54"/>
      <c r="E137" s="52"/>
      <c r="F137" s="53"/>
      <c r="G137" s="53"/>
      <c r="H137" s="53"/>
      <c r="I137" s="64"/>
      <c r="K137" s="6"/>
      <c r="L137" s="6"/>
      <c r="M137" s="6"/>
      <c r="N137" s="6"/>
      <c r="O137" s="6"/>
      <c r="P137" s="83"/>
      <c r="Q137" s="79"/>
      <c r="R137" s="6"/>
      <c r="S137" s="6"/>
      <c r="T137" s="6"/>
      <c r="U137" s="6"/>
      <c r="V137" s="6"/>
      <c r="W137" s="80"/>
      <c r="X137" s="79"/>
      <c r="Y137" s="6"/>
      <c r="Z137" s="6"/>
      <c r="AA137" s="6"/>
      <c r="AB137" s="6"/>
      <c r="AC137" s="80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>
      <c r="A138" s="52"/>
      <c r="B138" s="53"/>
      <c r="C138" s="53"/>
      <c r="D138" s="54"/>
      <c r="E138" s="52"/>
      <c r="F138" s="53"/>
      <c r="G138" s="53"/>
      <c r="H138" s="53"/>
      <c r="I138" s="64"/>
      <c r="K138" s="6"/>
      <c r="L138" s="6"/>
      <c r="M138" s="6"/>
      <c r="N138" s="6"/>
      <c r="O138" s="6"/>
      <c r="P138" s="83"/>
      <c r="Q138" s="79"/>
      <c r="R138" s="6"/>
      <c r="S138" s="6"/>
      <c r="T138" s="6"/>
      <c r="U138" s="6"/>
      <c r="V138" s="6"/>
      <c r="W138" s="80"/>
      <c r="X138" s="79"/>
      <c r="Y138" s="6"/>
      <c r="Z138" s="6"/>
      <c r="AA138" s="6"/>
      <c r="AB138" s="6"/>
      <c r="AC138" s="80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>
      <c r="A139" s="52"/>
      <c r="B139" s="53"/>
      <c r="C139" s="53"/>
      <c r="D139" s="54"/>
      <c r="E139" s="52"/>
      <c r="F139" s="53"/>
      <c r="G139" s="53"/>
      <c r="H139" s="53"/>
      <c r="I139" s="64"/>
      <c r="K139" s="6"/>
      <c r="L139" s="6"/>
      <c r="M139" s="6"/>
      <c r="N139" s="6"/>
      <c r="O139" s="6"/>
      <c r="P139" s="83"/>
      <c r="Q139" s="79"/>
      <c r="R139" s="6"/>
      <c r="S139" s="6"/>
      <c r="T139" s="6"/>
      <c r="U139" s="6"/>
      <c r="V139" s="6"/>
      <c r="W139" s="80"/>
      <c r="X139" s="79"/>
      <c r="Y139" s="6"/>
      <c r="Z139" s="6"/>
      <c r="AA139" s="6"/>
      <c r="AB139" s="6"/>
      <c r="AC139" s="80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>
      <c r="A140" s="52"/>
      <c r="B140" s="53"/>
      <c r="C140" s="53"/>
      <c r="D140" s="54"/>
      <c r="E140" s="52"/>
      <c r="F140" s="53"/>
      <c r="G140" s="53"/>
      <c r="H140" s="53"/>
      <c r="I140" s="64"/>
      <c r="K140" s="6"/>
      <c r="L140" s="6"/>
      <c r="M140" s="6"/>
      <c r="N140" s="6"/>
      <c r="O140" s="6"/>
      <c r="P140" s="83"/>
      <c r="Q140" s="79"/>
      <c r="R140" s="6"/>
      <c r="S140" s="6"/>
      <c r="T140" s="6"/>
      <c r="U140" s="6"/>
      <c r="V140" s="6"/>
      <c r="W140" s="80"/>
      <c r="X140" s="79"/>
      <c r="Y140" s="6"/>
      <c r="Z140" s="6"/>
      <c r="AA140" s="6"/>
      <c r="AB140" s="6"/>
      <c r="AC140" s="80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>
      <c r="A141" s="52"/>
      <c r="B141" s="53"/>
      <c r="C141" s="53"/>
      <c r="D141" s="54"/>
      <c r="E141" s="52"/>
      <c r="F141" s="53"/>
      <c r="G141" s="53"/>
      <c r="H141" s="53"/>
      <c r="I141" s="64"/>
      <c r="K141" s="6"/>
      <c r="L141" s="6"/>
      <c r="M141" s="6"/>
      <c r="N141" s="6"/>
      <c r="O141" s="6"/>
      <c r="P141" s="83"/>
      <c r="Q141" s="79"/>
      <c r="R141" s="6"/>
      <c r="S141" s="6"/>
      <c r="T141" s="6"/>
      <c r="U141" s="6"/>
      <c r="V141" s="6"/>
      <c r="W141" s="80"/>
      <c r="X141" s="79"/>
      <c r="Y141" s="6"/>
      <c r="Z141" s="6"/>
      <c r="AA141" s="6"/>
      <c r="AB141" s="6"/>
      <c r="AC141" s="80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>
      <c r="A142" s="52"/>
      <c r="B142" s="53"/>
      <c r="C142" s="53"/>
      <c r="D142" s="54"/>
      <c r="E142" s="52"/>
      <c r="F142" s="53"/>
      <c r="G142" s="53"/>
      <c r="H142" s="53"/>
      <c r="I142" s="64"/>
      <c r="K142" s="6"/>
      <c r="L142" s="6"/>
      <c r="M142" s="6"/>
      <c r="N142" s="6"/>
      <c r="O142" s="6"/>
      <c r="P142" s="83"/>
      <c r="Q142" s="79"/>
      <c r="R142" s="6"/>
      <c r="S142" s="6"/>
      <c r="T142" s="6"/>
      <c r="U142" s="6"/>
      <c r="V142" s="6"/>
      <c r="W142" s="80"/>
      <c r="X142" s="79"/>
      <c r="Y142" s="6"/>
      <c r="Z142" s="6"/>
      <c r="AA142" s="6"/>
      <c r="AB142" s="6"/>
      <c r="AC142" s="80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>
      <c r="A143" s="52"/>
      <c r="B143" s="53"/>
      <c r="C143" s="53"/>
      <c r="D143" s="54"/>
      <c r="E143" s="52"/>
      <c r="F143" s="53"/>
      <c r="G143" s="53"/>
      <c r="H143" s="53"/>
      <c r="I143" s="64"/>
      <c r="K143" s="6"/>
      <c r="L143" s="6"/>
      <c r="M143" s="6"/>
      <c r="N143" s="6"/>
      <c r="O143" s="6"/>
      <c r="P143" s="83"/>
      <c r="Q143" s="79"/>
      <c r="R143" s="6"/>
      <c r="S143" s="6"/>
      <c r="T143" s="6"/>
      <c r="U143" s="6"/>
      <c r="V143" s="6"/>
      <c r="W143" s="80"/>
      <c r="X143" s="79"/>
      <c r="Y143" s="6"/>
      <c r="Z143" s="6"/>
      <c r="AA143" s="6"/>
      <c r="AB143" s="6"/>
      <c r="AC143" s="80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>
      <c r="A144" s="52"/>
      <c r="B144" s="53"/>
      <c r="C144" s="53"/>
      <c r="D144" s="54"/>
      <c r="E144" s="52"/>
      <c r="F144" s="53"/>
      <c r="G144" s="53"/>
      <c r="H144" s="53"/>
      <c r="I144" s="64"/>
      <c r="K144" s="6"/>
      <c r="L144" s="6"/>
      <c r="M144" s="6"/>
      <c r="N144" s="6"/>
      <c r="O144" s="6"/>
      <c r="P144" s="83"/>
      <c r="Q144" s="79"/>
      <c r="R144" s="6"/>
      <c r="S144" s="6"/>
      <c r="T144" s="6"/>
      <c r="U144" s="6"/>
      <c r="V144" s="6"/>
      <c r="W144" s="80"/>
      <c r="X144" s="79"/>
      <c r="Y144" s="6"/>
      <c r="Z144" s="6"/>
      <c r="AA144" s="6"/>
      <c r="AB144" s="6"/>
      <c r="AC144" s="80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>
      <c r="A145" s="52"/>
      <c r="B145" s="53"/>
      <c r="C145" s="53"/>
      <c r="D145" s="54"/>
      <c r="E145" s="52"/>
      <c r="F145" s="53"/>
      <c r="G145" s="53"/>
      <c r="H145" s="53"/>
      <c r="I145" s="64"/>
      <c r="K145" s="6"/>
      <c r="L145" s="6"/>
      <c r="M145" s="6"/>
      <c r="N145" s="6"/>
      <c r="O145" s="6"/>
      <c r="P145" s="83"/>
      <c r="Q145" s="79"/>
      <c r="R145" s="6"/>
      <c r="S145" s="6"/>
      <c r="T145" s="6"/>
      <c r="U145" s="6"/>
      <c r="V145" s="6"/>
      <c r="W145" s="80"/>
      <c r="X145" s="79"/>
      <c r="Y145" s="6"/>
      <c r="Z145" s="6"/>
      <c r="AA145" s="6"/>
      <c r="AB145" s="6"/>
      <c r="AC145" s="80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>
      <c r="A146" s="52"/>
      <c r="B146" s="53"/>
      <c r="C146" s="53"/>
      <c r="D146" s="54"/>
      <c r="E146" s="52"/>
      <c r="F146" s="53"/>
      <c r="G146" s="53"/>
      <c r="H146" s="53"/>
      <c r="I146" s="64"/>
      <c r="K146" s="6"/>
      <c r="L146" s="6"/>
      <c r="M146" s="6"/>
      <c r="N146" s="6"/>
      <c r="O146" s="6"/>
      <c r="P146" s="83"/>
      <c r="Q146" s="79"/>
      <c r="R146" s="6"/>
      <c r="S146" s="6"/>
      <c r="T146" s="6"/>
      <c r="U146" s="6"/>
      <c r="V146" s="6"/>
      <c r="W146" s="80"/>
      <c r="X146" s="79"/>
      <c r="Y146" s="6"/>
      <c r="Z146" s="6"/>
      <c r="AA146" s="6"/>
      <c r="AB146" s="6"/>
      <c r="AC146" s="80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>
      <c r="A147" s="52"/>
      <c r="B147" s="53"/>
      <c r="C147" s="53"/>
      <c r="D147" s="54"/>
      <c r="E147" s="52"/>
      <c r="F147" s="53"/>
      <c r="G147" s="53"/>
      <c r="H147" s="53"/>
      <c r="I147" s="64"/>
      <c r="K147" s="6"/>
      <c r="L147" s="6"/>
      <c r="M147" s="6"/>
      <c r="N147" s="6"/>
      <c r="O147" s="6"/>
      <c r="P147" s="83"/>
      <c r="Q147" s="79"/>
      <c r="R147" s="6"/>
      <c r="S147" s="6"/>
      <c r="T147" s="6"/>
      <c r="U147" s="6"/>
      <c r="V147" s="6"/>
      <c r="W147" s="80"/>
      <c r="X147" s="79"/>
      <c r="Y147" s="6"/>
      <c r="Z147" s="6"/>
      <c r="AA147" s="6"/>
      <c r="AB147" s="6"/>
      <c r="AC147" s="80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>
      <c r="A148" s="52"/>
      <c r="B148" s="53"/>
      <c r="C148" s="53"/>
      <c r="D148" s="54"/>
      <c r="E148" s="52"/>
      <c r="F148" s="53"/>
      <c r="G148" s="53"/>
      <c r="H148" s="53"/>
      <c r="I148" s="64"/>
      <c r="K148" s="6"/>
      <c r="L148" s="6"/>
      <c r="M148" s="6"/>
      <c r="N148" s="6"/>
      <c r="O148" s="6"/>
      <c r="P148" s="83"/>
      <c r="Q148" s="79"/>
      <c r="R148" s="6"/>
      <c r="S148" s="6"/>
      <c r="T148" s="6"/>
      <c r="U148" s="6"/>
      <c r="V148" s="6"/>
      <c r="W148" s="80"/>
      <c r="X148" s="79"/>
      <c r="Y148" s="6"/>
      <c r="Z148" s="6"/>
      <c r="AA148" s="6"/>
      <c r="AB148" s="6"/>
      <c r="AC148" s="80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>
      <c r="A149" s="52"/>
      <c r="B149" s="53"/>
      <c r="C149" s="53"/>
      <c r="D149" s="54"/>
      <c r="E149" s="52"/>
      <c r="F149" s="53"/>
      <c r="G149" s="53"/>
      <c r="H149" s="53"/>
      <c r="I149" s="64"/>
      <c r="K149" s="6"/>
      <c r="L149" s="6"/>
      <c r="M149" s="6"/>
      <c r="N149" s="6"/>
      <c r="O149" s="6"/>
      <c r="P149" s="83"/>
      <c r="Q149" s="79"/>
      <c r="R149" s="6"/>
      <c r="S149" s="6"/>
      <c r="T149" s="6"/>
      <c r="U149" s="6"/>
      <c r="V149" s="6"/>
      <c r="W149" s="80"/>
      <c r="X149" s="79"/>
      <c r="Y149" s="6"/>
      <c r="Z149" s="6"/>
      <c r="AA149" s="6"/>
      <c r="AB149" s="6"/>
      <c r="AC149" s="80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>
      <c r="A150" s="52"/>
      <c r="B150" s="53"/>
      <c r="C150" s="53"/>
      <c r="D150" s="54"/>
      <c r="E150" s="52"/>
      <c r="F150" s="53"/>
      <c r="G150" s="53"/>
      <c r="H150" s="53"/>
      <c r="I150" s="64"/>
      <c r="K150" s="6"/>
      <c r="L150" s="6"/>
      <c r="M150" s="6"/>
      <c r="N150" s="6"/>
      <c r="O150" s="6"/>
      <c r="P150" s="83"/>
      <c r="Q150" s="79"/>
      <c r="R150" s="6"/>
      <c r="S150" s="6"/>
      <c r="T150" s="6"/>
      <c r="U150" s="6"/>
      <c r="V150" s="6"/>
      <c r="W150" s="80"/>
      <c r="X150" s="79"/>
      <c r="Y150" s="6"/>
      <c r="Z150" s="6"/>
      <c r="AA150" s="6"/>
      <c r="AB150" s="6"/>
      <c r="AC150" s="80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>
      <c r="A151" s="52"/>
      <c r="B151" s="53"/>
      <c r="C151" s="53"/>
      <c r="D151" s="54"/>
      <c r="E151" s="52"/>
      <c r="F151" s="53"/>
      <c r="G151" s="53"/>
      <c r="H151" s="53"/>
      <c r="I151" s="64"/>
      <c r="K151" s="6"/>
      <c r="L151" s="6"/>
      <c r="M151" s="6"/>
      <c r="N151" s="6"/>
      <c r="O151" s="6"/>
      <c r="P151" s="83"/>
      <c r="Q151" s="79"/>
      <c r="R151" s="6"/>
      <c r="S151" s="6"/>
      <c r="T151" s="6"/>
      <c r="U151" s="6"/>
      <c r="V151" s="6"/>
      <c r="W151" s="80"/>
      <c r="X151" s="79"/>
      <c r="Y151" s="6"/>
      <c r="Z151" s="6"/>
      <c r="AA151" s="6"/>
      <c r="AB151" s="6"/>
      <c r="AC151" s="80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>
      <c r="A152" s="52"/>
      <c r="B152" s="53"/>
      <c r="C152" s="53"/>
      <c r="D152" s="54"/>
      <c r="E152" s="52"/>
      <c r="F152" s="53"/>
      <c r="G152" s="53"/>
      <c r="H152" s="53"/>
      <c r="I152" s="64"/>
      <c r="K152" s="6"/>
      <c r="L152" s="6"/>
      <c r="M152" s="6"/>
      <c r="N152" s="6"/>
      <c r="O152" s="6"/>
      <c r="P152" s="83"/>
      <c r="Q152" s="79"/>
      <c r="R152" s="6"/>
      <c r="S152" s="6"/>
      <c r="T152" s="6"/>
      <c r="U152" s="6"/>
      <c r="V152" s="6"/>
      <c r="W152" s="80"/>
      <c r="X152" s="79"/>
      <c r="Y152" s="6"/>
      <c r="Z152" s="6"/>
      <c r="AA152" s="6"/>
      <c r="AB152" s="6"/>
      <c r="AC152" s="80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>
      <c r="A153" s="52"/>
      <c r="B153" s="53"/>
      <c r="C153" s="53"/>
      <c r="D153" s="54"/>
      <c r="E153" s="52"/>
      <c r="F153" s="53"/>
      <c r="G153" s="53"/>
      <c r="H153" s="53"/>
      <c r="I153" s="64"/>
      <c r="K153" s="6"/>
      <c r="L153" s="6"/>
      <c r="M153" s="6"/>
      <c r="N153" s="6"/>
      <c r="O153" s="6"/>
      <c r="P153" s="83"/>
      <c r="Q153" s="79"/>
      <c r="R153" s="6"/>
      <c r="S153" s="6"/>
      <c r="T153" s="6"/>
      <c r="U153" s="6"/>
      <c r="V153" s="6"/>
      <c r="W153" s="80"/>
      <c r="X153" s="79"/>
      <c r="Y153" s="6"/>
      <c r="Z153" s="6"/>
      <c r="AA153" s="6"/>
      <c r="AB153" s="6"/>
      <c r="AC153" s="80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>
      <c r="A154" s="52"/>
      <c r="B154" s="53"/>
      <c r="C154" s="53"/>
      <c r="D154" s="54"/>
      <c r="E154" s="52"/>
      <c r="F154" s="53"/>
      <c r="G154" s="53"/>
      <c r="H154" s="53"/>
      <c r="I154" s="64"/>
      <c r="K154" s="6"/>
      <c r="L154" s="6"/>
      <c r="M154" s="6"/>
      <c r="N154" s="6"/>
      <c r="O154" s="6"/>
      <c r="P154" s="83"/>
      <c r="Q154" s="79"/>
      <c r="R154" s="6"/>
      <c r="S154" s="6"/>
      <c r="T154" s="6"/>
      <c r="U154" s="6"/>
      <c r="V154" s="6"/>
      <c r="W154" s="80"/>
      <c r="X154" s="79"/>
      <c r="Y154" s="6"/>
      <c r="Z154" s="6"/>
      <c r="AA154" s="6"/>
      <c r="AB154" s="6"/>
      <c r="AC154" s="80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>
      <c r="A155" s="52"/>
      <c r="B155" s="53"/>
      <c r="C155" s="53"/>
      <c r="D155" s="54"/>
      <c r="E155" s="52"/>
      <c r="F155" s="53"/>
      <c r="G155" s="53"/>
      <c r="H155" s="53"/>
      <c r="I155" s="64"/>
      <c r="K155" s="6"/>
      <c r="L155" s="6"/>
      <c r="M155" s="6"/>
      <c r="N155" s="6"/>
      <c r="O155" s="6"/>
      <c r="P155" s="83"/>
      <c r="Q155" s="79"/>
      <c r="R155" s="6"/>
      <c r="S155" s="6"/>
      <c r="T155" s="6"/>
      <c r="U155" s="6"/>
      <c r="V155" s="6"/>
      <c r="W155" s="80"/>
      <c r="X155" s="79"/>
      <c r="Y155" s="6"/>
      <c r="Z155" s="6"/>
      <c r="AA155" s="6"/>
      <c r="AB155" s="6"/>
      <c r="AC155" s="80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>
      <c r="A156" s="52"/>
      <c r="B156" s="53"/>
      <c r="C156" s="53"/>
      <c r="D156" s="54"/>
      <c r="E156" s="52"/>
      <c r="F156" s="53"/>
      <c r="G156" s="53"/>
      <c r="H156" s="53"/>
      <c r="I156" s="64"/>
      <c r="K156" s="6"/>
      <c r="L156" s="6"/>
      <c r="M156" s="6"/>
      <c r="N156" s="6"/>
      <c r="O156" s="6"/>
      <c r="P156" s="83"/>
      <c r="Q156" s="79"/>
      <c r="R156" s="6"/>
      <c r="S156" s="6"/>
      <c r="T156" s="6"/>
      <c r="U156" s="6"/>
      <c r="V156" s="6"/>
      <c r="W156" s="80"/>
      <c r="X156" s="79"/>
      <c r="Y156" s="6"/>
      <c r="Z156" s="6"/>
      <c r="AA156" s="6"/>
      <c r="AB156" s="6"/>
      <c r="AC156" s="80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>
      <c r="A157" s="52"/>
      <c r="B157" s="53"/>
      <c r="C157" s="53"/>
      <c r="D157" s="54"/>
      <c r="E157" s="52"/>
      <c r="F157" s="53"/>
      <c r="G157" s="53"/>
      <c r="H157" s="53"/>
      <c r="I157" s="64"/>
      <c r="K157" s="6"/>
      <c r="L157" s="6"/>
      <c r="M157" s="6"/>
      <c r="N157" s="6"/>
      <c r="O157" s="6"/>
      <c r="P157" s="83"/>
      <c r="Q157" s="79"/>
      <c r="R157" s="6"/>
      <c r="S157" s="6"/>
      <c r="T157" s="6"/>
      <c r="U157" s="6"/>
      <c r="V157" s="6"/>
      <c r="W157" s="80"/>
      <c r="X157" s="79"/>
      <c r="Y157" s="6"/>
      <c r="Z157" s="6"/>
      <c r="AA157" s="6"/>
      <c r="AB157" s="6"/>
      <c r="AC157" s="80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>
      <c r="A158" s="52"/>
      <c r="B158" s="53"/>
      <c r="C158" s="53"/>
      <c r="D158" s="54"/>
      <c r="E158" s="52"/>
      <c r="F158" s="53"/>
      <c r="G158" s="53"/>
      <c r="H158" s="53"/>
      <c r="I158" s="64"/>
      <c r="K158" s="6"/>
      <c r="L158" s="6"/>
      <c r="M158" s="6"/>
      <c r="N158" s="6"/>
      <c r="O158" s="6"/>
      <c r="P158" s="83"/>
      <c r="Q158" s="79"/>
      <c r="R158" s="6"/>
      <c r="S158" s="6"/>
      <c r="T158" s="6"/>
      <c r="U158" s="6"/>
      <c r="V158" s="6"/>
      <c r="W158" s="80"/>
      <c r="X158" s="79"/>
      <c r="Y158" s="6"/>
      <c r="Z158" s="6"/>
      <c r="AA158" s="6"/>
      <c r="AB158" s="6"/>
      <c r="AC158" s="80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>
      <c r="A159" s="52"/>
      <c r="B159" s="53"/>
      <c r="C159" s="53"/>
      <c r="D159" s="54"/>
      <c r="E159" s="52"/>
      <c r="F159" s="53"/>
      <c r="G159" s="53"/>
      <c r="H159" s="53"/>
      <c r="I159" s="64"/>
      <c r="K159" s="6"/>
      <c r="L159" s="6"/>
      <c r="M159" s="6"/>
      <c r="N159" s="6"/>
      <c r="O159" s="6"/>
      <c r="P159" s="83"/>
      <c r="Q159" s="79"/>
      <c r="R159" s="6"/>
      <c r="S159" s="6"/>
      <c r="T159" s="6"/>
      <c r="U159" s="6"/>
      <c r="V159" s="6"/>
      <c r="W159" s="80"/>
      <c r="X159" s="79"/>
      <c r="Y159" s="6"/>
      <c r="Z159" s="6"/>
      <c r="AA159" s="6"/>
      <c r="AB159" s="6"/>
      <c r="AC159" s="80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>
      <c r="A160" s="52"/>
      <c r="B160" s="53"/>
      <c r="C160" s="53"/>
      <c r="D160" s="54"/>
      <c r="E160" s="52"/>
      <c r="F160" s="53"/>
      <c r="G160" s="53"/>
      <c r="H160" s="53"/>
      <c r="I160" s="64"/>
      <c r="K160" s="6"/>
      <c r="L160" s="6"/>
      <c r="M160" s="6"/>
      <c r="N160" s="6"/>
      <c r="O160" s="6"/>
      <c r="P160" s="83"/>
      <c r="Q160" s="79"/>
      <c r="R160" s="6"/>
      <c r="S160" s="6"/>
      <c r="T160" s="6"/>
      <c r="U160" s="6"/>
      <c r="V160" s="6"/>
      <c r="W160" s="80"/>
      <c r="X160" s="79"/>
      <c r="Y160" s="6"/>
      <c r="Z160" s="6"/>
      <c r="AA160" s="6"/>
      <c r="AB160" s="6"/>
      <c r="AC160" s="80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>
      <c r="A161" s="52"/>
      <c r="B161" s="53"/>
      <c r="C161" s="53"/>
      <c r="D161" s="54"/>
      <c r="E161" s="52"/>
      <c r="F161" s="53"/>
      <c r="G161" s="53"/>
      <c r="H161" s="53"/>
      <c r="I161" s="64"/>
      <c r="K161" s="6"/>
      <c r="L161" s="6"/>
      <c r="M161" s="6"/>
      <c r="N161" s="6"/>
      <c r="O161" s="6"/>
      <c r="P161" s="83"/>
      <c r="Q161" s="79"/>
      <c r="R161" s="6"/>
      <c r="S161" s="6"/>
      <c r="T161" s="6"/>
      <c r="U161" s="6"/>
      <c r="V161" s="6"/>
      <c r="W161" s="80"/>
      <c r="X161" s="79"/>
      <c r="Y161" s="6"/>
      <c r="Z161" s="6"/>
      <c r="AA161" s="6"/>
      <c r="AB161" s="6"/>
      <c r="AC161" s="80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>
      <c r="A162" s="52"/>
      <c r="B162" s="53"/>
      <c r="C162" s="53"/>
      <c r="D162" s="54"/>
      <c r="E162" s="52"/>
      <c r="F162" s="53"/>
      <c r="G162" s="53"/>
      <c r="H162" s="53"/>
      <c r="I162" s="64"/>
      <c r="K162" s="6"/>
      <c r="L162" s="6"/>
      <c r="M162" s="6"/>
      <c r="N162" s="6"/>
      <c r="O162" s="6"/>
      <c r="P162" s="83"/>
      <c r="Q162" s="79"/>
      <c r="R162" s="6"/>
      <c r="S162" s="6"/>
      <c r="T162" s="6"/>
      <c r="U162" s="6"/>
      <c r="V162" s="6"/>
      <c r="W162" s="80"/>
      <c r="X162" s="79"/>
      <c r="Y162" s="6"/>
      <c r="Z162" s="6"/>
      <c r="AA162" s="6"/>
      <c r="AB162" s="6"/>
      <c r="AC162" s="80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>
      <c r="A163" s="52"/>
      <c r="B163" s="53"/>
      <c r="C163" s="53"/>
      <c r="D163" s="54"/>
      <c r="E163" s="52"/>
      <c r="F163" s="53"/>
      <c r="G163" s="53"/>
      <c r="H163" s="53"/>
      <c r="I163" s="64"/>
      <c r="K163" s="6"/>
      <c r="L163" s="6"/>
      <c r="M163" s="6"/>
      <c r="N163" s="6"/>
      <c r="O163" s="6"/>
      <c r="P163" s="83"/>
      <c r="Q163" s="79"/>
      <c r="R163" s="6"/>
      <c r="S163" s="6"/>
      <c r="T163" s="6"/>
      <c r="U163" s="6"/>
      <c r="V163" s="6"/>
      <c r="W163" s="80"/>
      <c r="X163" s="79"/>
      <c r="Y163" s="6"/>
      <c r="Z163" s="6"/>
      <c r="AA163" s="6"/>
      <c r="AB163" s="6"/>
      <c r="AC163" s="80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>
      <c r="A164" s="52"/>
      <c r="B164" s="53"/>
      <c r="C164" s="53"/>
      <c r="D164" s="54"/>
      <c r="E164" s="52"/>
      <c r="F164" s="53"/>
      <c r="G164" s="53"/>
      <c r="H164" s="53"/>
      <c r="I164" s="64"/>
      <c r="K164" s="6"/>
      <c r="L164" s="6"/>
      <c r="M164" s="6"/>
      <c r="N164" s="6"/>
      <c r="O164" s="6"/>
      <c r="P164" s="83"/>
      <c r="Q164" s="79"/>
      <c r="R164" s="6"/>
      <c r="S164" s="6"/>
      <c r="T164" s="6"/>
      <c r="U164" s="6"/>
      <c r="V164" s="6"/>
      <c r="W164" s="80"/>
      <c r="X164" s="79"/>
      <c r="Y164" s="6"/>
      <c r="Z164" s="6"/>
      <c r="AA164" s="6"/>
      <c r="AB164" s="6"/>
      <c r="AC164" s="80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>
      <c r="A165" s="52"/>
      <c r="B165" s="53"/>
      <c r="C165" s="53"/>
      <c r="D165" s="54"/>
      <c r="E165" s="52"/>
      <c r="F165" s="53"/>
      <c r="G165" s="53"/>
      <c r="H165" s="53"/>
      <c r="I165" s="64"/>
      <c r="K165" s="6"/>
      <c r="L165" s="6"/>
      <c r="M165" s="6"/>
      <c r="N165" s="6"/>
      <c r="O165" s="6"/>
      <c r="P165" s="83"/>
      <c r="Q165" s="79"/>
      <c r="R165" s="6"/>
      <c r="S165" s="6"/>
      <c r="T165" s="6"/>
      <c r="U165" s="6"/>
      <c r="V165" s="6"/>
      <c r="W165" s="80"/>
      <c r="X165" s="79"/>
      <c r="Y165" s="6"/>
      <c r="Z165" s="6"/>
      <c r="AA165" s="6"/>
      <c r="AB165" s="6"/>
      <c r="AC165" s="80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>
      <c r="A166" s="52"/>
      <c r="B166" s="53"/>
      <c r="C166" s="53"/>
      <c r="D166" s="54"/>
      <c r="E166" s="52"/>
      <c r="F166" s="53"/>
      <c r="G166" s="53"/>
      <c r="H166" s="53"/>
      <c r="I166" s="64"/>
      <c r="K166" s="6"/>
      <c r="L166" s="6"/>
      <c r="M166" s="6"/>
      <c r="N166" s="6"/>
      <c r="O166" s="6"/>
      <c r="P166" s="83"/>
      <c r="Q166" s="79"/>
      <c r="R166" s="6"/>
      <c r="S166" s="6"/>
      <c r="T166" s="6"/>
      <c r="U166" s="6"/>
      <c r="V166" s="6"/>
      <c r="W166" s="80"/>
      <c r="X166" s="79"/>
      <c r="Y166" s="6"/>
      <c r="Z166" s="6"/>
      <c r="AA166" s="6"/>
      <c r="AB166" s="6"/>
      <c r="AC166" s="80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>
      <c r="A167" s="52"/>
      <c r="B167" s="53"/>
      <c r="C167" s="53"/>
      <c r="D167" s="54"/>
      <c r="E167" s="52"/>
      <c r="F167" s="53"/>
      <c r="G167" s="53"/>
      <c r="H167" s="53"/>
      <c r="I167" s="64"/>
      <c r="K167" s="6"/>
      <c r="L167" s="6"/>
      <c r="M167" s="6"/>
      <c r="N167" s="6"/>
      <c r="O167" s="6"/>
      <c r="P167" s="83"/>
      <c r="Q167" s="79"/>
      <c r="R167" s="6"/>
      <c r="S167" s="6"/>
      <c r="T167" s="6"/>
      <c r="U167" s="6"/>
      <c r="V167" s="6"/>
      <c r="W167" s="80"/>
      <c r="X167" s="79"/>
      <c r="Y167" s="6"/>
      <c r="Z167" s="6"/>
      <c r="AA167" s="6"/>
      <c r="AB167" s="6"/>
      <c r="AC167" s="80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>
      <c r="A168" s="52"/>
      <c r="B168" s="53"/>
      <c r="C168" s="53"/>
      <c r="D168" s="54"/>
      <c r="E168" s="52"/>
      <c r="F168" s="53"/>
      <c r="G168" s="53"/>
      <c r="H168" s="53"/>
      <c r="I168" s="64"/>
      <c r="K168" s="6"/>
      <c r="L168" s="6"/>
      <c r="M168" s="6"/>
      <c r="N168" s="6"/>
      <c r="O168" s="6"/>
      <c r="P168" s="83"/>
      <c r="Q168" s="79"/>
      <c r="R168" s="6"/>
      <c r="S168" s="6"/>
      <c r="T168" s="6"/>
      <c r="U168" s="6"/>
      <c r="V168" s="6"/>
      <c r="W168" s="80"/>
      <c r="X168" s="79"/>
      <c r="Y168" s="6"/>
      <c r="Z168" s="6"/>
      <c r="AA168" s="6"/>
      <c r="AB168" s="6"/>
      <c r="AC168" s="80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>
      <c r="A169" s="52"/>
      <c r="B169" s="53"/>
      <c r="C169" s="53"/>
      <c r="D169" s="54"/>
      <c r="E169" s="52"/>
      <c r="F169" s="53"/>
      <c r="G169" s="53"/>
      <c r="H169" s="53"/>
      <c r="I169" s="64"/>
      <c r="K169" s="6"/>
      <c r="L169" s="6"/>
      <c r="M169" s="6"/>
      <c r="N169" s="6"/>
      <c r="O169" s="6"/>
      <c r="P169" s="83"/>
      <c r="Q169" s="79"/>
      <c r="R169" s="6"/>
      <c r="S169" s="6"/>
      <c r="T169" s="6"/>
      <c r="U169" s="6"/>
      <c r="V169" s="6"/>
      <c r="W169" s="80"/>
      <c r="X169" s="79"/>
      <c r="Y169" s="6"/>
      <c r="Z169" s="6"/>
      <c r="AA169" s="6"/>
      <c r="AB169" s="6"/>
      <c r="AC169" s="80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>
      <c r="A170" s="52"/>
      <c r="B170" s="53"/>
      <c r="C170" s="53"/>
      <c r="D170" s="54"/>
      <c r="E170" s="52"/>
      <c r="F170" s="53"/>
      <c r="G170" s="53"/>
      <c r="H170" s="53"/>
      <c r="I170" s="64"/>
      <c r="K170" s="6"/>
      <c r="L170" s="6"/>
      <c r="M170" s="6"/>
      <c r="N170" s="6"/>
      <c r="O170" s="6"/>
      <c r="P170" s="83"/>
      <c r="Q170" s="79"/>
      <c r="R170" s="6"/>
      <c r="S170" s="6"/>
      <c r="T170" s="6"/>
      <c r="U170" s="6"/>
      <c r="V170" s="6"/>
      <c r="W170" s="80"/>
      <c r="X170" s="79"/>
      <c r="Y170" s="6"/>
      <c r="Z170" s="6"/>
      <c r="AA170" s="6"/>
      <c r="AB170" s="6"/>
      <c r="AC170" s="80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>
      <c r="A171" s="52"/>
      <c r="B171" s="53"/>
      <c r="C171" s="53"/>
      <c r="D171" s="54"/>
      <c r="E171" s="52"/>
      <c r="F171" s="53"/>
      <c r="G171" s="53"/>
      <c r="H171" s="53"/>
      <c r="I171" s="64"/>
      <c r="K171" s="6"/>
      <c r="L171" s="6"/>
      <c r="M171" s="6"/>
      <c r="N171" s="6"/>
      <c r="O171" s="6"/>
      <c r="P171" s="83"/>
      <c r="Q171" s="79"/>
      <c r="R171" s="6"/>
      <c r="S171" s="6"/>
      <c r="T171" s="6"/>
      <c r="U171" s="6"/>
      <c r="V171" s="6"/>
      <c r="W171" s="80"/>
      <c r="X171" s="79"/>
      <c r="Y171" s="6"/>
      <c r="Z171" s="6"/>
      <c r="AA171" s="6"/>
      <c r="AB171" s="6"/>
      <c r="AC171" s="80"/>
    </row>
    <row r="172" spans="1:47">
      <c r="A172" s="52"/>
      <c r="B172" s="53"/>
      <c r="C172" s="53"/>
      <c r="D172" s="54"/>
      <c r="E172" s="52"/>
      <c r="F172" s="53"/>
      <c r="G172" s="53"/>
      <c r="H172" s="53"/>
      <c r="I172" s="64"/>
      <c r="K172" s="6"/>
      <c r="L172" s="6"/>
      <c r="M172" s="6"/>
      <c r="N172" s="6"/>
      <c r="O172" s="6"/>
      <c r="P172" s="83"/>
      <c r="Q172" s="79"/>
      <c r="R172" s="6"/>
      <c r="S172" s="6"/>
      <c r="T172" s="6"/>
      <c r="U172" s="6"/>
      <c r="V172" s="6"/>
      <c r="W172" s="80"/>
      <c r="X172" s="79"/>
      <c r="Y172" s="6"/>
      <c r="Z172" s="6"/>
      <c r="AA172" s="6"/>
      <c r="AB172" s="6"/>
      <c r="AC172" s="80"/>
    </row>
    <row r="173" spans="1:47">
      <c r="A173" s="52"/>
      <c r="B173" s="53"/>
      <c r="C173" s="53"/>
      <c r="D173" s="54"/>
      <c r="E173" s="52"/>
      <c r="F173" s="53"/>
      <c r="G173" s="53"/>
      <c r="H173" s="53"/>
      <c r="I173" s="64"/>
      <c r="K173" s="6"/>
      <c r="L173" s="6"/>
      <c r="M173" s="6"/>
      <c r="N173" s="6"/>
      <c r="O173" s="6"/>
      <c r="P173" s="83"/>
      <c r="Q173" s="79"/>
      <c r="R173" s="6"/>
      <c r="S173" s="6"/>
      <c r="T173" s="6"/>
      <c r="U173" s="6"/>
      <c r="V173" s="6"/>
      <c r="W173" s="80"/>
      <c r="X173" s="79"/>
      <c r="Y173" s="6"/>
      <c r="Z173" s="6"/>
      <c r="AA173" s="6"/>
      <c r="AB173" s="6"/>
      <c r="AC173" s="80"/>
    </row>
    <row r="174" spans="1:47">
      <c r="A174" s="52"/>
      <c r="B174" s="53"/>
      <c r="C174" s="53"/>
      <c r="D174" s="54"/>
      <c r="E174" s="52"/>
      <c r="F174" s="53"/>
      <c r="G174" s="53"/>
      <c r="H174" s="53"/>
      <c r="I174" s="64"/>
      <c r="K174" s="6"/>
      <c r="L174" s="6"/>
      <c r="M174" s="6"/>
      <c r="N174" s="6"/>
      <c r="O174" s="6"/>
      <c r="P174" s="83"/>
      <c r="Q174" s="79"/>
      <c r="R174" s="6"/>
      <c r="S174" s="6"/>
      <c r="T174" s="6"/>
      <c r="U174" s="6"/>
      <c r="V174" s="6"/>
      <c r="W174" s="80"/>
      <c r="X174" s="79"/>
      <c r="Y174" s="6"/>
      <c r="Z174" s="6"/>
      <c r="AA174" s="6"/>
      <c r="AB174" s="6"/>
      <c r="AC174" s="80"/>
    </row>
    <row r="175" spans="1:47">
      <c r="A175" s="52"/>
      <c r="B175" s="53"/>
      <c r="C175" s="53"/>
      <c r="D175" s="54"/>
      <c r="E175" s="52"/>
      <c r="F175" s="53"/>
      <c r="G175" s="53"/>
      <c r="H175" s="53"/>
      <c r="I175" s="64"/>
      <c r="K175" s="6"/>
      <c r="L175" s="6"/>
      <c r="M175" s="6"/>
      <c r="N175" s="6"/>
      <c r="O175" s="6"/>
      <c r="P175" s="83"/>
      <c r="Q175" s="79"/>
      <c r="R175" s="6"/>
      <c r="S175" s="6"/>
      <c r="T175" s="6"/>
      <c r="U175" s="6"/>
      <c r="V175" s="6"/>
      <c r="W175" s="80"/>
      <c r="X175" s="79"/>
      <c r="Y175" s="6"/>
      <c r="Z175" s="6"/>
      <c r="AA175" s="6"/>
      <c r="AB175" s="6"/>
      <c r="AC175" s="80"/>
    </row>
    <row r="176" spans="1:47">
      <c r="A176" s="52"/>
      <c r="B176" s="53"/>
      <c r="C176" s="53"/>
      <c r="D176" s="54"/>
      <c r="E176" s="52"/>
      <c r="F176" s="53"/>
      <c r="G176" s="53"/>
      <c r="H176" s="53"/>
      <c r="I176" s="64"/>
      <c r="K176" s="6"/>
      <c r="L176" s="6"/>
      <c r="M176" s="6"/>
      <c r="N176" s="6"/>
      <c r="O176" s="6"/>
      <c r="P176" s="83"/>
      <c r="Q176" s="79"/>
      <c r="R176" s="6"/>
      <c r="S176" s="6"/>
      <c r="T176" s="6"/>
      <c r="U176" s="6"/>
      <c r="V176" s="6"/>
      <c r="W176" s="80"/>
      <c r="X176" s="79"/>
      <c r="Y176" s="6"/>
      <c r="Z176" s="6"/>
      <c r="AA176" s="6"/>
      <c r="AB176" s="6"/>
      <c r="AC176" s="80"/>
    </row>
    <row r="177" spans="1:29">
      <c r="A177" s="52"/>
      <c r="B177" s="53"/>
      <c r="C177" s="53"/>
      <c r="D177" s="54"/>
      <c r="E177" s="52"/>
      <c r="F177" s="53"/>
      <c r="G177" s="53"/>
      <c r="H177" s="53"/>
      <c r="I177" s="64"/>
      <c r="K177" s="6"/>
      <c r="L177" s="6"/>
      <c r="M177" s="6"/>
      <c r="N177" s="6"/>
      <c r="O177" s="6"/>
      <c r="P177" s="83"/>
      <c r="Q177" s="79"/>
      <c r="R177" s="6"/>
      <c r="S177" s="6"/>
      <c r="T177" s="6"/>
      <c r="U177" s="6"/>
      <c r="V177" s="6"/>
      <c r="W177" s="80"/>
      <c r="X177" s="79"/>
      <c r="Y177" s="6"/>
      <c r="Z177" s="6"/>
      <c r="AA177" s="6"/>
      <c r="AB177" s="6"/>
      <c r="AC177" s="80"/>
    </row>
    <row r="178" spans="1:29">
      <c r="A178" s="52"/>
      <c r="B178" s="53"/>
      <c r="C178" s="53"/>
      <c r="D178" s="54"/>
      <c r="E178" s="52"/>
      <c r="F178" s="53"/>
      <c r="G178" s="53"/>
      <c r="H178" s="53"/>
      <c r="I178" s="64"/>
      <c r="K178" s="6"/>
      <c r="L178" s="6"/>
      <c r="M178" s="6"/>
      <c r="N178" s="6"/>
      <c r="O178" s="6"/>
      <c r="P178" s="83"/>
      <c r="Q178" s="79"/>
      <c r="R178" s="6"/>
      <c r="S178" s="6"/>
      <c r="T178" s="6"/>
      <c r="U178" s="6"/>
      <c r="V178" s="6"/>
      <c r="W178" s="80"/>
      <c r="X178" s="79"/>
      <c r="Y178" s="6"/>
      <c r="Z178" s="6"/>
      <c r="AA178" s="6"/>
      <c r="AB178" s="6"/>
      <c r="AC178" s="80"/>
    </row>
    <row r="179" spans="1:29">
      <c r="A179" s="52"/>
      <c r="B179" s="53"/>
      <c r="C179" s="53"/>
      <c r="D179" s="54"/>
      <c r="E179" s="52"/>
      <c r="F179" s="53"/>
      <c r="G179" s="53"/>
      <c r="H179" s="53"/>
      <c r="I179" s="64"/>
      <c r="K179" s="6"/>
      <c r="L179" s="6"/>
      <c r="M179" s="6"/>
      <c r="N179" s="6"/>
      <c r="O179" s="6"/>
      <c r="P179" s="83"/>
      <c r="Q179" s="79"/>
      <c r="R179" s="6"/>
      <c r="S179" s="6"/>
      <c r="T179" s="6"/>
      <c r="U179" s="6"/>
      <c r="V179" s="6"/>
      <c r="W179" s="80"/>
      <c r="X179" s="79"/>
      <c r="Y179" s="6"/>
      <c r="Z179" s="6"/>
      <c r="AA179" s="6"/>
      <c r="AB179" s="6"/>
      <c r="AC179" s="80"/>
    </row>
    <row r="180" spans="1:29">
      <c r="A180" s="52"/>
      <c r="B180" s="53"/>
      <c r="C180" s="53"/>
      <c r="D180" s="54"/>
      <c r="E180" s="52"/>
      <c r="F180" s="53"/>
      <c r="G180" s="53"/>
      <c r="H180" s="53"/>
      <c r="I180" s="64"/>
      <c r="K180" s="6"/>
      <c r="L180" s="6"/>
      <c r="M180" s="6"/>
      <c r="N180" s="6"/>
      <c r="O180" s="6"/>
      <c r="P180" s="83"/>
      <c r="Q180" s="79"/>
      <c r="R180" s="6"/>
      <c r="S180" s="6"/>
      <c r="T180" s="6"/>
      <c r="U180" s="6"/>
      <c r="V180" s="6"/>
      <c r="W180" s="80"/>
      <c r="X180" s="79"/>
      <c r="Y180" s="6"/>
      <c r="Z180" s="6"/>
      <c r="AA180" s="6"/>
      <c r="AB180" s="6"/>
      <c r="AC180" s="80"/>
    </row>
    <row r="181" spans="1:29">
      <c r="A181" s="52"/>
      <c r="B181" s="53"/>
      <c r="C181" s="53"/>
      <c r="D181" s="54"/>
      <c r="E181" s="52"/>
      <c r="F181" s="53"/>
      <c r="G181" s="53"/>
      <c r="H181" s="53"/>
      <c r="I181" s="64"/>
      <c r="K181" s="6"/>
      <c r="L181" s="6"/>
      <c r="M181" s="6"/>
      <c r="N181" s="6"/>
      <c r="O181" s="6"/>
      <c r="P181" s="83"/>
      <c r="Q181" s="79"/>
      <c r="R181" s="6"/>
      <c r="S181" s="6"/>
      <c r="T181" s="6"/>
      <c r="U181" s="6"/>
      <c r="V181" s="6"/>
      <c r="W181" s="80"/>
      <c r="X181" s="79"/>
      <c r="Y181" s="6"/>
      <c r="Z181" s="6"/>
      <c r="AA181" s="6"/>
      <c r="AB181" s="6"/>
      <c r="AC181" s="80"/>
    </row>
    <row r="182" spans="1:29">
      <c r="A182" s="52"/>
      <c r="B182" s="53"/>
      <c r="C182" s="53"/>
      <c r="D182" s="54"/>
      <c r="E182" s="52"/>
      <c r="F182" s="53"/>
      <c r="G182" s="53"/>
      <c r="H182" s="53"/>
      <c r="I182" s="64"/>
      <c r="K182" s="6"/>
      <c r="L182" s="6"/>
      <c r="M182" s="6"/>
      <c r="N182" s="6"/>
      <c r="O182" s="6"/>
      <c r="P182" s="83"/>
      <c r="Q182" s="79"/>
      <c r="R182" s="6"/>
      <c r="S182" s="6"/>
      <c r="T182" s="6"/>
      <c r="U182" s="6"/>
      <c r="V182" s="6"/>
      <c r="W182" s="80"/>
      <c r="X182" s="79"/>
      <c r="Y182" s="6"/>
      <c r="Z182" s="6"/>
      <c r="AA182" s="6"/>
      <c r="AB182" s="6"/>
      <c r="AC182" s="80"/>
    </row>
    <row r="183" spans="1:29">
      <c r="A183" s="52"/>
      <c r="B183" s="53"/>
      <c r="C183" s="53"/>
      <c r="D183" s="54"/>
      <c r="E183" s="52"/>
      <c r="F183" s="53"/>
      <c r="G183" s="53"/>
      <c r="H183" s="53"/>
      <c r="I183" s="64"/>
      <c r="K183" s="6"/>
      <c r="L183" s="6"/>
      <c r="M183" s="6"/>
      <c r="N183" s="6"/>
      <c r="O183" s="6"/>
      <c r="P183" s="83"/>
      <c r="Q183" s="79"/>
      <c r="R183" s="6"/>
      <c r="S183" s="6"/>
      <c r="T183" s="6"/>
      <c r="U183" s="6"/>
      <c r="V183" s="6"/>
      <c r="W183" s="80"/>
      <c r="X183" s="79"/>
      <c r="Y183" s="6"/>
      <c r="Z183" s="6"/>
      <c r="AA183" s="6"/>
      <c r="AB183" s="6"/>
      <c r="AC183" s="80"/>
    </row>
    <row r="184" spans="1:29">
      <c r="A184" s="52"/>
      <c r="B184" s="53"/>
      <c r="C184" s="53"/>
      <c r="D184" s="54"/>
      <c r="E184" s="52"/>
      <c r="F184" s="53"/>
      <c r="G184" s="53"/>
      <c r="H184" s="53"/>
      <c r="I184" s="64"/>
      <c r="K184" s="6"/>
      <c r="L184" s="6"/>
      <c r="M184" s="6"/>
      <c r="N184" s="6"/>
      <c r="O184" s="6"/>
      <c r="P184" s="83"/>
      <c r="Q184" s="79"/>
      <c r="R184" s="6"/>
      <c r="S184" s="6"/>
      <c r="T184" s="6"/>
      <c r="U184" s="6"/>
      <c r="V184" s="6"/>
      <c r="W184" s="80"/>
      <c r="X184" s="79"/>
      <c r="Y184" s="6"/>
      <c r="Z184" s="6"/>
      <c r="AA184" s="6"/>
      <c r="AB184" s="6"/>
      <c r="AC184" s="80"/>
    </row>
    <row r="185" spans="1:29">
      <c r="A185" s="52"/>
      <c r="B185" s="53"/>
      <c r="C185" s="53"/>
      <c r="D185" s="54"/>
      <c r="E185" s="52"/>
      <c r="F185" s="53"/>
      <c r="G185" s="53"/>
      <c r="H185" s="53"/>
      <c r="I185" s="64"/>
      <c r="K185" s="6"/>
      <c r="L185" s="6"/>
      <c r="M185" s="6"/>
      <c r="N185" s="6"/>
      <c r="O185" s="6"/>
      <c r="P185" s="83"/>
      <c r="Q185" s="79"/>
      <c r="R185" s="6"/>
      <c r="S185" s="6"/>
      <c r="T185" s="6"/>
      <c r="U185" s="6"/>
      <c r="V185" s="6"/>
      <c r="W185" s="80"/>
      <c r="X185" s="79"/>
      <c r="Y185" s="6"/>
      <c r="Z185" s="6"/>
      <c r="AA185" s="6"/>
      <c r="AB185" s="6"/>
      <c r="AC185" s="80"/>
    </row>
    <row r="186" spans="1:29">
      <c r="A186" s="52"/>
      <c r="B186" s="53"/>
      <c r="C186" s="53"/>
      <c r="D186" s="54"/>
      <c r="E186" s="52"/>
      <c r="F186" s="53"/>
      <c r="G186" s="53"/>
      <c r="H186" s="53"/>
      <c r="I186" s="64"/>
      <c r="K186" s="6"/>
      <c r="L186" s="6"/>
      <c r="M186" s="6"/>
      <c r="N186" s="6"/>
      <c r="O186" s="6"/>
      <c r="P186" s="83"/>
      <c r="Q186" s="79"/>
      <c r="R186" s="6"/>
      <c r="S186" s="6"/>
      <c r="T186" s="6"/>
      <c r="U186" s="6"/>
      <c r="V186" s="6"/>
      <c r="W186" s="80"/>
      <c r="X186" s="79"/>
      <c r="Y186" s="6"/>
      <c r="Z186" s="6"/>
      <c r="AA186" s="6"/>
      <c r="AB186" s="6"/>
      <c r="AC186" s="80"/>
    </row>
    <row r="187" spans="1:29">
      <c r="A187" s="52"/>
      <c r="B187" s="53"/>
      <c r="C187" s="53"/>
      <c r="D187" s="54"/>
      <c r="E187" s="52"/>
      <c r="F187" s="53"/>
      <c r="G187" s="53"/>
      <c r="H187" s="53"/>
      <c r="I187" s="64"/>
      <c r="K187" s="6"/>
      <c r="L187" s="6"/>
      <c r="M187" s="6"/>
      <c r="N187" s="6"/>
      <c r="O187" s="6"/>
      <c r="P187" s="83"/>
      <c r="Q187" s="79"/>
      <c r="R187" s="6"/>
      <c r="S187" s="6"/>
      <c r="T187" s="6"/>
      <c r="U187" s="6"/>
      <c r="V187" s="6"/>
      <c r="W187" s="80"/>
      <c r="X187" s="79"/>
      <c r="Y187" s="6"/>
      <c r="Z187" s="6"/>
      <c r="AA187" s="6"/>
      <c r="AB187" s="6"/>
      <c r="AC187" s="80"/>
    </row>
    <row r="188" spans="1:29">
      <c r="A188" s="52"/>
      <c r="B188" s="53"/>
      <c r="C188" s="53"/>
      <c r="D188" s="54"/>
      <c r="E188" s="52"/>
      <c r="F188" s="53"/>
      <c r="G188" s="53"/>
      <c r="H188" s="53"/>
      <c r="I188" s="64"/>
      <c r="K188" s="6"/>
      <c r="L188" s="6"/>
      <c r="M188" s="6"/>
      <c r="N188" s="6"/>
      <c r="O188" s="6"/>
      <c r="P188" s="83"/>
      <c r="Q188" s="79"/>
      <c r="R188" s="6"/>
      <c r="S188" s="6"/>
      <c r="T188" s="6"/>
      <c r="U188" s="6"/>
      <c r="V188" s="6"/>
      <c r="W188" s="80"/>
      <c r="X188" s="79"/>
      <c r="Y188" s="6"/>
      <c r="Z188" s="6"/>
      <c r="AA188" s="6"/>
      <c r="AB188" s="6"/>
      <c r="AC188" s="80"/>
    </row>
    <row r="189" spans="1:29">
      <c r="A189" s="52"/>
      <c r="B189" s="53"/>
      <c r="C189" s="53"/>
      <c r="D189" s="54"/>
      <c r="E189" s="52"/>
      <c r="F189" s="53"/>
      <c r="G189" s="53"/>
      <c r="H189" s="53"/>
      <c r="I189" s="64"/>
      <c r="K189" s="6"/>
      <c r="L189" s="6"/>
      <c r="M189" s="6"/>
      <c r="N189" s="6"/>
      <c r="O189" s="6"/>
      <c r="P189" s="83"/>
      <c r="Q189" s="79"/>
      <c r="R189" s="6"/>
      <c r="S189" s="6"/>
      <c r="T189" s="6"/>
      <c r="U189" s="6"/>
      <c r="V189" s="6"/>
      <c r="W189" s="80"/>
      <c r="X189" s="79"/>
      <c r="Y189" s="6"/>
      <c r="Z189" s="6"/>
      <c r="AA189" s="6"/>
      <c r="AB189" s="6"/>
      <c r="AC189" s="80"/>
    </row>
    <row r="190" spans="1:29">
      <c r="A190" s="52"/>
      <c r="B190" s="53"/>
      <c r="C190" s="53"/>
      <c r="D190" s="54"/>
      <c r="E190" s="52"/>
      <c r="F190" s="53"/>
      <c r="G190" s="53"/>
      <c r="H190" s="53"/>
      <c r="I190" s="64"/>
      <c r="K190" s="6"/>
      <c r="L190" s="6"/>
      <c r="M190" s="6"/>
      <c r="N190" s="6"/>
      <c r="O190" s="6"/>
      <c r="P190" s="83"/>
      <c r="Q190" s="79"/>
      <c r="R190" s="6"/>
      <c r="S190" s="6"/>
      <c r="T190" s="6"/>
      <c r="U190" s="6"/>
      <c r="V190" s="6"/>
      <c r="W190" s="80"/>
      <c r="X190" s="79"/>
      <c r="Y190" s="6"/>
      <c r="Z190" s="6"/>
      <c r="AA190" s="6"/>
      <c r="AB190" s="6"/>
      <c r="AC190" s="80"/>
    </row>
    <row r="191" spans="1:29">
      <c r="A191" s="52"/>
      <c r="B191" s="53"/>
      <c r="C191" s="53"/>
      <c r="D191" s="54"/>
      <c r="E191" s="52"/>
      <c r="F191" s="53"/>
      <c r="G191" s="53"/>
      <c r="H191" s="53"/>
      <c r="I191" s="64"/>
      <c r="K191" s="6"/>
      <c r="L191" s="6"/>
      <c r="M191" s="6"/>
      <c r="N191" s="6"/>
      <c r="O191" s="6"/>
      <c r="P191" s="83"/>
      <c r="Q191" s="79"/>
      <c r="R191" s="6"/>
      <c r="S191" s="6"/>
      <c r="T191" s="6"/>
      <c r="U191" s="6"/>
      <c r="V191" s="6"/>
      <c r="W191" s="80"/>
      <c r="X191" s="79"/>
      <c r="Y191" s="6"/>
      <c r="Z191" s="6"/>
      <c r="AA191" s="6"/>
      <c r="AB191" s="6"/>
      <c r="AC191" s="80"/>
    </row>
    <row r="192" spans="1:29">
      <c r="A192" s="52"/>
      <c r="B192" s="53"/>
      <c r="C192" s="53"/>
      <c r="D192" s="54"/>
      <c r="E192" s="52"/>
      <c r="F192" s="53"/>
      <c r="G192" s="53"/>
      <c r="H192" s="53"/>
      <c r="I192" s="64"/>
      <c r="K192" s="6"/>
      <c r="L192" s="6"/>
      <c r="M192" s="6"/>
      <c r="N192" s="6"/>
      <c r="O192" s="6"/>
      <c r="P192" s="83"/>
      <c r="Q192" s="79"/>
      <c r="R192" s="6"/>
      <c r="S192" s="6"/>
      <c r="T192" s="6"/>
      <c r="U192" s="6"/>
      <c r="V192" s="6"/>
      <c r="W192" s="80"/>
      <c r="X192" s="79"/>
      <c r="Y192" s="6"/>
      <c r="Z192" s="6"/>
      <c r="AA192" s="6"/>
      <c r="AB192" s="6"/>
      <c r="AC192" s="80"/>
    </row>
    <row r="193" spans="1:29">
      <c r="A193" s="52"/>
      <c r="B193" s="53"/>
      <c r="C193" s="53"/>
      <c r="D193" s="54"/>
      <c r="E193" s="52"/>
      <c r="F193" s="53"/>
      <c r="G193" s="53"/>
      <c r="H193" s="53"/>
      <c r="I193" s="64"/>
      <c r="K193" s="6"/>
      <c r="L193" s="6"/>
      <c r="M193" s="6"/>
      <c r="N193" s="6"/>
      <c r="O193" s="6"/>
      <c r="P193" s="83"/>
      <c r="Q193" s="79"/>
      <c r="R193" s="6"/>
      <c r="S193" s="6"/>
      <c r="T193" s="6"/>
      <c r="U193" s="6"/>
      <c r="V193" s="6"/>
      <c r="W193" s="80"/>
      <c r="X193" s="79"/>
      <c r="Y193" s="6"/>
      <c r="Z193" s="6"/>
      <c r="AA193" s="6"/>
      <c r="AB193" s="6"/>
      <c r="AC193" s="80"/>
    </row>
    <row r="194" spans="1:29">
      <c r="A194" s="52"/>
      <c r="B194" s="53"/>
      <c r="C194" s="53"/>
      <c r="D194" s="54"/>
      <c r="E194" s="52"/>
      <c r="F194" s="53"/>
      <c r="G194" s="53"/>
      <c r="H194" s="53"/>
      <c r="I194" s="64"/>
      <c r="K194" s="6"/>
      <c r="L194" s="6"/>
      <c r="M194" s="6"/>
      <c r="N194" s="6"/>
      <c r="O194" s="6"/>
      <c r="P194" s="83"/>
      <c r="Q194" s="79"/>
      <c r="R194" s="6"/>
      <c r="S194" s="6"/>
      <c r="T194" s="6"/>
      <c r="U194" s="6"/>
      <c r="V194" s="6"/>
      <c r="W194" s="80"/>
      <c r="X194" s="79"/>
      <c r="Y194" s="6"/>
      <c r="Z194" s="6"/>
      <c r="AA194" s="6"/>
      <c r="AB194" s="6"/>
      <c r="AC194" s="80"/>
    </row>
    <row r="195" spans="1:29">
      <c r="A195" s="52"/>
      <c r="B195" s="53"/>
      <c r="C195" s="53"/>
      <c r="D195" s="54"/>
      <c r="E195" s="52"/>
      <c r="F195" s="53"/>
      <c r="G195" s="53"/>
      <c r="H195" s="53"/>
      <c r="I195" s="64"/>
      <c r="K195" s="6"/>
      <c r="L195" s="6"/>
      <c r="M195" s="6"/>
      <c r="N195" s="6"/>
      <c r="O195" s="6"/>
      <c r="P195" s="83"/>
      <c r="Q195" s="79"/>
      <c r="R195" s="6"/>
      <c r="S195" s="6"/>
      <c r="T195" s="6"/>
      <c r="U195" s="6"/>
      <c r="V195" s="6"/>
      <c r="W195" s="80"/>
      <c r="X195" s="79"/>
      <c r="Y195" s="6"/>
      <c r="Z195" s="6"/>
      <c r="AA195" s="6"/>
      <c r="AB195" s="6"/>
      <c r="AC195" s="80"/>
    </row>
    <row r="196" spans="1:29">
      <c r="A196" s="52"/>
      <c r="B196" s="53"/>
      <c r="C196" s="53"/>
      <c r="D196" s="54"/>
      <c r="E196" s="52"/>
      <c r="F196" s="53"/>
      <c r="G196" s="53"/>
      <c r="H196" s="53"/>
      <c r="I196" s="64"/>
      <c r="K196" s="6"/>
      <c r="L196" s="6"/>
      <c r="M196" s="6"/>
      <c r="N196" s="6"/>
      <c r="O196" s="6"/>
      <c r="P196" s="83"/>
      <c r="Q196" s="79"/>
      <c r="R196" s="6"/>
      <c r="S196" s="6"/>
      <c r="T196" s="6"/>
      <c r="U196" s="6"/>
      <c r="V196" s="6"/>
      <c r="W196" s="80"/>
      <c r="X196" s="79"/>
      <c r="Y196" s="6"/>
      <c r="Z196" s="6"/>
      <c r="AA196" s="6"/>
      <c r="AB196" s="6"/>
      <c r="AC196" s="80"/>
    </row>
    <row r="197" spans="1:29">
      <c r="A197" s="52"/>
      <c r="B197" s="53"/>
      <c r="C197" s="53"/>
      <c r="D197" s="54"/>
      <c r="E197" s="52"/>
      <c r="F197" s="53"/>
      <c r="G197" s="53"/>
      <c r="H197" s="53"/>
      <c r="I197" s="64"/>
      <c r="K197" s="6"/>
      <c r="L197" s="6"/>
      <c r="M197" s="6"/>
      <c r="N197" s="6"/>
      <c r="O197" s="6"/>
      <c r="P197" s="83"/>
      <c r="Q197" s="79"/>
      <c r="R197" s="6"/>
      <c r="S197" s="6"/>
      <c r="T197" s="6"/>
      <c r="U197" s="6"/>
      <c r="V197" s="6"/>
      <c r="W197" s="80"/>
      <c r="X197" s="79"/>
      <c r="Y197" s="6"/>
      <c r="Z197" s="6"/>
      <c r="AA197" s="6"/>
      <c r="AB197" s="6"/>
      <c r="AC197" s="80"/>
    </row>
    <row r="198" spans="1:29">
      <c r="A198" s="52"/>
      <c r="B198" s="53"/>
      <c r="C198" s="53"/>
      <c r="D198" s="54"/>
      <c r="E198" s="52"/>
      <c r="F198" s="53"/>
      <c r="G198" s="53"/>
      <c r="H198" s="53"/>
      <c r="I198" s="64"/>
      <c r="K198" s="6"/>
      <c r="L198" s="6"/>
      <c r="M198" s="6"/>
      <c r="N198" s="6"/>
      <c r="O198" s="6"/>
      <c r="P198" s="83"/>
      <c r="Q198" s="79"/>
      <c r="R198" s="6"/>
      <c r="S198" s="6"/>
      <c r="T198" s="6"/>
      <c r="U198" s="6"/>
      <c r="V198" s="6"/>
      <c r="W198" s="80"/>
      <c r="X198" s="79"/>
      <c r="Y198" s="6"/>
      <c r="Z198" s="6"/>
      <c r="AA198" s="6"/>
      <c r="AB198" s="6"/>
      <c r="AC198" s="80"/>
    </row>
    <row r="199" spans="1:29">
      <c r="A199" s="52"/>
      <c r="B199" s="53"/>
      <c r="C199" s="53"/>
      <c r="D199" s="54"/>
      <c r="E199" s="52"/>
      <c r="F199" s="53"/>
      <c r="G199" s="53"/>
      <c r="H199" s="53"/>
      <c r="I199" s="64"/>
      <c r="K199" s="6"/>
      <c r="L199" s="6"/>
      <c r="M199" s="6"/>
      <c r="N199" s="6"/>
      <c r="O199" s="6"/>
      <c r="P199" s="83"/>
      <c r="Q199" s="79"/>
      <c r="R199" s="6"/>
      <c r="S199" s="6"/>
      <c r="T199" s="6"/>
      <c r="U199" s="6"/>
      <c r="V199" s="6"/>
      <c r="W199" s="80"/>
      <c r="X199" s="79"/>
      <c r="Y199" s="6"/>
      <c r="Z199" s="6"/>
      <c r="AA199" s="6"/>
      <c r="AB199" s="6"/>
      <c r="AC199" s="80"/>
    </row>
    <row r="200" spans="1:29">
      <c r="A200" s="52"/>
      <c r="B200" s="53"/>
      <c r="C200" s="53"/>
      <c r="D200" s="54"/>
      <c r="E200" s="52"/>
      <c r="F200" s="53"/>
      <c r="G200" s="53"/>
      <c r="H200" s="53"/>
      <c r="I200" s="64"/>
      <c r="K200" s="6"/>
      <c r="L200" s="6"/>
      <c r="M200" s="6"/>
      <c r="N200" s="6"/>
      <c r="O200" s="6"/>
      <c r="P200" s="83"/>
      <c r="Q200" s="79"/>
      <c r="R200" s="6"/>
      <c r="S200" s="6"/>
      <c r="T200" s="6"/>
      <c r="U200" s="6"/>
      <c r="V200" s="6"/>
      <c r="W200" s="80"/>
      <c r="X200" s="79"/>
      <c r="Y200" s="6"/>
      <c r="Z200" s="6"/>
      <c r="AA200" s="6"/>
      <c r="AB200" s="6"/>
      <c r="AC200" s="80"/>
    </row>
    <row r="201" spans="1:29">
      <c r="A201" s="52"/>
      <c r="B201" s="53"/>
      <c r="C201" s="53"/>
      <c r="D201" s="54"/>
      <c r="E201" s="52"/>
      <c r="F201" s="53"/>
      <c r="G201" s="53"/>
      <c r="H201" s="53"/>
      <c r="I201" s="64"/>
      <c r="K201" s="6"/>
      <c r="L201" s="6"/>
      <c r="M201" s="6"/>
      <c r="N201" s="6"/>
      <c r="O201" s="6"/>
      <c r="P201" s="83"/>
      <c r="Q201" s="79"/>
      <c r="R201" s="6"/>
      <c r="S201" s="6"/>
      <c r="T201" s="6"/>
      <c r="U201" s="6"/>
      <c r="V201" s="6"/>
      <c r="W201" s="80"/>
      <c r="X201" s="79"/>
      <c r="Y201" s="6"/>
      <c r="Z201" s="6"/>
      <c r="AA201" s="6"/>
      <c r="AB201" s="6"/>
      <c r="AC201" s="80"/>
    </row>
    <row r="202" spans="1:29">
      <c r="A202" s="52"/>
      <c r="B202" s="53"/>
      <c r="C202" s="53"/>
      <c r="D202" s="54"/>
      <c r="E202" s="52"/>
      <c r="F202" s="53"/>
      <c r="G202" s="53"/>
      <c r="H202" s="53"/>
      <c r="I202" s="64"/>
      <c r="K202" s="6"/>
      <c r="L202" s="6"/>
      <c r="M202" s="6"/>
      <c r="N202" s="6"/>
      <c r="O202" s="6"/>
      <c r="P202" s="83"/>
      <c r="Q202" s="79"/>
      <c r="R202" s="6"/>
      <c r="S202" s="6"/>
      <c r="T202" s="6"/>
      <c r="U202" s="6"/>
      <c r="V202" s="6"/>
      <c r="W202" s="80"/>
      <c r="X202" s="79"/>
      <c r="Y202" s="6"/>
      <c r="Z202" s="6"/>
      <c r="AA202" s="6"/>
      <c r="AB202" s="6"/>
      <c r="AC202" s="80"/>
    </row>
    <row r="203" spans="1:29">
      <c r="A203" s="52"/>
      <c r="B203" s="53"/>
      <c r="C203" s="53"/>
      <c r="D203" s="54"/>
      <c r="E203" s="52"/>
      <c r="F203" s="53"/>
      <c r="G203" s="53"/>
      <c r="H203" s="53"/>
      <c r="I203" s="64"/>
      <c r="K203" s="6"/>
      <c r="L203" s="6"/>
      <c r="M203" s="6"/>
      <c r="N203" s="6"/>
      <c r="O203" s="6"/>
      <c r="P203" s="83"/>
      <c r="Q203" s="79"/>
      <c r="R203" s="6"/>
      <c r="S203" s="6"/>
      <c r="T203" s="6"/>
      <c r="U203" s="6"/>
      <c r="V203" s="6"/>
      <c r="W203" s="80"/>
      <c r="X203" s="79"/>
      <c r="Y203" s="6"/>
      <c r="Z203" s="6"/>
      <c r="AA203" s="6"/>
      <c r="AB203" s="6"/>
      <c r="AC203" s="80"/>
    </row>
    <row r="204" spans="1:29">
      <c r="A204" s="52"/>
      <c r="B204" s="53"/>
      <c r="C204" s="53"/>
      <c r="D204" s="54"/>
      <c r="E204" s="52"/>
      <c r="F204" s="53"/>
      <c r="G204" s="53"/>
      <c r="H204" s="53"/>
      <c r="I204" s="64"/>
      <c r="K204" s="6"/>
      <c r="L204" s="6"/>
      <c r="M204" s="6"/>
      <c r="N204" s="6"/>
      <c r="O204" s="6"/>
      <c r="P204" s="83"/>
      <c r="Q204" s="79"/>
      <c r="R204" s="6"/>
      <c r="S204" s="6"/>
      <c r="T204" s="6"/>
      <c r="U204" s="6"/>
      <c r="V204" s="6"/>
      <c r="W204" s="80"/>
      <c r="X204" s="79"/>
      <c r="Y204" s="6"/>
      <c r="Z204" s="6"/>
      <c r="AA204" s="6"/>
      <c r="AB204" s="6"/>
      <c r="AC204" s="80"/>
    </row>
    <row r="205" spans="1:29">
      <c r="A205" s="52"/>
      <c r="B205" s="53"/>
      <c r="C205" s="53"/>
      <c r="D205" s="54"/>
      <c r="E205" s="52"/>
      <c r="F205" s="53"/>
      <c r="G205" s="53"/>
      <c r="H205" s="53"/>
      <c r="I205" s="64"/>
      <c r="K205" s="6"/>
      <c r="L205" s="6"/>
      <c r="M205" s="6"/>
      <c r="N205" s="6"/>
      <c r="O205" s="6"/>
      <c r="P205" s="83"/>
      <c r="Q205" s="79"/>
      <c r="R205" s="6"/>
      <c r="S205" s="6"/>
      <c r="T205" s="6"/>
      <c r="U205" s="6"/>
      <c r="V205" s="6"/>
      <c r="W205" s="80"/>
      <c r="X205" s="79"/>
      <c r="Y205" s="6"/>
      <c r="Z205" s="6"/>
      <c r="AA205" s="6"/>
      <c r="AB205" s="6"/>
      <c r="AC205" s="80"/>
    </row>
    <row r="206" spans="1:29">
      <c r="A206" s="52"/>
      <c r="B206" s="53"/>
      <c r="C206" s="53"/>
      <c r="D206" s="54"/>
      <c r="E206" s="52"/>
      <c r="F206" s="53"/>
      <c r="G206" s="53"/>
      <c r="H206" s="53"/>
      <c r="I206" s="64"/>
      <c r="K206" s="6"/>
      <c r="L206" s="6"/>
      <c r="M206" s="6"/>
      <c r="N206" s="6"/>
      <c r="O206" s="6"/>
      <c r="P206" s="83"/>
      <c r="Q206" s="79"/>
      <c r="R206" s="6"/>
      <c r="S206" s="6"/>
      <c r="T206" s="6"/>
      <c r="U206" s="6"/>
      <c r="V206" s="6"/>
      <c r="W206" s="80"/>
      <c r="X206" s="79"/>
      <c r="Y206" s="6"/>
      <c r="Z206" s="6"/>
      <c r="AA206" s="6"/>
      <c r="AB206" s="6"/>
      <c r="AC206" s="80"/>
    </row>
    <row r="207" spans="1:29">
      <c r="A207" s="52"/>
      <c r="B207" s="53"/>
      <c r="C207" s="53"/>
      <c r="D207" s="54"/>
      <c r="E207" s="52"/>
      <c r="F207" s="53"/>
      <c r="G207" s="53"/>
      <c r="H207" s="53"/>
      <c r="I207" s="64"/>
      <c r="K207" s="6"/>
      <c r="L207" s="6"/>
      <c r="M207" s="6"/>
      <c r="N207" s="6"/>
      <c r="O207" s="6"/>
      <c r="P207" s="83"/>
      <c r="Q207" s="79"/>
      <c r="R207" s="6"/>
      <c r="S207" s="6"/>
      <c r="T207" s="6"/>
      <c r="U207" s="6"/>
      <c r="V207" s="6"/>
      <c r="W207" s="80"/>
      <c r="X207" s="79"/>
      <c r="Y207" s="6"/>
      <c r="Z207" s="6"/>
      <c r="AA207" s="6"/>
      <c r="AB207" s="6"/>
      <c r="AC207" s="80"/>
    </row>
    <row r="208" spans="1:29">
      <c r="A208" s="52"/>
      <c r="B208" s="53"/>
      <c r="C208" s="53"/>
      <c r="D208" s="54"/>
      <c r="E208" s="52"/>
      <c r="F208" s="53"/>
      <c r="G208" s="53"/>
      <c r="H208" s="53"/>
      <c r="I208" s="64"/>
      <c r="K208" s="6"/>
      <c r="L208" s="6"/>
      <c r="M208" s="6"/>
      <c r="N208" s="6"/>
      <c r="O208" s="6"/>
      <c r="P208" s="83"/>
      <c r="Q208" s="79"/>
      <c r="R208" s="6"/>
      <c r="S208" s="6"/>
      <c r="T208" s="6"/>
      <c r="U208" s="6"/>
      <c r="V208" s="6"/>
      <c r="W208" s="80"/>
      <c r="X208" s="79"/>
      <c r="Y208" s="6"/>
      <c r="Z208" s="6"/>
      <c r="AA208" s="6"/>
      <c r="AB208" s="6"/>
      <c r="AC208" s="80"/>
    </row>
    <row r="209" spans="1:29">
      <c r="A209" s="52"/>
      <c r="B209" s="53"/>
      <c r="C209" s="53"/>
      <c r="D209" s="54"/>
      <c r="E209" s="52"/>
      <c r="F209" s="53"/>
      <c r="G209" s="53"/>
      <c r="H209" s="53"/>
      <c r="I209" s="64"/>
      <c r="K209" s="6"/>
      <c r="L209" s="6"/>
      <c r="M209" s="6"/>
      <c r="N209" s="6"/>
      <c r="O209" s="6"/>
      <c r="P209" s="83"/>
      <c r="Q209" s="79"/>
      <c r="R209" s="6"/>
      <c r="S209" s="6"/>
      <c r="T209" s="6"/>
      <c r="U209" s="6"/>
      <c r="V209" s="6"/>
      <c r="W209" s="80"/>
      <c r="X209" s="79"/>
      <c r="Y209" s="6"/>
      <c r="Z209" s="6"/>
      <c r="AA209" s="6"/>
      <c r="AB209" s="6"/>
      <c r="AC209" s="80"/>
    </row>
    <row r="210" spans="1:29">
      <c r="A210" s="52"/>
      <c r="B210" s="53"/>
      <c r="C210" s="53"/>
      <c r="D210" s="54"/>
      <c r="E210" s="52"/>
      <c r="F210" s="53"/>
      <c r="G210" s="53"/>
      <c r="H210" s="53"/>
      <c r="I210" s="64"/>
      <c r="K210" s="6"/>
      <c r="L210" s="6"/>
      <c r="M210" s="6"/>
      <c r="N210" s="6"/>
      <c r="O210" s="6"/>
      <c r="P210" s="83"/>
      <c r="Q210" s="79"/>
      <c r="R210" s="6"/>
      <c r="S210" s="6"/>
      <c r="T210" s="6"/>
      <c r="U210" s="6"/>
      <c r="V210" s="6"/>
      <c r="W210" s="80"/>
      <c r="X210" s="79"/>
      <c r="Y210" s="6"/>
      <c r="Z210" s="6"/>
      <c r="AA210" s="6"/>
      <c r="AB210" s="6"/>
      <c r="AC210" s="80"/>
    </row>
    <row r="211" spans="1:29">
      <c r="A211" s="52"/>
      <c r="B211" s="53"/>
      <c r="C211" s="53"/>
      <c r="D211" s="54"/>
      <c r="E211" s="52"/>
      <c r="F211" s="53"/>
      <c r="G211" s="53"/>
      <c r="H211" s="53"/>
      <c r="I211" s="64"/>
      <c r="K211" s="6"/>
      <c r="L211" s="6"/>
      <c r="M211" s="6"/>
      <c r="N211" s="6"/>
      <c r="O211" s="6"/>
      <c r="P211" s="83"/>
      <c r="Q211" s="79"/>
      <c r="R211" s="6"/>
      <c r="S211" s="6"/>
      <c r="T211" s="6"/>
      <c r="U211" s="6"/>
      <c r="V211" s="6"/>
      <c r="W211" s="80"/>
      <c r="X211" s="79"/>
      <c r="Y211" s="6"/>
      <c r="Z211" s="6"/>
      <c r="AA211" s="6"/>
      <c r="AB211" s="6"/>
      <c r="AC211" s="80"/>
    </row>
    <row r="212" spans="1:29">
      <c r="A212" s="52"/>
      <c r="B212" s="53"/>
      <c r="C212" s="53"/>
      <c r="D212" s="54"/>
      <c r="E212" s="52"/>
      <c r="F212" s="53"/>
      <c r="G212" s="53"/>
      <c r="H212" s="53"/>
      <c r="I212" s="64"/>
      <c r="K212" s="6"/>
      <c r="L212" s="6"/>
      <c r="M212" s="6"/>
      <c r="N212" s="6"/>
      <c r="O212" s="6"/>
      <c r="P212" s="83"/>
      <c r="Q212" s="79"/>
      <c r="R212" s="6"/>
      <c r="S212" s="6"/>
      <c r="T212" s="6"/>
      <c r="U212" s="6"/>
      <c r="V212" s="6"/>
      <c r="W212" s="80"/>
      <c r="X212" s="79"/>
      <c r="Y212" s="6"/>
      <c r="Z212" s="6"/>
      <c r="AA212" s="6"/>
      <c r="AB212" s="6"/>
      <c r="AC212" s="80"/>
    </row>
    <row r="213" spans="1:29">
      <c r="A213" s="52"/>
      <c r="B213" s="53"/>
      <c r="C213" s="53"/>
      <c r="D213" s="54"/>
      <c r="E213" s="52"/>
      <c r="F213" s="53"/>
      <c r="G213" s="53"/>
      <c r="H213" s="53"/>
      <c r="I213" s="64"/>
      <c r="K213" s="6"/>
      <c r="L213" s="6"/>
      <c r="M213" s="6"/>
      <c r="N213" s="6"/>
      <c r="O213" s="6"/>
      <c r="P213" s="83"/>
      <c r="Q213" s="79"/>
      <c r="R213" s="6"/>
      <c r="S213" s="6"/>
      <c r="T213" s="6"/>
      <c r="U213" s="6"/>
      <c r="V213" s="6"/>
      <c r="W213" s="80"/>
      <c r="X213" s="79"/>
      <c r="Y213" s="6"/>
      <c r="Z213" s="6"/>
      <c r="AA213" s="6"/>
      <c r="AB213" s="6"/>
      <c r="AC213" s="80"/>
    </row>
    <row r="214" spans="1:29">
      <c r="A214" s="52"/>
      <c r="B214" s="53"/>
      <c r="C214" s="53"/>
      <c r="D214" s="54"/>
      <c r="E214" s="52"/>
      <c r="F214" s="53"/>
      <c r="G214" s="53"/>
      <c r="H214" s="53"/>
      <c r="I214" s="64"/>
      <c r="K214" s="6"/>
      <c r="L214" s="6"/>
      <c r="M214" s="6"/>
      <c r="N214" s="6"/>
      <c r="O214" s="6"/>
      <c r="P214" s="83"/>
      <c r="Q214" s="79"/>
      <c r="R214" s="6"/>
      <c r="S214" s="6"/>
      <c r="T214" s="6"/>
      <c r="U214" s="6"/>
      <c r="V214" s="6"/>
      <c r="W214" s="80"/>
      <c r="X214" s="79"/>
      <c r="Y214" s="6"/>
      <c r="Z214" s="6"/>
      <c r="AA214" s="6"/>
      <c r="AB214" s="6"/>
      <c r="AC214" s="80"/>
    </row>
    <row r="215" spans="1:29">
      <c r="A215" s="52"/>
      <c r="B215" s="53"/>
      <c r="C215" s="53"/>
      <c r="D215" s="54"/>
      <c r="E215" s="52"/>
      <c r="F215" s="53"/>
      <c r="G215" s="53"/>
      <c r="H215" s="53"/>
      <c r="I215" s="64"/>
      <c r="K215" s="6"/>
      <c r="L215" s="6"/>
      <c r="M215" s="6"/>
      <c r="N215" s="6"/>
      <c r="O215" s="6"/>
      <c r="P215" s="83"/>
      <c r="Q215" s="79"/>
      <c r="R215" s="6"/>
      <c r="S215" s="6"/>
      <c r="T215" s="6"/>
      <c r="U215" s="6"/>
      <c r="V215" s="6"/>
      <c r="W215" s="80"/>
      <c r="X215" s="79"/>
      <c r="Y215" s="6"/>
      <c r="Z215" s="6"/>
      <c r="AA215" s="6"/>
      <c r="AB215" s="6"/>
      <c r="AC215" s="80"/>
    </row>
    <row r="216" spans="1:29">
      <c r="A216" s="52"/>
      <c r="B216" s="53"/>
      <c r="C216" s="53"/>
      <c r="D216" s="54"/>
      <c r="E216" s="52"/>
      <c r="F216" s="53"/>
      <c r="G216" s="53"/>
      <c r="H216" s="53"/>
      <c r="I216" s="64"/>
      <c r="K216" s="6"/>
      <c r="L216" s="6"/>
      <c r="M216" s="6"/>
      <c r="N216" s="6"/>
      <c r="O216" s="6"/>
      <c r="P216" s="83"/>
      <c r="Q216" s="79"/>
      <c r="R216" s="6"/>
      <c r="S216" s="6"/>
      <c r="T216" s="6"/>
      <c r="U216" s="6"/>
      <c r="V216" s="6"/>
      <c r="W216" s="80"/>
      <c r="X216" s="79"/>
      <c r="Y216" s="6"/>
      <c r="Z216" s="6"/>
      <c r="AA216" s="6"/>
      <c r="AB216" s="6"/>
      <c r="AC216" s="80"/>
    </row>
    <row r="217" spans="1:29">
      <c r="A217" s="52"/>
      <c r="B217" s="53"/>
      <c r="C217" s="53"/>
      <c r="D217" s="54"/>
      <c r="E217" s="52"/>
      <c r="F217" s="53"/>
      <c r="G217" s="53"/>
      <c r="H217" s="53"/>
      <c r="I217" s="64"/>
      <c r="K217" s="6"/>
      <c r="L217" s="6"/>
      <c r="M217" s="6"/>
      <c r="N217" s="6"/>
      <c r="O217" s="6"/>
      <c r="P217" s="83"/>
      <c r="Q217" s="79"/>
      <c r="R217" s="6"/>
      <c r="S217" s="6"/>
      <c r="T217" s="6"/>
      <c r="U217" s="6"/>
      <c r="V217" s="6"/>
      <c r="W217" s="80"/>
      <c r="X217" s="79"/>
      <c r="Y217" s="6"/>
      <c r="Z217" s="6"/>
      <c r="AA217" s="6"/>
      <c r="AB217" s="6"/>
      <c r="AC217" s="80"/>
    </row>
    <row r="218" spans="1:29">
      <c r="A218" s="52"/>
      <c r="B218" s="53"/>
      <c r="C218" s="53"/>
      <c r="D218" s="54"/>
      <c r="E218" s="52"/>
      <c r="F218" s="53"/>
      <c r="G218" s="53"/>
      <c r="H218" s="53"/>
      <c r="I218" s="64"/>
      <c r="K218" s="6"/>
      <c r="L218" s="6"/>
      <c r="M218" s="6"/>
      <c r="N218" s="6"/>
      <c r="O218" s="6"/>
      <c r="P218" s="83"/>
      <c r="Q218" s="79"/>
      <c r="R218" s="6"/>
      <c r="S218" s="6"/>
      <c r="T218" s="6"/>
      <c r="U218" s="6"/>
      <c r="V218" s="6"/>
      <c r="W218" s="80"/>
      <c r="X218" s="79"/>
      <c r="Y218" s="6"/>
      <c r="Z218" s="6"/>
      <c r="AA218" s="6"/>
      <c r="AB218" s="6"/>
      <c r="AC218" s="80"/>
    </row>
    <row r="219" spans="1:29">
      <c r="A219" s="52"/>
      <c r="B219" s="53"/>
      <c r="C219" s="53"/>
      <c r="D219" s="54"/>
      <c r="E219" s="52"/>
      <c r="F219" s="53"/>
      <c r="G219" s="53"/>
      <c r="H219" s="53"/>
      <c r="I219" s="64"/>
      <c r="K219" s="6"/>
      <c r="L219" s="6"/>
      <c r="M219" s="6"/>
      <c r="N219" s="6"/>
      <c r="O219" s="6"/>
      <c r="P219" s="83"/>
      <c r="Q219" s="79"/>
      <c r="R219" s="6"/>
      <c r="S219" s="6"/>
      <c r="T219" s="6"/>
      <c r="U219" s="6"/>
      <c r="V219" s="6"/>
      <c r="W219" s="80"/>
      <c r="X219" s="79"/>
      <c r="Y219" s="6"/>
      <c r="Z219" s="6"/>
      <c r="AA219" s="6"/>
      <c r="AB219" s="6"/>
      <c r="AC219" s="80"/>
    </row>
    <row r="220" spans="1:29">
      <c r="A220" s="52"/>
      <c r="B220" s="53"/>
      <c r="C220" s="53"/>
      <c r="D220" s="54"/>
      <c r="E220" s="52"/>
      <c r="F220" s="53"/>
      <c r="G220" s="53"/>
      <c r="H220" s="53"/>
      <c r="I220" s="64"/>
      <c r="K220" s="6"/>
      <c r="L220" s="6"/>
      <c r="M220" s="6"/>
      <c r="N220" s="6"/>
      <c r="O220" s="6"/>
      <c r="P220" s="83"/>
      <c r="Q220" s="79"/>
      <c r="R220" s="6"/>
      <c r="S220" s="6"/>
      <c r="T220" s="6"/>
      <c r="U220" s="6"/>
      <c r="V220" s="6"/>
      <c r="W220" s="80"/>
      <c r="X220" s="79"/>
      <c r="Y220" s="6"/>
      <c r="Z220" s="6"/>
      <c r="AA220" s="6"/>
      <c r="AB220" s="6"/>
      <c r="AC220" s="80"/>
    </row>
    <row r="221" spans="1:29">
      <c r="A221" s="52"/>
      <c r="B221" s="53"/>
      <c r="C221" s="53"/>
      <c r="D221" s="54"/>
      <c r="E221" s="52"/>
      <c r="F221" s="53"/>
      <c r="G221" s="53"/>
      <c r="H221" s="53"/>
      <c r="I221" s="64"/>
      <c r="K221" s="6"/>
      <c r="L221" s="6"/>
      <c r="M221" s="6"/>
      <c r="N221" s="6"/>
      <c r="O221" s="6"/>
      <c r="P221" s="83"/>
      <c r="Q221" s="79"/>
      <c r="R221" s="6"/>
      <c r="S221" s="6"/>
      <c r="T221" s="6"/>
      <c r="U221" s="6"/>
      <c r="V221" s="6"/>
      <c r="W221" s="80"/>
      <c r="X221" s="79"/>
      <c r="Y221" s="6"/>
      <c r="Z221" s="6"/>
      <c r="AA221" s="6"/>
      <c r="AB221" s="6"/>
      <c r="AC221" s="80"/>
    </row>
    <row r="222" spans="1:29">
      <c r="A222" s="52"/>
      <c r="B222" s="53"/>
      <c r="C222" s="53"/>
      <c r="D222" s="54"/>
      <c r="E222" s="52"/>
      <c r="F222" s="53"/>
      <c r="G222" s="53"/>
      <c r="H222" s="53"/>
      <c r="I222" s="64"/>
      <c r="K222" s="6"/>
      <c r="L222" s="6"/>
      <c r="M222" s="6"/>
      <c r="N222" s="6"/>
      <c r="O222" s="6"/>
      <c r="P222" s="83"/>
      <c r="Q222" s="79"/>
      <c r="R222" s="6"/>
      <c r="S222" s="6"/>
      <c r="T222" s="6"/>
      <c r="U222" s="6"/>
      <c r="V222" s="6"/>
      <c r="W222" s="80"/>
      <c r="X222" s="79"/>
      <c r="Y222" s="6"/>
      <c r="Z222" s="6"/>
      <c r="AA222" s="6"/>
      <c r="AB222" s="6"/>
      <c r="AC222" s="80"/>
    </row>
    <row r="223" spans="1:29">
      <c r="A223" s="52"/>
      <c r="B223" s="53"/>
      <c r="C223" s="53"/>
      <c r="D223" s="54"/>
      <c r="E223" s="52"/>
      <c r="F223" s="53"/>
      <c r="G223" s="53"/>
      <c r="H223" s="53"/>
      <c r="I223" s="64"/>
      <c r="K223" s="6"/>
      <c r="L223" s="6"/>
      <c r="M223" s="6"/>
      <c r="N223" s="6"/>
      <c r="O223" s="6"/>
      <c r="P223" s="83"/>
      <c r="Q223" s="79"/>
      <c r="R223" s="6"/>
      <c r="S223" s="6"/>
      <c r="T223" s="6"/>
      <c r="U223" s="6"/>
      <c r="V223" s="6"/>
      <c r="W223" s="80"/>
      <c r="X223" s="79"/>
      <c r="Y223" s="6"/>
      <c r="Z223" s="6"/>
      <c r="AA223" s="6"/>
      <c r="AB223" s="6"/>
      <c r="AC223" s="80"/>
    </row>
    <row r="224" spans="1:29">
      <c r="A224" s="52"/>
      <c r="B224" s="53"/>
      <c r="C224" s="53"/>
      <c r="D224" s="54"/>
      <c r="E224" s="52"/>
      <c r="F224" s="53"/>
      <c r="G224" s="53"/>
      <c r="H224" s="53"/>
      <c r="I224" s="64"/>
      <c r="K224" s="6"/>
      <c r="L224" s="6"/>
      <c r="M224" s="6"/>
      <c r="N224" s="6"/>
      <c r="O224" s="6"/>
      <c r="P224" s="83"/>
      <c r="Q224" s="79"/>
      <c r="R224" s="6"/>
      <c r="S224" s="6"/>
      <c r="T224" s="6"/>
      <c r="U224" s="6"/>
      <c r="V224" s="6"/>
      <c r="W224" s="80"/>
      <c r="X224" s="79"/>
      <c r="Y224" s="6"/>
      <c r="Z224" s="6"/>
      <c r="AA224" s="6"/>
      <c r="AB224" s="6"/>
      <c r="AC224" s="80"/>
    </row>
    <row r="225" spans="1:29">
      <c r="A225" s="52"/>
      <c r="B225" s="53"/>
      <c r="C225" s="53"/>
      <c r="D225" s="54"/>
      <c r="E225" s="52"/>
      <c r="F225" s="53"/>
      <c r="G225" s="53"/>
      <c r="H225" s="53"/>
      <c r="I225" s="64"/>
      <c r="K225" s="6"/>
      <c r="L225" s="6"/>
      <c r="M225" s="6"/>
      <c r="N225" s="6"/>
      <c r="O225" s="6"/>
      <c r="P225" s="83"/>
      <c r="Q225" s="79"/>
      <c r="R225" s="6"/>
      <c r="S225" s="6"/>
      <c r="T225" s="6"/>
      <c r="U225" s="6"/>
      <c r="V225" s="6"/>
      <c r="W225" s="80"/>
      <c r="X225" s="79"/>
      <c r="Y225" s="6"/>
      <c r="Z225" s="6"/>
      <c r="AA225" s="6"/>
      <c r="AB225" s="6"/>
      <c r="AC225" s="80"/>
    </row>
    <row r="226" spans="1:29">
      <c r="A226" s="52"/>
      <c r="B226" s="53"/>
      <c r="C226" s="53"/>
      <c r="D226" s="54"/>
      <c r="E226" s="52"/>
      <c r="F226" s="53"/>
      <c r="G226" s="53"/>
      <c r="H226" s="53"/>
      <c r="I226" s="64"/>
      <c r="Q226" s="79"/>
      <c r="X226" s="79"/>
    </row>
    <row r="227" spans="1:29">
      <c r="A227" s="52"/>
      <c r="B227" s="53"/>
      <c r="C227" s="53"/>
      <c r="D227" s="54"/>
      <c r="E227" s="52"/>
      <c r="F227" s="53"/>
      <c r="G227" s="53"/>
      <c r="H227" s="53"/>
      <c r="I227" s="64"/>
      <c r="Q227" s="79"/>
      <c r="X227" s="79"/>
    </row>
    <row r="228" spans="1:29">
      <c r="A228" s="52"/>
      <c r="B228" s="53"/>
      <c r="C228" s="53"/>
      <c r="D228" s="54"/>
      <c r="E228" s="52"/>
      <c r="F228" s="53"/>
      <c r="G228" s="53"/>
      <c r="H228" s="53"/>
      <c r="I228" s="64"/>
      <c r="Q228" s="79"/>
      <c r="X228" s="79"/>
    </row>
    <row r="229" spans="1:29">
      <c r="A229" s="52"/>
      <c r="B229" s="53"/>
      <c r="C229" s="53"/>
      <c r="D229" s="54"/>
      <c r="E229" s="52"/>
      <c r="F229" s="53"/>
      <c r="G229" s="53"/>
      <c r="H229" s="53"/>
      <c r="I229" s="64"/>
      <c r="Q229" s="79"/>
      <c r="X229" s="79"/>
    </row>
    <row r="230" spans="1:29">
      <c r="A230" s="52"/>
      <c r="B230" s="53"/>
      <c r="C230" s="53"/>
      <c r="D230" s="54"/>
      <c r="E230" s="52"/>
      <c r="F230" s="53"/>
      <c r="G230" s="53"/>
      <c r="H230" s="53"/>
      <c r="I230" s="64"/>
      <c r="Q230" s="79"/>
      <c r="X230" s="79"/>
    </row>
    <row r="231" spans="1:29">
      <c r="A231" s="52"/>
      <c r="B231" s="53"/>
      <c r="C231" s="53"/>
      <c r="D231" s="54"/>
      <c r="E231" s="52"/>
      <c r="F231" s="53"/>
      <c r="G231" s="53"/>
      <c r="H231" s="53"/>
      <c r="I231" s="64"/>
      <c r="Q231" s="79"/>
      <c r="X231" s="79"/>
    </row>
    <row r="232" spans="1:29">
      <c r="A232" s="52"/>
      <c r="B232" s="53"/>
      <c r="C232" s="53"/>
      <c r="D232" s="54"/>
      <c r="E232" s="52"/>
      <c r="F232" s="53"/>
      <c r="G232" s="53"/>
      <c r="H232" s="53"/>
      <c r="I232" s="64"/>
      <c r="Q232" s="79"/>
      <c r="X232" s="79"/>
    </row>
    <row r="233" spans="1:29">
      <c r="A233" s="52"/>
      <c r="B233" s="53"/>
      <c r="C233" s="53"/>
      <c r="D233" s="54"/>
      <c r="E233" s="52"/>
      <c r="F233" s="53"/>
      <c r="G233" s="53"/>
      <c r="H233" s="53"/>
      <c r="I233" s="64"/>
      <c r="Q233" s="79"/>
      <c r="X233" s="79"/>
    </row>
    <row r="234" spans="1:29">
      <c r="A234" s="52"/>
      <c r="B234" s="53"/>
      <c r="C234" s="53"/>
      <c r="D234" s="54"/>
      <c r="E234" s="52"/>
      <c r="F234" s="53"/>
      <c r="G234" s="53"/>
      <c r="H234" s="53"/>
      <c r="I234" s="64"/>
      <c r="Q234" s="79"/>
      <c r="X234" s="79"/>
    </row>
    <row r="235" spans="1:29">
      <c r="A235" s="52"/>
      <c r="B235" s="53"/>
      <c r="C235" s="53"/>
      <c r="D235" s="54"/>
      <c r="E235" s="52"/>
      <c r="F235" s="53"/>
      <c r="G235" s="53"/>
      <c r="H235" s="53"/>
      <c r="I235" s="64"/>
      <c r="Q235" s="79"/>
      <c r="X235" s="79"/>
    </row>
    <row r="236" spans="1:29">
      <c r="A236" s="52"/>
      <c r="B236" s="53"/>
      <c r="C236" s="53"/>
      <c r="D236" s="54"/>
      <c r="E236" s="52"/>
      <c r="F236" s="53"/>
      <c r="G236" s="53"/>
      <c r="H236" s="53"/>
      <c r="I236" s="64"/>
      <c r="Q236" s="79"/>
      <c r="X236" s="79"/>
    </row>
    <row r="237" spans="1:29">
      <c r="A237" s="52"/>
      <c r="B237" s="53"/>
      <c r="C237" s="53"/>
      <c r="D237" s="54"/>
      <c r="E237" s="52"/>
      <c r="F237" s="53"/>
      <c r="G237" s="53"/>
      <c r="H237" s="53"/>
      <c r="I237" s="64"/>
      <c r="Q237" s="79"/>
      <c r="X237" s="79"/>
    </row>
    <row r="238" spans="1:29">
      <c r="A238" s="52"/>
      <c r="B238" s="53"/>
      <c r="C238" s="53"/>
      <c r="D238" s="54"/>
      <c r="E238" s="52"/>
      <c r="F238" s="53"/>
      <c r="G238" s="53"/>
      <c r="H238" s="53"/>
      <c r="I238" s="64"/>
      <c r="Q238" s="79"/>
      <c r="X238" s="79"/>
    </row>
    <row r="239" spans="1:29">
      <c r="A239" s="52"/>
      <c r="B239" s="53"/>
      <c r="C239" s="53"/>
      <c r="D239" s="54"/>
      <c r="E239" s="52"/>
      <c r="F239" s="53"/>
      <c r="G239" s="53"/>
      <c r="H239" s="53"/>
      <c r="I239" s="64"/>
      <c r="Q239" s="79"/>
      <c r="X239" s="79"/>
    </row>
    <row r="240" spans="1:29">
      <c r="A240" s="52"/>
      <c r="B240" s="53"/>
      <c r="C240" s="53"/>
      <c r="D240" s="54"/>
      <c r="E240" s="52"/>
      <c r="F240" s="53"/>
      <c r="G240" s="53"/>
      <c r="H240" s="53"/>
      <c r="I240" s="64"/>
      <c r="Q240" s="79"/>
      <c r="X240" s="79"/>
    </row>
    <row r="241" spans="1:24">
      <c r="A241" s="52"/>
      <c r="B241" s="53"/>
      <c r="C241" s="53"/>
      <c r="D241" s="54"/>
      <c r="E241" s="52"/>
      <c r="F241" s="53"/>
      <c r="G241" s="53"/>
      <c r="H241" s="53"/>
      <c r="I241" s="64"/>
      <c r="Q241" s="79"/>
      <c r="X241" s="79"/>
    </row>
    <row r="242" spans="1:24">
      <c r="A242" s="52"/>
      <c r="B242" s="53"/>
      <c r="C242" s="53"/>
      <c r="D242" s="54"/>
      <c r="E242" s="52"/>
      <c r="F242" s="53"/>
      <c r="G242" s="53"/>
      <c r="H242" s="53"/>
      <c r="I242" s="64"/>
      <c r="Q242" s="79"/>
      <c r="X242" s="79"/>
    </row>
    <row r="243" spans="1:24">
      <c r="A243" s="52"/>
      <c r="B243" s="53"/>
      <c r="C243" s="53"/>
      <c r="D243" s="54"/>
      <c r="E243" s="52"/>
      <c r="F243" s="53"/>
      <c r="G243" s="53"/>
      <c r="H243" s="53"/>
      <c r="I243" s="64"/>
      <c r="Q243" s="79"/>
      <c r="X243" s="79"/>
    </row>
    <row r="244" spans="1:24">
      <c r="A244" s="52"/>
      <c r="B244" s="53"/>
      <c r="C244" s="53"/>
      <c r="D244" s="54"/>
      <c r="E244" s="52"/>
      <c r="F244" s="53"/>
      <c r="G244" s="53"/>
      <c r="H244" s="53"/>
      <c r="I244" s="64"/>
      <c r="Q244" s="79"/>
      <c r="X244" s="79"/>
    </row>
    <row r="245" spans="1:24">
      <c r="A245" s="52"/>
      <c r="B245" s="53"/>
      <c r="C245" s="53"/>
      <c r="D245" s="54"/>
      <c r="E245" s="52"/>
      <c r="F245" s="53"/>
      <c r="G245" s="53"/>
      <c r="H245" s="53"/>
      <c r="I245" s="64"/>
      <c r="Q245" s="79"/>
      <c r="X245" s="79"/>
    </row>
    <row r="246" spans="1:24">
      <c r="A246" s="52"/>
      <c r="B246" s="53"/>
      <c r="C246" s="53"/>
      <c r="D246" s="54"/>
      <c r="E246" s="52"/>
      <c r="F246" s="53"/>
      <c r="G246" s="53"/>
      <c r="H246" s="53"/>
      <c r="I246" s="64"/>
      <c r="Q246" s="79"/>
      <c r="X246" s="79"/>
    </row>
    <row r="247" spans="1:24">
      <c r="A247" s="52"/>
      <c r="B247" s="53"/>
      <c r="C247" s="53"/>
      <c r="D247" s="54"/>
      <c r="E247" s="52"/>
      <c r="F247" s="53"/>
      <c r="G247" s="53"/>
      <c r="H247" s="53"/>
      <c r="I247" s="64"/>
      <c r="Q247" s="79"/>
      <c r="X247" s="79"/>
    </row>
    <row r="248" spans="1:24">
      <c r="A248" s="52"/>
      <c r="B248" s="53"/>
      <c r="C248" s="53"/>
      <c r="D248" s="54"/>
      <c r="E248" s="52"/>
      <c r="F248" s="53"/>
      <c r="G248" s="53"/>
      <c r="H248" s="53"/>
      <c r="I248" s="64"/>
      <c r="Q248" s="79"/>
      <c r="X248" s="79"/>
    </row>
    <row r="249" spans="1:24">
      <c r="A249" s="52"/>
      <c r="B249" s="53"/>
      <c r="C249" s="53"/>
      <c r="D249" s="54"/>
      <c r="E249" s="52"/>
      <c r="F249" s="53"/>
      <c r="G249" s="53"/>
      <c r="H249" s="53"/>
      <c r="I249" s="64"/>
      <c r="Q249" s="79"/>
      <c r="X249" s="79"/>
    </row>
    <row r="250" spans="1:24">
      <c r="A250" s="52"/>
      <c r="B250" s="53"/>
      <c r="C250" s="53"/>
      <c r="D250" s="54"/>
      <c r="E250" s="52"/>
      <c r="F250" s="53"/>
      <c r="G250" s="53"/>
      <c r="H250" s="53"/>
      <c r="I250" s="64"/>
      <c r="Q250" s="79"/>
      <c r="X250" s="79"/>
    </row>
    <row r="251" spans="1:24">
      <c r="A251" s="52"/>
      <c r="B251" s="53"/>
      <c r="C251" s="53"/>
      <c r="D251" s="54"/>
      <c r="E251" s="52"/>
      <c r="F251" s="53"/>
      <c r="G251" s="53"/>
      <c r="H251" s="53"/>
      <c r="I251" s="64"/>
      <c r="Q251" s="79"/>
      <c r="X251" s="79"/>
    </row>
    <row r="252" spans="1:24">
      <c r="A252" s="52"/>
      <c r="B252" s="53"/>
      <c r="C252" s="53"/>
      <c r="D252" s="54"/>
      <c r="E252" s="52"/>
      <c r="F252" s="53"/>
      <c r="G252" s="53"/>
      <c r="H252" s="53"/>
      <c r="I252" s="64"/>
      <c r="Q252" s="79"/>
      <c r="X252" s="79"/>
    </row>
    <row r="253" spans="1:24">
      <c r="A253" s="52"/>
      <c r="B253" s="53"/>
      <c r="C253" s="53"/>
      <c r="D253" s="54"/>
      <c r="E253" s="52"/>
      <c r="F253" s="53"/>
      <c r="G253" s="53"/>
      <c r="H253" s="53"/>
      <c r="I253" s="64"/>
      <c r="Q253" s="79"/>
      <c r="X253" s="79"/>
    </row>
    <row r="254" spans="1:24">
      <c r="A254" s="52"/>
      <c r="B254" s="53"/>
      <c r="C254" s="53"/>
      <c r="D254" s="54"/>
      <c r="E254" s="52"/>
      <c r="F254" s="53"/>
      <c r="G254" s="53"/>
      <c r="H254" s="53"/>
      <c r="I254" s="64"/>
      <c r="Q254" s="79"/>
      <c r="X254" s="79"/>
    </row>
    <row r="255" spans="1:24">
      <c r="A255" s="52"/>
      <c r="B255" s="53"/>
      <c r="C255" s="53"/>
      <c r="D255" s="54"/>
      <c r="E255" s="52"/>
      <c r="F255" s="53"/>
      <c r="G255" s="53"/>
      <c r="H255" s="53"/>
      <c r="I255" s="64"/>
      <c r="Q255" s="79"/>
      <c r="X255" s="79"/>
    </row>
    <row r="256" spans="1:24">
      <c r="A256" s="52"/>
      <c r="B256" s="53"/>
      <c r="C256" s="53"/>
      <c r="D256" s="54"/>
      <c r="E256" s="52"/>
      <c r="F256" s="53"/>
      <c r="G256" s="53"/>
      <c r="H256" s="53"/>
      <c r="I256" s="64"/>
      <c r="Q256" s="79"/>
      <c r="X256" s="79"/>
    </row>
    <row r="257" spans="1:24">
      <c r="A257" s="52"/>
      <c r="B257" s="53"/>
      <c r="C257" s="53"/>
      <c r="D257" s="54"/>
      <c r="E257" s="52"/>
      <c r="F257" s="53"/>
      <c r="G257" s="53"/>
      <c r="H257" s="53"/>
      <c r="I257" s="64"/>
      <c r="Q257" s="79"/>
      <c r="X257" s="79"/>
    </row>
    <row r="258" spans="1:24">
      <c r="A258" s="52"/>
      <c r="B258" s="53"/>
      <c r="C258" s="53"/>
      <c r="D258" s="54"/>
      <c r="E258" s="52"/>
      <c r="F258" s="53"/>
      <c r="G258" s="53"/>
      <c r="H258" s="53"/>
      <c r="I258" s="64"/>
      <c r="Q258" s="79"/>
      <c r="X258" s="79"/>
    </row>
    <row r="259" spans="1:24">
      <c r="A259" s="52"/>
      <c r="B259" s="53"/>
      <c r="C259" s="53"/>
      <c r="D259" s="54"/>
      <c r="E259" s="52"/>
      <c r="F259" s="53"/>
      <c r="G259" s="53"/>
      <c r="H259" s="53"/>
      <c r="I259" s="64"/>
      <c r="Q259" s="79"/>
      <c r="X259" s="79"/>
    </row>
    <row r="260" spans="1:24">
      <c r="A260" s="52"/>
      <c r="B260" s="53"/>
      <c r="C260" s="53"/>
      <c r="D260" s="54"/>
      <c r="E260" s="52"/>
      <c r="F260" s="53"/>
      <c r="G260" s="53"/>
      <c r="H260" s="53"/>
      <c r="I260" s="64"/>
      <c r="Q260" s="79"/>
      <c r="X260" s="79"/>
    </row>
    <row r="261" spans="1:24">
      <c r="A261" s="52"/>
      <c r="B261" s="53"/>
      <c r="C261" s="53"/>
      <c r="D261" s="54"/>
      <c r="E261" s="52"/>
      <c r="F261" s="53"/>
      <c r="G261" s="53"/>
      <c r="H261" s="53"/>
      <c r="I261" s="64"/>
      <c r="Q261" s="79"/>
      <c r="X261" s="79"/>
    </row>
    <row r="262" spans="1:24">
      <c r="A262" s="52"/>
      <c r="B262" s="53"/>
      <c r="C262" s="53"/>
      <c r="D262" s="54"/>
      <c r="E262" s="52"/>
      <c r="F262" s="53"/>
      <c r="G262" s="53"/>
      <c r="H262" s="53"/>
      <c r="I262" s="64"/>
      <c r="Q262" s="79"/>
      <c r="X262" s="79"/>
    </row>
    <row r="263" spans="1:24">
      <c r="A263" s="52"/>
      <c r="B263" s="53"/>
      <c r="C263" s="53"/>
      <c r="D263" s="54"/>
      <c r="E263" s="52"/>
      <c r="F263" s="53"/>
      <c r="G263" s="53"/>
      <c r="H263" s="53"/>
      <c r="I263" s="64"/>
      <c r="Q263" s="79"/>
      <c r="X263" s="79"/>
    </row>
    <row r="264" spans="1:24">
      <c r="A264" s="52"/>
      <c r="B264" s="53"/>
      <c r="C264" s="53"/>
      <c r="D264" s="54"/>
      <c r="E264" s="52"/>
      <c r="F264" s="53"/>
      <c r="G264" s="53"/>
      <c r="H264" s="53"/>
      <c r="I264" s="64"/>
      <c r="Q264" s="79"/>
      <c r="X264" s="79"/>
    </row>
    <row r="265" spans="1:24">
      <c r="A265" s="52"/>
      <c r="B265" s="53"/>
      <c r="C265" s="53"/>
      <c r="D265" s="54"/>
      <c r="E265" s="52"/>
      <c r="F265" s="53"/>
      <c r="G265" s="53"/>
      <c r="H265" s="53"/>
      <c r="I265" s="64"/>
      <c r="Q265" s="79"/>
      <c r="X265" s="79"/>
    </row>
    <row r="266" spans="1:24">
      <c r="A266" s="52"/>
      <c r="B266" s="53"/>
      <c r="C266" s="53"/>
      <c r="D266" s="54"/>
      <c r="E266" s="52"/>
      <c r="F266" s="53"/>
      <c r="G266" s="53"/>
      <c r="H266" s="53"/>
      <c r="I266" s="64"/>
      <c r="Q266" s="79"/>
      <c r="X266" s="79"/>
    </row>
    <row r="267" spans="1:24">
      <c r="A267" s="52"/>
      <c r="B267" s="53"/>
      <c r="C267" s="53"/>
      <c r="D267" s="54"/>
      <c r="E267" s="52"/>
      <c r="F267" s="53"/>
      <c r="G267" s="53"/>
      <c r="H267" s="53"/>
      <c r="I267" s="64"/>
      <c r="Q267" s="79"/>
      <c r="X267" s="79"/>
    </row>
    <row r="268" spans="1:24">
      <c r="A268" s="52"/>
      <c r="B268" s="53"/>
      <c r="C268" s="53"/>
      <c r="D268" s="54"/>
      <c r="E268" s="52"/>
      <c r="F268" s="53"/>
      <c r="G268" s="53"/>
      <c r="H268" s="53"/>
      <c r="I268" s="64"/>
      <c r="Q268" s="79"/>
      <c r="X268" s="79"/>
    </row>
    <row r="269" spans="1:24">
      <c r="A269" s="52"/>
      <c r="B269" s="53"/>
      <c r="C269" s="53"/>
      <c r="D269" s="54"/>
      <c r="E269" s="52"/>
      <c r="F269" s="53"/>
      <c r="G269" s="53"/>
      <c r="H269" s="53"/>
      <c r="I269" s="64"/>
      <c r="Q269" s="79"/>
      <c r="X269" s="79"/>
    </row>
    <row r="270" spans="1:24">
      <c r="A270" s="52"/>
      <c r="B270" s="53"/>
      <c r="C270" s="53"/>
      <c r="D270" s="54"/>
      <c r="E270" s="52"/>
      <c r="F270" s="53"/>
      <c r="G270" s="53"/>
      <c r="H270" s="53"/>
      <c r="I270" s="64"/>
      <c r="Q270" s="79"/>
      <c r="X270" s="79"/>
    </row>
    <row r="271" spans="1:24">
      <c r="A271" s="52"/>
      <c r="B271" s="53"/>
      <c r="C271" s="53"/>
      <c r="D271" s="54"/>
      <c r="E271" s="52"/>
      <c r="F271" s="53"/>
      <c r="G271" s="53"/>
      <c r="H271" s="53"/>
      <c r="I271" s="64"/>
      <c r="Q271" s="79"/>
      <c r="X271" s="79"/>
    </row>
    <row r="272" spans="1:24">
      <c r="A272" s="52"/>
      <c r="B272" s="53"/>
      <c r="C272" s="53"/>
      <c r="D272" s="54"/>
      <c r="E272" s="52"/>
      <c r="F272" s="53"/>
      <c r="G272" s="53"/>
      <c r="H272" s="53"/>
      <c r="I272" s="64"/>
      <c r="Q272" s="79"/>
      <c r="X272" s="79"/>
    </row>
    <row r="273" spans="1:24">
      <c r="A273" s="52"/>
      <c r="B273" s="53"/>
      <c r="C273" s="53"/>
      <c r="D273" s="54"/>
      <c r="E273" s="52"/>
      <c r="F273" s="53"/>
      <c r="G273" s="53"/>
      <c r="H273" s="53"/>
      <c r="I273" s="64"/>
      <c r="Q273" s="79"/>
      <c r="X273" s="79"/>
    </row>
    <row r="274" spans="1:24">
      <c r="A274" s="52"/>
      <c r="B274" s="53"/>
      <c r="C274" s="53"/>
      <c r="D274" s="54"/>
      <c r="E274" s="52"/>
      <c r="F274" s="53"/>
      <c r="G274" s="53"/>
      <c r="H274" s="53"/>
      <c r="I274" s="64"/>
      <c r="Q274" s="79"/>
      <c r="X274" s="79"/>
    </row>
    <row r="275" spans="1:24">
      <c r="A275" s="52"/>
      <c r="B275" s="53"/>
      <c r="C275" s="53"/>
      <c r="D275" s="54"/>
      <c r="E275" s="52"/>
      <c r="F275" s="53"/>
      <c r="G275" s="53"/>
      <c r="H275" s="53"/>
      <c r="I275" s="64"/>
      <c r="Q275" s="79"/>
      <c r="X275" s="79"/>
    </row>
    <row r="276" spans="1:24">
      <c r="A276" s="52"/>
      <c r="B276" s="53"/>
      <c r="C276" s="53"/>
      <c r="D276" s="54"/>
      <c r="E276" s="52"/>
      <c r="F276" s="53"/>
      <c r="G276" s="53"/>
      <c r="H276" s="53"/>
      <c r="I276" s="64"/>
      <c r="Q276" s="79"/>
      <c r="X276" s="79"/>
    </row>
    <row r="277" spans="1:24">
      <c r="A277" s="52"/>
      <c r="B277" s="53"/>
      <c r="C277" s="53"/>
      <c r="D277" s="54"/>
      <c r="E277" s="52"/>
      <c r="F277" s="53"/>
      <c r="G277" s="53"/>
      <c r="H277" s="53"/>
      <c r="I277" s="64"/>
      <c r="Q277" s="79"/>
      <c r="X277" s="79"/>
    </row>
    <row r="278" spans="1:24">
      <c r="A278" s="52"/>
      <c r="B278" s="53"/>
      <c r="C278" s="53"/>
      <c r="D278" s="54"/>
      <c r="E278" s="52"/>
      <c r="F278" s="53"/>
      <c r="G278" s="53"/>
      <c r="H278" s="53"/>
      <c r="I278" s="64"/>
      <c r="Q278" s="79"/>
      <c r="X278" s="79"/>
    </row>
    <row r="279" spans="1:24">
      <c r="A279" s="52"/>
      <c r="B279" s="53"/>
      <c r="C279" s="53"/>
      <c r="D279" s="54"/>
      <c r="E279" s="52"/>
      <c r="F279" s="53"/>
      <c r="G279" s="53"/>
      <c r="H279" s="53"/>
      <c r="I279" s="64"/>
      <c r="Q279" s="79"/>
      <c r="X279" s="79"/>
    </row>
    <row r="280" spans="1:24">
      <c r="A280" s="52"/>
      <c r="B280" s="53"/>
      <c r="C280" s="53"/>
      <c r="D280" s="54"/>
      <c r="E280" s="52"/>
      <c r="F280" s="53"/>
      <c r="G280" s="53"/>
      <c r="H280" s="53"/>
      <c r="I280" s="64"/>
      <c r="Q280" s="79"/>
      <c r="X280" s="79"/>
    </row>
    <row r="281" spans="1:24">
      <c r="A281" s="52"/>
      <c r="B281" s="53"/>
      <c r="C281" s="53"/>
      <c r="D281" s="54"/>
      <c r="E281" s="52"/>
      <c r="F281" s="53"/>
      <c r="G281" s="53"/>
      <c r="H281" s="53"/>
      <c r="I281" s="64"/>
      <c r="Q281" s="79"/>
      <c r="X281" s="79"/>
    </row>
    <row r="282" spans="1:24">
      <c r="A282" s="52"/>
      <c r="B282" s="53"/>
      <c r="C282" s="53"/>
      <c r="D282" s="54"/>
      <c r="E282" s="52"/>
      <c r="F282" s="53"/>
      <c r="G282" s="53"/>
      <c r="H282" s="53"/>
      <c r="I282" s="64"/>
      <c r="Q282" s="79"/>
      <c r="X282" s="79"/>
    </row>
    <row r="283" spans="1:24">
      <c r="A283" s="52"/>
      <c r="B283" s="53"/>
      <c r="C283" s="53"/>
      <c r="D283" s="54"/>
      <c r="E283" s="52"/>
      <c r="F283" s="53"/>
      <c r="G283" s="53"/>
      <c r="H283" s="53"/>
      <c r="I283" s="64"/>
      <c r="Q283" s="79"/>
      <c r="X283" s="79"/>
    </row>
    <row r="284" spans="1:24">
      <c r="A284" s="52"/>
      <c r="B284" s="53"/>
      <c r="C284" s="53"/>
      <c r="D284" s="54"/>
      <c r="E284" s="52"/>
      <c r="F284" s="53"/>
      <c r="G284" s="53"/>
      <c r="H284" s="53"/>
      <c r="I284" s="64"/>
      <c r="Q284" s="79"/>
      <c r="X284" s="79"/>
    </row>
    <row r="285" spans="1:24">
      <c r="A285" s="52"/>
      <c r="B285" s="53"/>
      <c r="C285" s="53"/>
      <c r="D285" s="54"/>
      <c r="E285" s="52"/>
      <c r="F285" s="53"/>
      <c r="G285" s="53"/>
      <c r="H285" s="53"/>
      <c r="I285" s="64"/>
      <c r="Q285" s="79"/>
      <c r="X285" s="79"/>
    </row>
    <row r="286" spans="1:24">
      <c r="A286" s="52"/>
      <c r="B286" s="53"/>
      <c r="C286" s="53"/>
      <c r="D286" s="54"/>
      <c r="E286" s="52"/>
      <c r="F286" s="53"/>
      <c r="G286" s="53"/>
      <c r="H286" s="53"/>
      <c r="I286" s="64"/>
      <c r="Q286" s="79"/>
      <c r="X286" s="79"/>
    </row>
    <row r="287" spans="1:24">
      <c r="A287" s="52"/>
      <c r="B287" s="53"/>
      <c r="C287" s="53"/>
      <c r="D287" s="54"/>
      <c r="E287" s="52"/>
      <c r="F287" s="53"/>
      <c r="G287" s="53"/>
      <c r="H287" s="53"/>
      <c r="I287" s="64"/>
      <c r="Q287" s="79"/>
      <c r="X287" s="79"/>
    </row>
    <row r="288" spans="1:24">
      <c r="A288" s="52"/>
      <c r="B288" s="53"/>
      <c r="C288" s="53"/>
      <c r="D288" s="54"/>
      <c r="E288" s="52"/>
      <c r="F288" s="53"/>
      <c r="G288" s="53"/>
      <c r="H288" s="53"/>
      <c r="I288" s="64"/>
      <c r="Q288" s="79"/>
      <c r="X288" s="79"/>
    </row>
    <row r="289" spans="1:24">
      <c r="A289" s="52"/>
      <c r="B289" s="53"/>
      <c r="C289" s="53"/>
      <c r="D289" s="54"/>
      <c r="E289" s="52"/>
      <c r="F289" s="53"/>
      <c r="G289" s="53"/>
      <c r="H289" s="53"/>
      <c r="I289" s="64"/>
      <c r="Q289" s="79"/>
      <c r="X289" s="79"/>
    </row>
    <row r="290" spans="1:24">
      <c r="A290" s="52"/>
      <c r="B290" s="53"/>
      <c r="C290" s="53"/>
      <c r="D290" s="54"/>
      <c r="E290" s="52"/>
      <c r="F290" s="53"/>
      <c r="G290" s="53"/>
      <c r="H290" s="53"/>
      <c r="I290" s="64"/>
      <c r="Q290" s="79"/>
      <c r="X290" s="79"/>
    </row>
    <row r="291" spans="1:24">
      <c r="A291" s="52"/>
      <c r="B291" s="53"/>
      <c r="C291" s="53"/>
      <c r="D291" s="54"/>
      <c r="E291" s="52"/>
      <c r="F291" s="53"/>
      <c r="G291" s="53"/>
      <c r="H291" s="53"/>
      <c r="I291" s="64"/>
      <c r="Q291" s="79"/>
      <c r="X291" s="79"/>
    </row>
    <row r="292" spans="1:24">
      <c r="A292" s="52"/>
      <c r="B292" s="53"/>
      <c r="C292" s="53"/>
      <c r="D292" s="54"/>
      <c r="E292" s="52"/>
      <c r="F292" s="53"/>
      <c r="G292" s="53"/>
      <c r="H292" s="53"/>
      <c r="I292" s="64"/>
      <c r="Q292" s="79"/>
      <c r="X292" s="79"/>
    </row>
    <row r="293" spans="1:24">
      <c r="A293" s="52"/>
      <c r="B293" s="53"/>
      <c r="C293" s="53"/>
      <c r="D293" s="54"/>
      <c r="E293" s="52"/>
      <c r="F293" s="53"/>
      <c r="G293" s="53"/>
      <c r="H293" s="53"/>
      <c r="I293" s="64"/>
    </row>
  </sheetData>
  <mergeCells count="10">
    <mergeCell ref="AQ1:AV1"/>
    <mergeCell ref="AW1:BB1"/>
    <mergeCell ref="J1:P1"/>
    <mergeCell ref="Q1:W1"/>
    <mergeCell ref="X1:AD1"/>
    <mergeCell ref="F1:G1"/>
    <mergeCell ref="H1:I1"/>
    <mergeCell ref="A1:E1"/>
    <mergeCell ref="AE1:AK1"/>
    <mergeCell ref="AL1:AP1"/>
  </mergeCells>
  <conditionalFormatting sqref="J3:AC1048576">
    <cfRule type="cellIs" dxfId="55" priority="9" operator="equal">
      <formula>"NO"</formula>
    </cfRule>
    <cfRule type="cellIs" dxfId="54" priority="10" operator="equal">
      <formula>"SI"</formula>
    </cfRule>
  </conditionalFormatting>
  <conditionalFormatting sqref="AD3:AD125">
    <cfRule type="cellIs" dxfId="53" priority="7" operator="equal">
      <formula>"No Aceptable"</formula>
    </cfRule>
    <cfRule type="cellIs" dxfId="52" priority="8" operator="equal">
      <formula>"Aceptable"</formula>
    </cfRule>
  </conditionalFormatting>
  <conditionalFormatting sqref="AE3:AU170">
    <cfRule type="cellIs" dxfId="51" priority="4" operator="equal">
      <formula>"SI"</formula>
    </cfRule>
    <cfRule type="cellIs" dxfId="50" priority="5" operator="equal">
      <formula>"NO"</formula>
    </cfRule>
  </conditionalFormatting>
  <conditionalFormatting sqref="AV3:AV79">
    <cfRule type="cellIs" dxfId="49" priority="1" operator="equal">
      <formula>"Critico"</formula>
    </cfRule>
    <cfRule type="cellIs" dxfId="48" priority="2" operator="equal">
      <formula>"No Critico"</formula>
    </cfRule>
  </conditionalFormatting>
  <dataValidations count="3">
    <dataValidation type="list" allowBlank="1" showInputMessage="1" showErrorMessage="1" sqref="Y75:AC225 R75:W225 Q74:AC74 O74:P225 J3:N225 O3:AC73" xr:uid="{8A5CA8CE-11D8-45B4-B8DC-ECF22B7EB625}">
      <formula1>"SI,NO,N/A"</formula1>
    </dataValidation>
    <dataValidation type="list" allowBlank="1" showInputMessage="1" showErrorMessage="1" sqref="Q75:Q292 X75:X292" xr:uid="{E80FE3DC-BCE4-4D89-8965-664949405C9C}">
      <formula1>"Derecha,Izquierda,Ambos"</formula1>
    </dataValidation>
    <dataValidation type="list" allowBlank="1" showInputMessage="1" showErrorMessage="1" sqref="AE3:AU170" xr:uid="{0AE6C5F9-7F5C-4C2D-8E42-58A14CBFD23F}">
      <formula1>"SI,NO"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dimension ref="A1:BI295"/>
  <sheetViews>
    <sheetView zoomScale="71" zoomScaleNormal="71" workbookViewId="0">
      <pane xSplit="9" ySplit="2" topLeftCell="AT122" activePane="bottomRight" state="frozen"/>
      <selection pane="bottomRight" activeCell="AV8" sqref="AV8"/>
      <selection pane="bottomLeft" activeCell="A3" sqref="A3"/>
      <selection pane="topRight" activeCell="J1" sqref="J1"/>
    </sheetView>
  </sheetViews>
  <sheetFormatPr defaultColWidth="11.42578125" defaultRowHeight="13.5"/>
  <cols>
    <col min="1" max="1" width="6.42578125" style="109" customWidth="1"/>
    <col min="2" max="3" width="11.5703125" style="105" customWidth="1"/>
    <col min="4" max="4" width="15.42578125" style="105" customWidth="1"/>
    <col min="5" max="5" width="13.5703125" style="107" customWidth="1"/>
    <col min="6" max="6" width="11.5703125" style="105"/>
    <col min="7" max="8" width="11.42578125" style="95"/>
    <col min="9" max="9" width="11.5703125" style="108" customWidth="1"/>
    <col min="10" max="10" width="15.85546875" style="105" customWidth="1"/>
    <col min="11" max="11" width="18.28515625" style="95" customWidth="1"/>
    <col min="12" max="12" width="17.85546875" style="95" customWidth="1"/>
    <col min="13" max="13" width="15" style="95" customWidth="1"/>
    <col min="14" max="14" width="14.28515625" style="95" customWidth="1"/>
    <col min="15" max="15" width="18.28515625" style="95" customWidth="1"/>
    <col min="16" max="16" width="19.85546875" style="95" customWidth="1"/>
    <col min="17" max="17" width="20.28515625" style="95" customWidth="1"/>
    <col min="18" max="18" width="13.28515625" style="95" customWidth="1"/>
    <col min="19" max="19" width="19.42578125" style="95" customWidth="1"/>
    <col min="20" max="20" width="22" style="95" customWidth="1"/>
    <col min="21" max="24" width="11.42578125" style="95"/>
    <col min="25" max="25" width="40.7109375" style="95" customWidth="1"/>
    <col min="26" max="27" width="11.42578125" style="95"/>
    <col min="28" max="28" width="16.28515625" style="95" customWidth="1"/>
    <col min="29" max="30" width="11.42578125" style="95"/>
    <col min="31" max="31" width="14" style="95" customWidth="1"/>
    <col min="32" max="32" width="13.28515625" style="95" customWidth="1"/>
    <col min="33" max="33" width="30.140625" style="95" customWidth="1"/>
    <col min="34" max="34" width="14.7109375" style="95" customWidth="1"/>
    <col min="35" max="35" width="30.5703125" style="95" customWidth="1"/>
    <col min="36" max="37" width="11.42578125" style="95"/>
    <col min="38" max="38" width="14.28515625" style="109" customWidth="1"/>
    <col min="39" max="39" width="11.5703125" style="109"/>
    <col min="40" max="40" width="20" style="109" customWidth="1"/>
    <col min="41" max="41" width="15.5703125" style="109" customWidth="1"/>
    <col min="42" max="42" width="11.5703125" style="109"/>
    <col min="43" max="54" width="11.42578125" style="95"/>
    <col min="55" max="55" width="13.7109375" style="95" customWidth="1"/>
    <col min="56" max="16384" width="11.42578125" style="95"/>
  </cols>
  <sheetData>
    <row r="1" spans="1:61" ht="51.6" customHeight="1" thickBot="1">
      <c r="A1" s="155" t="s">
        <v>395</v>
      </c>
      <c r="B1" s="156"/>
      <c r="C1" s="156"/>
      <c r="D1" s="156"/>
      <c r="E1" s="156"/>
      <c r="F1" s="156" t="s">
        <v>321</v>
      </c>
      <c r="G1" s="156"/>
      <c r="H1" s="156" t="s">
        <v>322</v>
      </c>
      <c r="I1" s="156"/>
      <c r="J1" s="160" t="s">
        <v>396</v>
      </c>
      <c r="K1" s="161"/>
      <c r="L1" s="162"/>
      <c r="M1" s="160" t="s">
        <v>397</v>
      </c>
      <c r="N1" s="161"/>
      <c r="O1" s="161"/>
      <c r="P1" s="162"/>
      <c r="Q1" s="160" t="s">
        <v>398</v>
      </c>
      <c r="R1" s="161"/>
      <c r="S1" s="161"/>
      <c r="T1" s="162"/>
      <c r="U1" s="160" t="s">
        <v>399</v>
      </c>
      <c r="V1" s="161"/>
      <c r="W1" s="161"/>
      <c r="X1" s="162"/>
      <c r="Y1" s="91" t="s">
        <v>400</v>
      </c>
      <c r="Z1" s="160" t="s">
        <v>401</v>
      </c>
      <c r="AA1" s="161"/>
      <c r="AB1" s="161"/>
      <c r="AC1" s="160" t="s">
        <v>402</v>
      </c>
      <c r="AD1" s="161"/>
      <c r="AE1" s="161"/>
      <c r="AF1" s="92" t="s">
        <v>403</v>
      </c>
      <c r="AG1" s="160" t="s">
        <v>404</v>
      </c>
      <c r="AH1" s="161"/>
      <c r="AI1" s="161"/>
      <c r="AJ1" s="161" t="s">
        <v>405</v>
      </c>
      <c r="AK1" s="161"/>
      <c r="AL1" s="161"/>
      <c r="AM1" s="162"/>
      <c r="AN1" s="93" t="s">
        <v>406</v>
      </c>
      <c r="AO1" s="160" t="s">
        <v>407</v>
      </c>
      <c r="AP1" s="161"/>
      <c r="AQ1" s="161"/>
      <c r="AR1" s="161"/>
      <c r="AS1" s="161"/>
      <c r="AT1" s="161"/>
      <c r="AU1" s="162"/>
      <c r="AV1" s="163" t="s">
        <v>408</v>
      </c>
      <c r="AW1" s="163"/>
      <c r="AX1" s="163"/>
      <c r="AY1" s="163"/>
      <c r="AZ1" s="163"/>
      <c r="BA1" s="163" t="s">
        <v>409</v>
      </c>
      <c r="BB1" s="160"/>
      <c r="BC1" s="94" t="s">
        <v>403</v>
      </c>
      <c r="BD1" s="157" t="s">
        <v>325</v>
      </c>
      <c r="BE1" s="158"/>
      <c r="BF1" s="158"/>
      <c r="BG1" s="158"/>
      <c r="BH1" s="158"/>
      <c r="BI1" s="159"/>
    </row>
    <row r="2" spans="1:61" ht="88.15" customHeight="1">
      <c r="A2" s="96" t="s">
        <v>35</v>
      </c>
      <c r="B2" s="74" t="s">
        <v>36</v>
      </c>
      <c r="C2" s="74" t="s">
        <v>37</v>
      </c>
      <c r="D2" s="74" t="s">
        <v>38</v>
      </c>
      <c r="E2" s="97" t="s">
        <v>40</v>
      </c>
      <c r="F2" s="98" t="s">
        <v>326</v>
      </c>
      <c r="G2" s="98" t="s">
        <v>327</v>
      </c>
      <c r="H2" s="98" t="s">
        <v>328</v>
      </c>
      <c r="I2" s="99" t="s">
        <v>329</v>
      </c>
      <c r="J2" s="100" t="s">
        <v>410</v>
      </c>
      <c r="K2" s="101" t="s">
        <v>411</v>
      </c>
      <c r="L2" s="101" t="s">
        <v>412</v>
      </c>
      <c r="M2" s="101" t="s">
        <v>413</v>
      </c>
      <c r="N2" s="101" t="s">
        <v>414</v>
      </c>
      <c r="O2" s="101" t="s">
        <v>415</v>
      </c>
      <c r="P2" s="101" t="s">
        <v>416</v>
      </c>
      <c r="Q2" s="101" t="s">
        <v>417</v>
      </c>
      <c r="R2" s="101" t="s">
        <v>418</v>
      </c>
      <c r="S2" s="101" t="s">
        <v>419</v>
      </c>
      <c r="T2" s="101" t="s">
        <v>420</v>
      </c>
      <c r="U2" s="101" t="s">
        <v>417</v>
      </c>
      <c r="V2" s="101" t="s">
        <v>418</v>
      </c>
      <c r="W2" s="101" t="s">
        <v>419</v>
      </c>
      <c r="X2" s="101" t="s">
        <v>421</v>
      </c>
      <c r="Y2" s="101" t="s">
        <v>422</v>
      </c>
      <c r="Z2" s="101" t="s">
        <v>423</v>
      </c>
      <c r="AA2" s="101" t="s">
        <v>424</v>
      </c>
      <c r="AB2" s="101" t="s">
        <v>425</v>
      </c>
      <c r="AC2" s="101" t="s">
        <v>426</v>
      </c>
      <c r="AD2" s="101" t="s">
        <v>427</v>
      </c>
      <c r="AE2" s="101" t="s">
        <v>428</v>
      </c>
      <c r="AF2" s="92" t="s">
        <v>336</v>
      </c>
      <c r="AG2" s="101" t="s">
        <v>429</v>
      </c>
      <c r="AH2" s="101" t="s">
        <v>430</v>
      </c>
      <c r="AI2" s="101" t="s">
        <v>431</v>
      </c>
      <c r="AJ2" s="101" t="s">
        <v>432</v>
      </c>
      <c r="AK2" s="101" t="s">
        <v>433</v>
      </c>
      <c r="AL2" s="101" t="s">
        <v>434</v>
      </c>
      <c r="AM2" s="101" t="s">
        <v>435</v>
      </c>
      <c r="AN2" s="101" t="s">
        <v>436</v>
      </c>
      <c r="AO2" s="101" t="s">
        <v>437</v>
      </c>
      <c r="AP2" s="101" t="s">
        <v>438</v>
      </c>
      <c r="AQ2" s="101" t="s">
        <v>439</v>
      </c>
      <c r="AR2" s="101" t="s">
        <v>440</v>
      </c>
      <c r="AS2" s="101" t="s">
        <v>441</v>
      </c>
      <c r="AT2" s="101" t="s">
        <v>442</v>
      </c>
      <c r="AU2" s="101" t="s">
        <v>443</v>
      </c>
      <c r="AV2" s="101" t="s">
        <v>444</v>
      </c>
      <c r="AW2" s="101" t="s">
        <v>445</v>
      </c>
      <c r="AX2" s="101" t="s">
        <v>446</v>
      </c>
      <c r="AY2" s="101" t="s">
        <v>447</v>
      </c>
      <c r="AZ2" s="101" t="s">
        <v>448</v>
      </c>
      <c r="BA2" s="101" t="s">
        <v>449</v>
      </c>
      <c r="BB2" s="101" t="s">
        <v>450</v>
      </c>
      <c r="BC2" s="101" t="s">
        <v>343</v>
      </c>
      <c r="BD2" s="101" t="s">
        <v>344</v>
      </c>
      <c r="BE2" s="101" t="s">
        <v>345</v>
      </c>
      <c r="BF2" s="101" t="s">
        <v>346</v>
      </c>
      <c r="BG2" s="101" t="s">
        <v>347</v>
      </c>
      <c r="BH2" s="101" t="s">
        <v>348</v>
      </c>
      <c r="BI2" s="101" t="s">
        <v>349</v>
      </c>
    </row>
    <row r="3" spans="1:61" s="106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IF(Inicial!L3="SI",Inicial!E3,"N/A")</f>
        <v>N/A</v>
      </c>
      <c r="F3" s="53" t="str">
        <f>IF(Inicial!L3="SI",Inicial!F3,"N/A")</f>
        <v>N/A</v>
      </c>
      <c r="G3" s="53" t="str">
        <f>IF(Inicial!L3="SI",Inicial!G3,"N/A")</f>
        <v>N/A</v>
      </c>
      <c r="H3" s="53" t="str">
        <f>IF(Inicial!L3="SI",Inicial!H3,"N/A")</f>
        <v>N/A</v>
      </c>
      <c r="I3" s="55" t="str">
        <f>IF(Inicial!L3="SI",Inicial!I3,"N/A")</f>
        <v>N/A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3" t="str" cm="1">
        <f t="array" ref="AF3">IF(OR(M3:AE3="NO"),"No aceptable","Aceptable")</f>
        <v>Aceptable</v>
      </c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4" t="str" cm="1">
        <f t="array" ref="BC3">IF(OR(AJ3:BB3="SI"),"Critico","No Critico")</f>
        <v>No Critico</v>
      </c>
      <c r="BD3" s="105"/>
      <c r="BE3" s="105"/>
      <c r="BF3" s="105"/>
      <c r="BG3" s="105"/>
      <c r="BH3" s="105"/>
      <c r="BI3" s="105"/>
    </row>
    <row r="4" spans="1:61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IF(Inicial!L4="SI",Inicial!E4,"N/A")</f>
        <v>N/A</v>
      </c>
      <c r="F4" s="53" t="str">
        <f>IF(Inicial!L4="SI",Inicial!F4,"N/A")</f>
        <v>N/A</v>
      </c>
      <c r="G4" s="53" t="str">
        <f>IF(Inicial!L4="SI",Inicial!G4,"N/A")</f>
        <v>N/A</v>
      </c>
      <c r="H4" s="53" t="str">
        <f>IF(Inicial!L4="SI",Inicial!H4,"N/A")</f>
        <v>N/A</v>
      </c>
      <c r="I4" s="55" t="str">
        <f>IF(Inicial!L4="SI",Inicial!I4,"N/A")</f>
        <v>N/A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3" t="str" cm="1">
        <f t="array" ref="AF4">IF(OR(M4:AE4="NO"),"No aceptable","Aceptable")</f>
        <v>Aceptable</v>
      </c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4" t="str" cm="1">
        <f t="array" ref="BC4">IF(OR(AJ4:BB4="SI"),"Critico","No Critico")</f>
        <v>No Critico</v>
      </c>
      <c r="BD4" s="105"/>
      <c r="BE4" s="105"/>
      <c r="BF4" s="105"/>
      <c r="BG4" s="105"/>
      <c r="BH4" s="105"/>
      <c r="BI4" s="105"/>
    </row>
    <row r="5" spans="1:61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IF(Inicial!L5="SI",Inicial!E5,"N/A")</f>
        <v>N/A</v>
      </c>
      <c r="F5" s="53" t="str">
        <f>IF(Inicial!L5="SI",Inicial!F5,"N/A")</f>
        <v>N/A</v>
      </c>
      <c r="G5" s="53" t="str">
        <f>IF(Inicial!L5="SI",Inicial!G5,"N/A")</f>
        <v>N/A</v>
      </c>
      <c r="H5" s="53" t="str">
        <f>IF(Inicial!L5="SI",Inicial!H5,"N/A")</f>
        <v>N/A</v>
      </c>
      <c r="I5" s="55" t="str">
        <f>IF(Inicial!L5="SI",Inicial!I5,"N/A")</f>
        <v>N/A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3" t="str" cm="1">
        <f t="array" ref="AF5">IF(OR(M5:AE5="NO"),"No aceptable","Aceptable")</f>
        <v>Aceptable</v>
      </c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4" t="str" cm="1">
        <f t="array" ref="BC5">IF(OR(AJ5:BB5="SI"),"Critico","No Critico")</f>
        <v>No Critico</v>
      </c>
      <c r="BD5" s="105"/>
      <c r="BE5" s="105"/>
      <c r="BF5" s="105"/>
      <c r="BG5" s="105"/>
      <c r="BH5" s="105"/>
      <c r="BI5" s="105"/>
    </row>
    <row r="6" spans="1:61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IF(Inicial!L6="SI",Inicial!E6,"N/A")</f>
        <v>N/A</v>
      </c>
      <c r="F6" s="53" t="str">
        <f>IF(Inicial!L6="SI",Inicial!F6,"N/A")</f>
        <v>N/A</v>
      </c>
      <c r="G6" s="53" t="str">
        <f>IF(Inicial!L6="SI",Inicial!G6,"N/A")</f>
        <v>N/A</v>
      </c>
      <c r="H6" s="53" t="str">
        <f>IF(Inicial!L6="SI",Inicial!H6,"N/A")</f>
        <v>N/A</v>
      </c>
      <c r="I6" s="55" t="str">
        <f>IF(Inicial!L6="SI",Inicial!I6,"N/A")</f>
        <v>N/A</v>
      </c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3" t="str" cm="1">
        <f t="array" ref="AF6">IF(OR(M6:AE6="NO"),"No aceptable","Aceptable")</f>
        <v>Aceptable</v>
      </c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4" t="str" cm="1">
        <f t="array" ref="BC6">IF(OR(AJ6:BB6="SI"),"Critico","No Critico")</f>
        <v>No Critico</v>
      </c>
    </row>
    <row r="7" spans="1:61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IF(Inicial!L7="SI",Inicial!E7,"N/A")</f>
        <v>N/A</v>
      </c>
      <c r="F7" s="53" t="str">
        <f>IF(Inicial!L7="SI",Inicial!F7,"N/A")</f>
        <v>N/A</v>
      </c>
      <c r="G7" s="53" t="str">
        <f>IF(Inicial!L7="SI",Inicial!G7,"N/A")</f>
        <v>N/A</v>
      </c>
      <c r="H7" s="53" t="str">
        <f>IF(Inicial!L7="SI",Inicial!H7,"N/A")</f>
        <v>N/A</v>
      </c>
      <c r="I7" s="55" t="str">
        <f>IF(Inicial!L7="SI",Inicial!I7,"N/A")</f>
        <v>N/A</v>
      </c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3" t="str" cm="1">
        <f t="array" ref="AF7">IF(OR(M7:AE7="NO"),"No aceptable","Aceptable")</f>
        <v>Aceptable</v>
      </c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4" t="str" cm="1">
        <f t="array" ref="BC7">IF(OR(AJ7:BB7="SI"),"Critico","No Critico")</f>
        <v>No Critico</v>
      </c>
    </row>
    <row r="8" spans="1:61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IF(Inicial!L8="SI",Inicial!E8,"N/A")</f>
        <v>N/A</v>
      </c>
      <c r="F8" s="53" t="str">
        <f>IF(Inicial!L8="SI",Inicial!F8,"N/A")</f>
        <v>N/A</v>
      </c>
      <c r="G8" s="53" t="str">
        <f>IF(Inicial!L8="SI",Inicial!G8,"N/A")</f>
        <v>N/A</v>
      </c>
      <c r="H8" s="53" t="str">
        <f>IF(Inicial!L8="SI",Inicial!H8,"N/A")</f>
        <v>N/A</v>
      </c>
      <c r="I8" s="55" t="str">
        <f>IF(Inicial!L8="SI",Inicial!I8,"N/A")</f>
        <v>N/A</v>
      </c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3" t="str" cm="1">
        <f t="array" ref="AF8">IF(OR(M8:AE8="NO"),"No aceptable","Aceptable")</f>
        <v>Aceptable</v>
      </c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4" t="str" cm="1">
        <f t="array" ref="BC8">IF(OR(AJ8:BB8="SI"),"Critico","No Critico")</f>
        <v>No Critico</v>
      </c>
    </row>
    <row r="9" spans="1:61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IF(Inicial!L9="SI",Inicial!E9,"N/A")</f>
        <v>N/A</v>
      </c>
      <c r="F9" s="53" t="str">
        <f>IF(Inicial!L9="SI",Inicial!F9,"N/A")</f>
        <v>N/A</v>
      </c>
      <c r="G9" s="53" t="str">
        <f>IF(Inicial!L9="SI",Inicial!G9,"N/A")</f>
        <v>N/A</v>
      </c>
      <c r="H9" s="53" t="str">
        <f>IF(Inicial!L9="SI",Inicial!H9,"N/A")</f>
        <v>N/A</v>
      </c>
      <c r="I9" s="55" t="str">
        <f>IF(Inicial!L9="SI",Inicial!I9,"N/A")</f>
        <v>N/A</v>
      </c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3" t="str" cm="1">
        <f t="array" ref="AF9">IF(OR(M9:AE9="NO"),"No aceptable","Aceptable")</f>
        <v>Aceptable</v>
      </c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4" t="str" cm="1">
        <f t="array" ref="BC9">IF(OR(AJ9:BB9="SI"),"Critico","No Critico")</f>
        <v>No Critico</v>
      </c>
    </row>
    <row r="10" spans="1:61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IF(Inicial!L10="SI",Inicial!E10,"N/A")</f>
        <v>N/A</v>
      </c>
      <c r="F10" s="53" t="str">
        <f>IF(Inicial!L10="SI",Inicial!F10,"N/A")</f>
        <v>N/A</v>
      </c>
      <c r="G10" s="53" t="str">
        <f>IF(Inicial!L10="SI",Inicial!G10,"N/A")</f>
        <v>N/A</v>
      </c>
      <c r="H10" s="53" t="str">
        <f>IF(Inicial!L10="SI",Inicial!H10,"N/A")</f>
        <v>N/A</v>
      </c>
      <c r="I10" s="55" t="str">
        <f>IF(Inicial!L10="SI",Inicial!I10,"N/A")</f>
        <v>N/A</v>
      </c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3" t="str" cm="1">
        <f t="array" ref="AF10">IF(OR(M10:AE10="NO"),"No aceptable","Aceptable")</f>
        <v>Aceptable</v>
      </c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4" t="str" cm="1">
        <f t="array" ref="BC10">IF(OR(AJ10:BB10="SI"),"Critico","No Critico")</f>
        <v>No Critico</v>
      </c>
    </row>
    <row r="11" spans="1:61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IF(Inicial!L11="SI",Inicial!E11,"N/A")</f>
        <v>N/A</v>
      </c>
      <c r="F11" s="53" t="str">
        <f>IF(Inicial!L11="SI",Inicial!F11,"N/A")</f>
        <v>N/A</v>
      </c>
      <c r="G11" s="53" t="str">
        <f>IF(Inicial!L11="SI",Inicial!G11,"N/A")</f>
        <v>N/A</v>
      </c>
      <c r="H11" s="53" t="str">
        <f>IF(Inicial!L11="SI",Inicial!H11,"N/A")</f>
        <v>N/A</v>
      </c>
      <c r="I11" s="55" t="str">
        <f>IF(Inicial!L11="SI",Inicial!I11,"N/A")</f>
        <v>N/A</v>
      </c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3" t="str" cm="1">
        <f t="array" ref="AF11">IF(OR(M11:AE11="NO"),"No aceptable","Aceptable")</f>
        <v>Aceptable</v>
      </c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4" t="str" cm="1">
        <f t="array" ref="BC11">IF(OR(AJ11:BB11="SI"),"Critico","No Critico")</f>
        <v>No Critico</v>
      </c>
    </row>
    <row r="12" spans="1:61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IF(Inicial!L12="SI",Inicial!E12,"N/A")</f>
        <v>N/A</v>
      </c>
      <c r="F12" s="53" t="str">
        <f>IF(Inicial!L12="SI",Inicial!F12,"N/A")</f>
        <v>N/A</v>
      </c>
      <c r="G12" s="53" t="str">
        <f>IF(Inicial!L12="SI",Inicial!G12,"N/A")</f>
        <v>N/A</v>
      </c>
      <c r="H12" s="53" t="str">
        <f>IF(Inicial!L12="SI",Inicial!H12,"N/A")</f>
        <v>N/A</v>
      </c>
      <c r="I12" s="55" t="str">
        <f>IF(Inicial!L12="SI",Inicial!I12,"N/A")</f>
        <v>N/A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3" t="str" cm="1">
        <f t="array" ref="AF12">IF(OR(M12:AE12="NO"),"No aceptable","Aceptable")</f>
        <v>Aceptable</v>
      </c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4" t="str" cm="1">
        <f t="array" ref="BC12">IF(OR(AJ12:BB12="SI"),"Critico","No Critico")</f>
        <v>No Critico</v>
      </c>
    </row>
    <row r="13" spans="1:61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IF(Inicial!L13="SI",Inicial!E13,"N/A")</f>
        <v>N/A</v>
      </c>
      <c r="F13" s="53" t="str">
        <f>IF(Inicial!L13="SI",Inicial!F13,"N/A")</f>
        <v>N/A</v>
      </c>
      <c r="G13" s="53" t="str">
        <f>IF(Inicial!L13="SI",Inicial!G13,"N/A")</f>
        <v>N/A</v>
      </c>
      <c r="H13" s="53" t="str">
        <f>IF(Inicial!L13="SI",Inicial!H13,"N/A")</f>
        <v>N/A</v>
      </c>
      <c r="I13" s="55" t="str">
        <f>IF(Inicial!L13="SI",Inicial!I13,"N/A")</f>
        <v>N/A</v>
      </c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3" t="str" cm="1">
        <f t="array" ref="AF13">IF(OR(M13:AE13="NO"),"No aceptable","Aceptable")</f>
        <v>Aceptable</v>
      </c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4" t="str" cm="1">
        <f t="array" ref="BC13">IF(OR(AJ13:BB13="SI"),"Critico","No Critico")</f>
        <v>No Critico</v>
      </c>
    </row>
    <row r="14" spans="1:61" ht="38.2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IF(Inicial!L14="SI",Inicial!E14,"N/A")</f>
        <v>N/A</v>
      </c>
      <c r="F14" s="53" t="str">
        <f>IF(Inicial!L14="SI",Inicial!F14,"N/A")</f>
        <v>N/A</v>
      </c>
      <c r="G14" s="53" t="str">
        <f>IF(Inicial!L14="SI",Inicial!G14,"N/A")</f>
        <v>N/A</v>
      </c>
      <c r="H14" s="53" t="str">
        <f>IF(Inicial!L14="SI",Inicial!H14,"N/A")</f>
        <v>N/A</v>
      </c>
      <c r="I14" s="55" t="str">
        <f>IF(Inicial!L14="SI",Inicial!I14,"N/A")</f>
        <v>N/A</v>
      </c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3" t="str" cm="1">
        <f t="array" ref="AF14">IF(OR(M14:AE14="NO"),"No aceptable","Aceptable")</f>
        <v>Aceptable</v>
      </c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4" t="str" cm="1">
        <f t="array" ref="BC14">IF(OR(AJ14:BB14="SI"),"Critico","No Critico")</f>
        <v>No Critico</v>
      </c>
    </row>
    <row r="15" spans="1:61" ht="49.5" customHeight="1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IF(Inicial!L15="SI",Inicial!E15,"N/A")</f>
        <v>Am 07:40 a 15:30       Pm 18:10 a 03:30 Puente: 13:10 a 22:30</v>
      </c>
      <c r="F15" s="53">
        <f>IF(Inicial!L15="SI",Inicial!F15,"N/A")</f>
        <v>1</v>
      </c>
      <c r="G15" s="53">
        <f>IF(Inicial!L15="SI",Inicial!G15,"N/A")</f>
        <v>6</v>
      </c>
      <c r="H15" s="53">
        <f>IF(Inicial!L15="SI",Inicial!H15,"N/A")</f>
        <v>24</v>
      </c>
      <c r="I15" s="55">
        <f>IF(Inicial!L15="SI",Inicial!I15,"N/A")</f>
        <v>0</v>
      </c>
      <c r="J15" s="102" t="s">
        <v>64</v>
      </c>
      <c r="K15" s="102" t="s">
        <v>63</v>
      </c>
      <c r="L15" s="102" t="s">
        <v>63</v>
      </c>
      <c r="M15" s="102" t="s">
        <v>63</v>
      </c>
      <c r="N15" s="102" t="s">
        <v>63</v>
      </c>
      <c r="O15" s="102" t="s">
        <v>63</v>
      </c>
      <c r="P15" s="102" t="s">
        <v>63</v>
      </c>
      <c r="Q15" s="102" t="s">
        <v>394</v>
      </c>
      <c r="R15" s="102" t="s">
        <v>394</v>
      </c>
      <c r="S15" s="102" t="s">
        <v>394</v>
      </c>
      <c r="T15" s="102" t="s">
        <v>394</v>
      </c>
      <c r="U15" s="102" t="s">
        <v>394</v>
      </c>
      <c r="V15" s="102" t="s">
        <v>394</v>
      </c>
      <c r="W15" s="102" t="s">
        <v>394</v>
      </c>
      <c r="X15" s="102" t="s">
        <v>394</v>
      </c>
      <c r="Y15" s="102" t="s">
        <v>64</v>
      </c>
      <c r="Z15" s="102" t="s">
        <v>63</v>
      </c>
      <c r="AA15" s="102" t="s">
        <v>63</v>
      </c>
      <c r="AB15" s="102" t="s">
        <v>63</v>
      </c>
      <c r="AC15" s="102" t="s">
        <v>63</v>
      </c>
      <c r="AD15" s="102" t="s">
        <v>64</v>
      </c>
      <c r="AE15" s="102" t="s">
        <v>64</v>
      </c>
      <c r="AF15" s="103" t="str" cm="1">
        <f t="array" ref="AF15">IF(OR(M15:AE15="NO"),"No aceptable","Aceptable")</f>
        <v>No aceptable</v>
      </c>
      <c r="AG15" s="102" t="s">
        <v>64</v>
      </c>
      <c r="AH15" s="102" t="s">
        <v>64</v>
      </c>
      <c r="AI15" s="102" t="s">
        <v>64</v>
      </c>
      <c r="AJ15" s="102" t="s">
        <v>64</v>
      </c>
      <c r="AK15" s="102" t="s">
        <v>64</v>
      </c>
      <c r="AL15" s="102" t="s">
        <v>64</v>
      </c>
      <c r="AM15" s="102" t="s">
        <v>64</v>
      </c>
      <c r="AN15" s="102" t="s">
        <v>64</v>
      </c>
      <c r="AO15" s="102" t="s">
        <v>63</v>
      </c>
      <c r="AP15" s="102" t="s">
        <v>64</v>
      </c>
      <c r="AQ15" s="102" t="s">
        <v>63</v>
      </c>
      <c r="AR15" s="102" t="s">
        <v>63</v>
      </c>
      <c r="AS15" s="102" t="s">
        <v>64</v>
      </c>
      <c r="AT15" s="102" t="s">
        <v>64</v>
      </c>
      <c r="AU15" s="102" t="s">
        <v>64</v>
      </c>
      <c r="AV15" s="102" t="s">
        <v>64</v>
      </c>
      <c r="AW15" s="102" t="s">
        <v>64</v>
      </c>
      <c r="AX15" s="102" t="s">
        <v>64</v>
      </c>
      <c r="AY15" s="102" t="s">
        <v>64</v>
      </c>
      <c r="AZ15" s="102" t="s">
        <v>64</v>
      </c>
      <c r="BA15" s="102" t="s">
        <v>64</v>
      </c>
      <c r="BB15" s="102" t="s">
        <v>64</v>
      </c>
      <c r="BC15" s="104" t="str" cm="1">
        <f t="array" ref="BC15">IF(OR(AJ15:BB15="SI"),"Critico","No Critico")</f>
        <v>Critico</v>
      </c>
    </row>
    <row r="16" spans="1:61" ht="38.2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IF(Inicial!L16="SI",Inicial!E16,"N/A")</f>
        <v>N/A</v>
      </c>
      <c r="F16" s="53" t="str">
        <f>IF(Inicial!L16="SI",Inicial!F16,"N/A")</f>
        <v>N/A</v>
      </c>
      <c r="G16" s="53" t="str">
        <f>IF(Inicial!L16="SI",Inicial!G16,"N/A")</f>
        <v>N/A</v>
      </c>
      <c r="H16" s="53" t="str">
        <f>IF(Inicial!L16="SI",Inicial!H16,"N/A")</f>
        <v>N/A</v>
      </c>
      <c r="I16" s="55" t="str">
        <f>IF(Inicial!L16="SI",Inicial!I16,"N/A")</f>
        <v>N/A</v>
      </c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3" t="str" cm="1">
        <f t="array" ref="AF16">IF(OR(M16:AE16="NO"),"No aceptable","Aceptable")</f>
        <v>Aceptable</v>
      </c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4" t="str" cm="1">
        <f t="array" ref="BC16">IF(OR(AJ16:BB16="SI"),"Critico","No Critico")</f>
        <v>No Critico</v>
      </c>
    </row>
    <row r="17" spans="1:55" ht="38.2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IF(Inicial!L17="SI",Inicial!E17,"N/A")</f>
        <v>N/A</v>
      </c>
      <c r="F17" s="53" t="str">
        <f>IF(Inicial!L17="SI",Inicial!F17,"N/A")</f>
        <v>N/A</v>
      </c>
      <c r="G17" s="53" t="str">
        <f>IF(Inicial!L17="SI",Inicial!G17,"N/A")</f>
        <v>N/A</v>
      </c>
      <c r="H17" s="53" t="str">
        <f>IF(Inicial!L17="SI",Inicial!H17,"N/A")</f>
        <v>N/A</v>
      </c>
      <c r="I17" s="55" t="str">
        <f>IF(Inicial!L17="SI",Inicial!I17,"N/A")</f>
        <v>N/A</v>
      </c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3" t="str" cm="1">
        <f t="array" ref="AF17">IF(OR(M17:AE17="NO"),"No aceptable","Aceptable")</f>
        <v>Aceptable</v>
      </c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4" t="str" cm="1">
        <f t="array" ref="BC17">IF(OR(AJ17:BB17="SI"),"Critico","No Critico")</f>
        <v>No Critico</v>
      </c>
    </row>
    <row r="18" spans="1:55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IF(Inicial!L18="SI",Inicial!E18,"N/A")</f>
        <v>N/A</v>
      </c>
      <c r="F18" s="53" t="str">
        <f>IF(Inicial!L18="SI",Inicial!F18,"N/A")</f>
        <v>N/A</v>
      </c>
      <c r="G18" s="53" t="str">
        <f>IF(Inicial!L18="SI",Inicial!G18,"N/A")</f>
        <v>N/A</v>
      </c>
      <c r="H18" s="53" t="str">
        <f>IF(Inicial!L18="SI",Inicial!H18,"N/A")</f>
        <v>N/A</v>
      </c>
      <c r="I18" s="55" t="str">
        <f>IF(Inicial!L18="SI",Inicial!I18,"N/A")</f>
        <v>N/A</v>
      </c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3" t="str" cm="1">
        <f t="array" ref="AF18">IF(OR(M18:AE18="NO"),"No aceptable","Aceptable")</f>
        <v>Aceptable</v>
      </c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4" t="str" cm="1">
        <f t="array" ref="BC18">IF(OR(AJ18:BB18="SI"),"Critico","No Critico")</f>
        <v>No Critico</v>
      </c>
    </row>
    <row r="19" spans="1:55" ht="38.2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IF(Inicial!L19="SI",Inicial!E19,"N/A")</f>
        <v>N/A</v>
      </c>
      <c r="F19" s="53" t="str">
        <f>IF(Inicial!L19="SI",Inicial!F19,"N/A")</f>
        <v>N/A</v>
      </c>
      <c r="G19" s="53" t="str">
        <f>IF(Inicial!L19="SI",Inicial!G19,"N/A")</f>
        <v>N/A</v>
      </c>
      <c r="H19" s="53" t="str">
        <f>IF(Inicial!L19="SI",Inicial!H19,"N/A")</f>
        <v>N/A</v>
      </c>
      <c r="I19" s="55" t="str">
        <f>IF(Inicial!L19="SI",Inicial!I19,"N/A")</f>
        <v>N/A</v>
      </c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3" t="str" cm="1">
        <f t="array" ref="AF19">IF(OR(M19:AE19="NO"),"No aceptable","Aceptable")</f>
        <v>Aceptable</v>
      </c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4" t="str" cm="1">
        <f t="array" ref="BC19">IF(OR(AJ19:BB19="SI"),"Critico","No Critico")</f>
        <v>No Critico</v>
      </c>
    </row>
    <row r="20" spans="1:55" ht="38.2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IF(Inicial!L20="SI",Inicial!E20,"N/A")</f>
        <v>N/A</v>
      </c>
      <c r="F20" s="53" t="str">
        <f>IF(Inicial!L20="SI",Inicial!F20,"N/A")</f>
        <v>N/A</v>
      </c>
      <c r="G20" s="53" t="str">
        <f>IF(Inicial!L20="SI",Inicial!G20,"N/A")</f>
        <v>N/A</v>
      </c>
      <c r="H20" s="53" t="str">
        <f>IF(Inicial!L20="SI",Inicial!H20,"N/A")</f>
        <v>N/A</v>
      </c>
      <c r="I20" s="55" t="str">
        <f>IF(Inicial!L20="SI",Inicial!I20,"N/A")</f>
        <v>N/A</v>
      </c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3" t="str" cm="1">
        <f t="array" ref="AF20">IF(OR(M20:AE20="NO"),"No aceptable","Aceptable")</f>
        <v>Aceptable</v>
      </c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4" t="str" cm="1">
        <f t="array" ref="BC20">IF(OR(AJ20:BB20="SI"),"Critico","No Critico")</f>
        <v>No Critico</v>
      </c>
    </row>
    <row r="21" spans="1:55" ht="38.2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IF(Inicial!L21="SI",Inicial!E21,"N/A")</f>
        <v>N/A</v>
      </c>
      <c r="F21" s="53" t="str">
        <f>IF(Inicial!L21="SI",Inicial!F21,"N/A")</f>
        <v>N/A</v>
      </c>
      <c r="G21" s="53" t="str">
        <f>IF(Inicial!L21="SI",Inicial!G21,"N/A")</f>
        <v>N/A</v>
      </c>
      <c r="H21" s="53" t="str">
        <f>IF(Inicial!L21="SI",Inicial!H21,"N/A")</f>
        <v>N/A</v>
      </c>
      <c r="I21" s="55" t="str">
        <f>IF(Inicial!L21="SI",Inicial!I21,"N/A")</f>
        <v>N/A</v>
      </c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3" t="str" cm="1">
        <f t="array" ref="AF21">IF(OR(M21:AE21="NO"),"No aceptable","Aceptable")</f>
        <v>Aceptable</v>
      </c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4" t="str" cm="1">
        <f t="array" ref="BC21">IF(OR(AJ21:BB21="SI"),"Critico","No Critico")</f>
        <v>No Critico</v>
      </c>
    </row>
    <row r="22" spans="1:55" ht="38.2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IF(Inicial!L22="SI",Inicial!E22,"N/A")</f>
        <v>N/A</v>
      </c>
      <c r="F22" s="53" t="str">
        <f>IF(Inicial!L22="SI",Inicial!F22,"N/A")</f>
        <v>N/A</v>
      </c>
      <c r="G22" s="53" t="str">
        <f>IF(Inicial!L22="SI",Inicial!G22,"N/A")</f>
        <v>N/A</v>
      </c>
      <c r="H22" s="53" t="str">
        <f>IF(Inicial!L22="SI",Inicial!H22,"N/A")</f>
        <v>N/A</v>
      </c>
      <c r="I22" s="55" t="str">
        <f>IF(Inicial!L22="SI",Inicial!I22,"N/A")</f>
        <v>N/A</v>
      </c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3" t="str" cm="1">
        <f t="array" ref="AF22">IF(OR(M22:AE22="NO"),"No aceptable","Aceptable")</f>
        <v>Aceptable</v>
      </c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4" t="str" cm="1">
        <f t="array" ref="BC22">IF(OR(AJ22:BB22="SI"),"Critico","No Critico")</f>
        <v>No Critico</v>
      </c>
    </row>
    <row r="23" spans="1:55" ht="38.2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IF(Inicial!L23="SI",Inicial!E23,"N/A")</f>
        <v>N/A</v>
      </c>
      <c r="F23" s="53" t="str">
        <f>IF(Inicial!L23="SI",Inicial!F23,"N/A")</f>
        <v>N/A</v>
      </c>
      <c r="G23" s="53" t="str">
        <f>IF(Inicial!L23="SI",Inicial!G23,"N/A")</f>
        <v>N/A</v>
      </c>
      <c r="H23" s="53" t="str">
        <f>IF(Inicial!L23="SI",Inicial!H23,"N/A")</f>
        <v>N/A</v>
      </c>
      <c r="I23" s="55" t="str">
        <f>IF(Inicial!L23="SI",Inicial!I23,"N/A")</f>
        <v>N/A</v>
      </c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3" t="str" cm="1">
        <f t="array" ref="AF23">IF(OR(M23:AE23="NO"),"No aceptable","Aceptable")</f>
        <v>Aceptable</v>
      </c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4" t="str" cm="1">
        <f t="array" ref="BC23">IF(OR(AJ23:BB23="SI"),"Critico","No Critico")</f>
        <v>No Critico</v>
      </c>
    </row>
    <row r="24" spans="1:55" ht="38.2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IF(Inicial!L24="SI",Inicial!E24,"N/A")</f>
        <v>N/A</v>
      </c>
      <c r="F24" s="53" t="str">
        <f>IF(Inicial!L24="SI",Inicial!F24,"N/A")</f>
        <v>N/A</v>
      </c>
      <c r="G24" s="53" t="str">
        <f>IF(Inicial!L24="SI",Inicial!G24,"N/A")</f>
        <v>N/A</v>
      </c>
      <c r="H24" s="53" t="str">
        <f>IF(Inicial!L24="SI",Inicial!H24,"N/A")</f>
        <v>N/A</v>
      </c>
      <c r="I24" s="55" t="str">
        <f>IF(Inicial!L24="SI",Inicial!I24,"N/A")</f>
        <v>N/A</v>
      </c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3" t="str" cm="1">
        <f t="array" ref="AF24">IF(OR(M24:AE24="NO"),"No aceptable","Aceptable")</f>
        <v>Aceptable</v>
      </c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4" t="str" cm="1">
        <f t="array" ref="BC24">IF(OR(AJ24:BB24="SI"),"Critico","No Critico")</f>
        <v>No Critico</v>
      </c>
    </row>
    <row r="25" spans="1:55" ht="38.2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>
        <f>IF(Inicial!L25="SI",Inicial!E25,"N/A")</f>
        <v>0</v>
      </c>
      <c r="F25" s="53">
        <f>IF(Inicial!L25="SI",Inicial!F25,"N/A")</f>
        <v>1</v>
      </c>
      <c r="G25" s="53">
        <f>IF(Inicial!L25="SI",Inicial!G25,"N/A")</f>
        <v>6</v>
      </c>
      <c r="H25" s="53">
        <f>IF(Inicial!L25="SI",Inicial!H25,"N/A")</f>
        <v>48</v>
      </c>
      <c r="I25" s="55">
        <f>IF(Inicial!L25="SI",Inicial!I25,"N/A")</f>
        <v>0</v>
      </c>
      <c r="J25" s="102" t="s">
        <v>64</v>
      </c>
      <c r="K25" s="102" t="s">
        <v>63</v>
      </c>
      <c r="L25" s="102" t="s">
        <v>63</v>
      </c>
      <c r="M25" s="102" t="s">
        <v>63</v>
      </c>
      <c r="N25" s="102" t="s">
        <v>63</v>
      </c>
      <c r="O25" s="102" t="s">
        <v>63</v>
      </c>
      <c r="P25" s="102" t="s">
        <v>63</v>
      </c>
      <c r="Q25" s="102" t="s">
        <v>63</v>
      </c>
      <c r="R25" s="102" t="s">
        <v>63</v>
      </c>
      <c r="S25" s="102" t="s">
        <v>64</v>
      </c>
      <c r="T25" s="102" t="s">
        <v>63</v>
      </c>
      <c r="U25" s="102" t="s">
        <v>394</v>
      </c>
      <c r="V25" s="102" t="s">
        <v>394</v>
      </c>
      <c r="W25" s="102" t="s">
        <v>394</v>
      </c>
      <c r="X25" s="102" t="s">
        <v>394</v>
      </c>
      <c r="Y25" s="102" t="s">
        <v>64</v>
      </c>
      <c r="Z25" s="102" t="s">
        <v>63</v>
      </c>
      <c r="AA25" s="102" t="s">
        <v>63</v>
      </c>
      <c r="AB25" s="102" t="s">
        <v>63</v>
      </c>
      <c r="AC25" s="102" t="s">
        <v>63</v>
      </c>
      <c r="AD25" s="102" t="s">
        <v>64</v>
      </c>
      <c r="AE25" s="102" t="s">
        <v>64</v>
      </c>
      <c r="AF25" s="103" t="str" cm="1">
        <f t="array" ref="AF25">IF(OR(M25:AE25="NO"),"No aceptable","Aceptable")</f>
        <v>No aceptable</v>
      </c>
      <c r="AG25" s="102" t="s">
        <v>64</v>
      </c>
      <c r="AH25" s="102" t="s">
        <v>64</v>
      </c>
      <c r="AI25" s="102" t="s">
        <v>64</v>
      </c>
      <c r="AJ25" s="102" t="s">
        <v>64</v>
      </c>
      <c r="AK25" s="102" t="s">
        <v>64</v>
      </c>
      <c r="AL25" s="102" t="s">
        <v>64</v>
      </c>
      <c r="AM25" s="102" t="s">
        <v>64</v>
      </c>
      <c r="AN25" s="102" t="s">
        <v>64</v>
      </c>
      <c r="AO25" s="102" t="s">
        <v>63</v>
      </c>
      <c r="AP25" s="102" t="s">
        <v>63</v>
      </c>
      <c r="AQ25" s="102" t="s">
        <v>63</v>
      </c>
      <c r="AR25" s="102" t="s">
        <v>64</v>
      </c>
      <c r="AS25" s="102" t="s">
        <v>64</v>
      </c>
      <c r="AT25" s="102" t="s">
        <v>64</v>
      </c>
      <c r="AU25" s="102" t="s">
        <v>64</v>
      </c>
      <c r="AV25" s="102" t="s">
        <v>64</v>
      </c>
      <c r="AW25" s="102" t="s">
        <v>64</v>
      </c>
      <c r="AX25" s="102" t="s">
        <v>64</v>
      </c>
      <c r="AY25" s="102" t="s">
        <v>64</v>
      </c>
      <c r="AZ25" s="102" t="s">
        <v>64</v>
      </c>
      <c r="BA25" s="102" t="s">
        <v>64</v>
      </c>
      <c r="BB25" s="102" t="s">
        <v>64</v>
      </c>
      <c r="BC25" s="104" t="str" cm="1">
        <f t="array" ref="BC25">IF(OR(AJ25:BB25="SI"),"Critico","No Critico")</f>
        <v>Critico</v>
      </c>
    </row>
    <row r="26" spans="1:55" ht="38.2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IF(Inicial!L26="SI",Inicial!E26,"N/A")</f>
        <v>N/A</v>
      </c>
      <c r="F26" s="53" t="str">
        <f>IF(Inicial!L26="SI",Inicial!F26,"N/A")</f>
        <v>N/A</v>
      </c>
      <c r="G26" s="53" t="str">
        <f>IF(Inicial!L26="SI",Inicial!G26,"N/A")</f>
        <v>N/A</v>
      </c>
      <c r="H26" s="53" t="str">
        <f>IF(Inicial!L26="SI",Inicial!H26,"N/A")</f>
        <v>N/A</v>
      </c>
      <c r="I26" s="55" t="str">
        <f>IF(Inicial!L26="SI",Inicial!I26,"N/A")</f>
        <v>N/A</v>
      </c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3" t="str" cm="1">
        <f t="array" ref="AF26">IF(OR(M26:AE26="NO"),"No aceptable","Aceptable")</f>
        <v>Aceptable</v>
      </c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4" t="str" cm="1">
        <f t="array" ref="BC26">IF(OR(AJ26:BB26="SI"),"Critico","No Critico")</f>
        <v>No Critico</v>
      </c>
    </row>
    <row r="27" spans="1:55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IF(Inicial!L27="SI",Inicial!E27,"N/A")</f>
        <v>N/A</v>
      </c>
      <c r="F27" s="53" t="str">
        <f>IF(Inicial!L27="SI",Inicial!F27,"N/A")</f>
        <v>N/A</v>
      </c>
      <c r="G27" s="53" t="str">
        <f>IF(Inicial!L27="SI",Inicial!G27,"N/A")</f>
        <v>N/A</v>
      </c>
      <c r="H27" s="53" t="str">
        <f>IF(Inicial!L27="SI",Inicial!H27,"N/A")</f>
        <v>N/A</v>
      </c>
      <c r="I27" s="55" t="str">
        <f>IF(Inicial!L27="SI",Inicial!I27,"N/A")</f>
        <v>N/A</v>
      </c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3" t="str" cm="1">
        <f t="array" ref="AF27">IF(OR(M27:AE27="NO"),"No aceptable","Aceptable")</f>
        <v>Aceptable</v>
      </c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4" t="str" cm="1">
        <f t="array" ref="BC27">IF(OR(AJ27:BB27="SI"),"Critico","No Critico")</f>
        <v>No Critico</v>
      </c>
    </row>
    <row r="28" spans="1:55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IF(Inicial!L28="SI",Inicial!E28,"N/A")</f>
        <v>06:30 14:50 / 17:30 a 02:50</v>
      </c>
      <c r="F28" s="53">
        <f>IF(Inicial!L28="SI",Inicial!F28,"N/A")</f>
        <v>1</v>
      </c>
      <c r="G28" s="53">
        <f>IF(Inicial!L28="SI",Inicial!G28,"N/A")</f>
        <v>6</v>
      </c>
      <c r="H28" s="53">
        <f>IF(Inicial!L28="SI",Inicial!H28,"N/A")</f>
        <v>24</v>
      </c>
      <c r="I28" s="55">
        <f>IF(Inicial!L28="SI",Inicial!I28,"N/A")</f>
        <v>3</v>
      </c>
      <c r="J28" s="102" t="s">
        <v>64</v>
      </c>
      <c r="K28" s="102" t="s">
        <v>63</v>
      </c>
      <c r="L28" s="102" t="s">
        <v>63</v>
      </c>
      <c r="M28" s="102" t="s">
        <v>63</v>
      </c>
      <c r="N28" s="102" t="s">
        <v>63</v>
      </c>
      <c r="O28" s="102" t="s">
        <v>63</v>
      </c>
      <c r="P28" s="102" t="s">
        <v>63</v>
      </c>
      <c r="Q28" s="102" t="s">
        <v>63</v>
      </c>
      <c r="R28" s="102" t="s">
        <v>63</v>
      </c>
      <c r="S28" s="102" t="s">
        <v>63</v>
      </c>
      <c r="T28" s="102" t="s">
        <v>63</v>
      </c>
      <c r="U28" s="102" t="s">
        <v>394</v>
      </c>
      <c r="V28" s="102" t="s">
        <v>394</v>
      </c>
      <c r="W28" s="102" t="s">
        <v>394</v>
      </c>
      <c r="X28" s="102" t="s">
        <v>394</v>
      </c>
      <c r="Y28" s="102" t="s">
        <v>64</v>
      </c>
      <c r="Z28" s="102" t="s">
        <v>63</v>
      </c>
      <c r="AA28" s="102" t="s">
        <v>63</v>
      </c>
      <c r="AB28" s="102" t="s">
        <v>63</v>
      </c>
      <c r="AC28" s="102" t="s">
        <v>63</v>
      </c>
      <c r="AD28" s="102" t="s">
        <v>63</v>
      </c>
      <c r="AE28" s="102" t="s">
        <v>63</v>
      </c>
      <c r="AF28" s="103" t="str" cm="1">
        <f t="array" ref="AF28">IF(OR(M28:AE28="NO"),"No aceptable","Aceptable")</f>
        <v>No aceptable</v>
      </c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4" t="str" cm="1">
        <f t="array" ref="BC28">IF(OR(AJ28:BB28="SI"),"Critico","No Critico")</f>
        <v>No Critico</v>
      </c>
    </row>
    <row r="29" spans="1:55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IF(Inicial!L29="SI",Inicial!E29,"N/A")</f>
        <v>N/A</v>
      </c>
      <c r="F29" s="53" t="str">
        <f>IF(Inicial!L29="SI",Inicial!F29,"N/A")</f>
        <v>N/A</v>
      </c>
      <c r="G29" s="53" t="str">
        <f>IF(Inicial!L29="SI",Inicial!G29,"N/A")</f>
        <v>N/A</v>
      </c>
      <c r="H29" s="53" t="str">
        <f>IF(Inicial!L29="SI",Inicial!H29,"N/A")</f>
        <v>N/A</v>
      </c>
      <c r="I29" s="55" t="str">
        <f>IF(Inicial!L29="SI",Inicial!I29,"N/A")</f>
        <v>N/A</v>
      </c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3" t="str" cm="1">
        <f t="array" ref="AF29">IF(OR(M29:AE29="NO"),"No aceptable","Aceptable")</f>
        <v>Aceptable</v>
      </c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4" t="str" cm="1">
        <f t="array" ref="BC29">IF(OR(AJ29:BB29="SI"),"Critico","No Critico")</f>
        <v>No Critico</v>
      </c>
    </row>
    <row r="30" spans="1:55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IF(Inicial!L30="SI",Inicial!E30,"N/A")</f>
        <v>N/A</v>
      </c>
      <c r="F30" s="53" t="str">
        <f>IF(Inicial!L30="SI",Inicial!F30,"N/A")</f>
        <v>N/A</v>
      </c>
      <c r="G30" s="53" t="str">
        <f>IF(Inicial!L30="SI",Inicial!G30,"N/A")</f>
        <v>N/A</v>
      </c>
      <c r="H30" s="53" t="str">
        <f>IF(Inicial!L30="SI",Inicial!H30,"N/A")</f>
        <v>N/A</v>
      </c>
      <c r="I30" s="55" t="str">
        <f>IF(Inicial!L30="SI",Inicial!I30,"N/A")</f>
        <v>N/A</v>
      </c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3" t="str" cm="1">
        <f t="array" ref="AF30">IF(OR(M30:AE30="NO"),"No aceptable","Aceptable")</f>
        <v>Aceptable</v>
      </c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4" t="str" cm="1">
        <f t="array" ref="BC30">IF(OR(AJ30:BB30="SI"),"Critico","No Critico")</f>
        <v>No Critico</v>
      </c>
    </row>
    <row r="31" spans="1:55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IF(Inicial!L31="SI",Inicial!E31,"N/A")</f>
        <v>06:30 14:50 / 17:30 a 02:50</v>
      </c>
      <c r="F31" s="53">
        <f>IF(Inicial!L31="SI",Inicial!F31,"N/A")</f>
        <v>1</v>
      </c>
      <c r="G31" s="53">
        <f>IF(Inicial!L31="SI",Inicial!G31,"N/A")</f>
        <v>6</v>
      </c>
      <c r="H31" s="53">
        <f>IF(Inicial!L31="SI",Inicial!H31,"N/A")</f>
        <v>24</v>
      </c>
      <c r="I31" s="55">
        <f>IF(Inicial!L31="SI",Inicial!I31,"N/A")</f>
        <v>3</v>
      </c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3" t="str" cm="1">
        <f t="array" ref="AF31">IF(OR(M31:AE31="NO"),"No aceptable","Aceptable")</f>
        <v>Aceptable</v>
      </c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4" t="str" cm="1">
        <f t="array" ref="BC31">IF(OR(AJ31:BB31="SI"),"Critico","No Critico")</f>
        <v>No Critico</v>
      </c>
    </row>
    <row r="32" spans="1:55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IF(Inicial!L32="SI",Inicial!E32,"N/A")</f>
        <v>N/A</v>
      </c>
      <c r="F32" s="53" t="str">
        <f>IF(Inicial!L32="SI",Inicial!F32,"N/A")</f>
        <v>N/A</v>
      </c>
      <c r="G32" s="53" t="str">
        <f>IF(Inicial!L32="SI",Inicial!G32,"N/A")</f>
        <v>N/A</v>
      </c>
      <c r="H32" s="53" t="str">
        <f>IF(Inicial!L32="SI",Inicial!H32,"N/A")</f>
        <v>N/A</v>
      </c>
      <c r="I32" s="55" t="str">
        <f>IF(Inicial!L32="SI",Inicial!I32,"N/A")</f>
        <v>N/A</v>
      </c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3" t="str" cm="1">
        <f t="array" ref="AF32">IF(OR(M32:AE32="NO"),"No aceptable","Aceptable")</f>
        <v>Aceptable</v>
      </c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4" t="str" cm="1">
        <f t="array" ref="BC32">IF(OR(AJ32:BB32="SI"),"Critico","No Critico")</f>
        <v>No Critico</v>
      </c>
    </row>
    <row r="33" spans="1:55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IF(Inicial!L33="SI",Inicial!E33,"N/A")</f>
        <v>N/A</v>
      </c>
      <c r="F33" s="53" t="str">
        <f>IF(Inicial!L33="SI",Inicial!F33,"N/A")</f>
        <v>N/A</v>
      </c>
      <c r="G33" s="53" t="str">
        <f>IF(Inicial!L33="SI",Inicial!G33,"N/A")</f>
        <v>N/A</v>
      </c>
      <c r="H33" s="53" t="str">
        <f>IF(Inicial!L33="SI",Inicial!H33,"N/A")</f>
        <v>N/A</v>
      </c>
      <c r="I33" s="55" t="str">
        <f>IF(Inicial!L33="SI",Inicial!I33,"N/A")</f>
        <v>N/A</v>
      </c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3" t="str" cm="1">
        <f t="array" ref="AF33">IF(OR(M33:AE33="NO"),"No aceptable","Aceptable")</f>
        <v>Aceptable</v>
      </c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4" t="str" cm="1">
        <f t="array" ref="BC33">IF(OR(AJ33:BB33="SI"),"Critico","No Critico")</f>
        <v>No Critico</v>
      </c>
    </row>
    <row r="34" spans="1:55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IF(Inicial!L34="SI",Inicial!E34,"N/A")</f>
        <v>N/A</v>
      </c>
      <c r="F34" s="53" t="str">
        <f>IF(Inicial!L34="SI",Inicial!F34,"N/A")</f>
        <v>N/A</v>
      </c>
      <c r="G34" s="53" t="str">
        <f>IF(Inicial!L34="SI",Inicial!G34,"N/A")</f>
        <v>N/A</v>
      </c>
      <c r="H34" s="53" t="str">
        <f>IF(Inicial!L34="SI",Inicial!H34,"N/A")</f>
        <v>N/A</v>
      </c>
      <c r="I34" s="55" t="str">
        <f>IF(Inicial!L34="SI",Inicial!I34,"N/A")</f>
        <v>N/A</v>
      </c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3" t="str" cm="1">
        <f t="array" ref="AF34">IF(OR(M34:AE34="NO"),"No aceptable","Aceptable")</f>
        <v>Aceptable</v>
      </c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4" t="str" cm="1">
        <f t="array" ref="BC34">IF(OR(AJ34:BB34="SI"),"Critico","No Critico")</f>
        <v>No Critico</v>
      </c>
    </row>
    <row r="35" spans="1:55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IF(Inicial!L35="SI",Inicial!E35,"N/A")</f>
        <v>N/A</v>
      </c>
      <c r="F35" s="53" t="str">
        <f>IF(Inicial!L35="SI",Inicial!F35,"N/A")</f>
        <v>N/A</v>
      </c>
      <c r="G35" s="53" t="str">
        <f>IF(Inicial!L35="SI",Inicial!G35,"N/A")</f>
        <v>N/A</v>
      </c>
      <c r="H35" s="53" t="str">
        <f>IF(Inicial!L35="SI",Inicial!H35,"N/A")</f>
        <v>N/A</v>
      </c>
      <c r="I35" s="55" t="str">
        <f>IF(Inicial!L35="SI",Inicial!I35,"N/A")</f>
        <v>N/A</v>
      </c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3" t="str" cm="1">
        <f t="array" ref="AF35">IF(OR(M35:AE35="NO"),"No aceptable","Aceptable")</f>
        <v>Aceptable</v>
      </c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4" t="str" cm="1">
        <f t="array" ref="BC35">IF(OR(AJ35:BB35="SI"),"Critico","No Critico")</f>
        <v>No Critico</v>
      </c>
    </row>
    <row r="36" spans="1:55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IF(Inicial!L36="SI",Inicial!E36,"N/A")</f>
        <v>N/A</v>
      </c>
      <c r="F36" s="53" t="str">
        <f>IF(Inicial!L36="SI",Inicial!F36,"N/A")</f>
        <v>N/A</v>
      </c>
      <c r="G36" s="53" t="str">
        <f>IF(Inicial!L36="SI",Inicial!G36,"N/A")</f>
        <v>N/A</v>
      </c>
      <c r="H36" s="53" t="str">
        <f>IF(Inicial!L36="SI",Inicial!H36,"N/A")</f>
        <v>N/A</v>
      </c>
      <c r="I36" s="55" t="str">
        <f>IF(Inicial!L36="SI",Inicial!I36,"N/A")</f>
        <v>N/A</v>
      </c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3" t="str" cm="1">
        <f t="array" ref="AF36">IF(OR(M36:AE36="NO"),"No aceptable","Aceptable")</f>
        <v>Aceptable</v>
      </c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4" t="str" cm="1">
        <f t="array" ref="BC36">IF(OR(AJ36:BB36="SI"),"Critico","No Critico")</f>
        <v>No Critico</v>
      </c>
    </row>
    <row r="37" spans="1:55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IF(Inicial!L37="SI",Inicial!E37,"N/A")</f>
        <v>N/A</v>
      </c>
      <c r="F37" s="53" t="str">
        <f>IF(Inicial!L37="SI",Inicial!F37,"N/A")</f>
        <v>N/A</v>
      </c>
      <c r="G37" s="53" t="str">
        <f>IF(Inicial!L37="SI",Inicial!G37,"N/A")</f>
        <v>N/A</v>
      </c>
      <c r="H37" s="53" t="str">
        <f>IF(Inicial!L37="SI",Inicial!H37,"N/A")</f>
        <v>N/A</v>
      </c>
      <c r="I37" s="55" t="str">
        <f>IF(Inicial!L37="SI",Inicial!I37,"N/A")</f>
        <v>N/A</v>
      </c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3" t="str" cm="1">
        <f t="array" ref="AF37">IF(OR(M37:AE37="NO"),"No aceptable","Aceptable")</f>
        <v>Aceptable</v>
      </c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4" t="str" cm="1">
        <f t="array" ref="BC37">IF(OR(AJ37:BB37="SI"),"Critico","No Critico")</f>
        <v>No Critico</v>
      </c>
    </row>
    <row r="38" spans="1:55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IF(Inicial!L38="SI",Inicial!E38,"N/A")</f>
        <v>N/A</v>
      </c>
      <c r="F38" s="53" t="str">
        <f>IF(Inicial!L38="SI",Inicial!F38,"N/A")</f>
        <v>N/A</v>
      </c>
      <c r="G38" s="53" t="str">
        <f>IF(Inicial!L38="SI",Inicial!G38,"N/A")</f>
        <v>N/A</v>
      </c>
      <c r="H38" s="53" t="str">
        <f>IF(Inicial!L38="SI",Inicial!H38,"N/A")</f>
        <v>N/A</v>
      </c>
      <c r="I38" s="55" t="str">
        <f>IF(Inicial!L38="SI",Inicial!I38,"N/A")</f>
        <v>N/A</v>
      </c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3" t="str" cm="1">
        <f t="array" ref="AF38">IF(OR(M38:AE38="NO"),"No aceptable","Aceptable")</f>
        <v>Aceptable</v>
      </c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4" t="str" cm="1">
        <f t="array" ref="BC38">IF(OR(AJ38:BB38="SI"),"Critico","No Critico")</f>
        <v>No Critico</v>
      </c>
    </row>
    <row r="39" spans="1:55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IF(Inicial!L39="SI",Inicial!E39,"N/A")</f>
        <v>N/A</v>
      </c>
      <c r="F39" s="53" t="str">
        <f>IF(Inicial!L39="SI",Inicial!F39,"N/A")</f>
        <v>N/A</v>
      </c>
      <c r="G39" s="53" t="str">
        <f>IF(Inicial!L39="SI",Inicial!G39,"N/A")</f>
        <v>N/A</v>
      </c>
      <c r="H39" s="53" t="str">
        <f>IF(Inicial!L39="SI",Inicial!H39,"N/A")</f>
        <v>N/A</v>
      </c>
      <c r="I39" s="55" t="str">
        <f>IF(Inicial!L39="SI",Inicial!I39,"N/A")</f>
        <v>N/A</v>
      </c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3" t="str" cm="1">
        <f t="array" ref="AF39">IF(OR(M39:AE39="NO"),"No aceptable","Aceptable")</f>
        <v>Aceptable</v>
      </c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4" t="str" cm="1">
        <f t="array" ref="BC39">IF(OR(AJ39:BB39="SI"),"Critico","No Critico")</f>
        <v>No Critico</v>
      </c>
    </row>
    <row r="40" spans="1:55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IF(Inicial!L40="SI",Inicial!E40,"N/A")</f>
        <v>N/A</v>
      </c>
      <c r="F40" s="53" t="str">
        <f>IF(Inicial!L40="SI",Inicial!F40,"N/A")</f>
        <v>N/A</v>
      </c>
      <c r="G40" s="53" t="str">
        <f>IF(Inicial!L40="SI",Inicial!G40,"N/A")</f>
        <v>N/A</v>
      </c>
      <c r="H40" s="53" t="str">
        <f>IF(Inicial!L40="SI",Inicial!H40,"N/A")</f>
        <v>N/A</v>
      </c>
      <c r="I40" s="55" t="str">
        <f>IF(Inicial!L40="SI",Inicial!I40,"N/A")</f>
        <v>N/A</v>
      </c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 t="str" cm="1">
        <f t="array" ref="AF40">IF(OR(M40:AE40="NO"),"No aceptable","Aceptable")</f>
        <v>Aceptable</v>
      </c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4" t="str" cm="1">
        <f t="array" ref="BC40">IF(OR(AJ40:BB40="SI"),"Critico","No Critico")</f>
        <v>No Critico</v>
      </c>
    </row>
    <row r="41" spans="1:55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IF(Inicial!L41="SI",Inicial!E41,"N/A")</f>
        <v>N/A</v>
      </c>
      <c r="F41" s="53" t="str">
        <f>IF(Inicial!L41="SI",Inicial!F41,"N/A")</f>
        <v>N/A</v>
      </c>
      <c r="G41" s="53" t="str">
        <f>IF(Inicial!L41="SI",Inicial!G41,"N/A")</f>
        <v>N/A</v>
      </c>
      <c r="H41" s="53" t="str">
        <f>IF(Inicial!L41="SI",Inicial!H41,"N/A")</f>
        <v>N/A</v>
      </c>
      <c r="I41" s="55" t="str">
        <f>IF(Inicial!L41="SI",Inicial!I41,"N/A")</f>
        <v>N/A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3" t="str" cm="1">
        <f t="array" ref="AF41">IF(OR(M41:AE41="NO"),"No aceptable","Aceptable")</f>
        <v>Aceptable</v>
      </c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4" t="str" cm="1">
        <f t="array" ref="BC41">IF(OR(AJ41:BB41="SI"),"Critico","No Critico")</f>
        <v>No Critico</v>
      </c>
    </row>
    <row r="42" spans="1:55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IF(Inicial!L42="SI",Inicial!E42,"N/A")</f>
        <v>N/A</v>
      </c>
      <c r="F42" s="53" t="str">
        <f>IF(Inicial!L42="SI",Inicial!F42,"N/A")</f>
        <v>N/A</v>
      </c>
      <c r="G42" s="53" t="str">
        <f>IF(Inicial!L42="SI",Inicial!G42,"N/A")</f>
        <v>N/A</v>
      </c>
      <c r="H42" s="53" t="str">
        <f>IF(Inicial!L42="SI",Inicial!H42,"N/A")</f>
        <v>N/A</v>
      </c>
      <c r="I42" s="55" t="str">
        <f>IF(Inicial!L42="SI",Inicial!I42,"N/A")</f>
        <v>N/A</v>
      </c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3" t="str" cm="1">
        <f t="array" ref="AF42">IF(OR(M42:AE42="NO"),"No aceptable","Aceptable")</f>
        <v>Aceptable</v>
      </c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4" t="str" cm="1">
        <f t="array" ref="BC42">IF(OR(AJ42:BB42="SI"),"Critico","No Critico")</f>
        <v>No Critico</v>
      </c>
    </row>
    <row r="43" spans="1:55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IF(Inicial!L43="SI",Inicial!E43,"N/A")</f>
        <v>06:30 14:50 / 17:30 a 02:50</v>
      </c>
      <c r="F43" s="53">
        <f>IF(Inicial!L43="SI",Inicial!F43,"N/A")</f>
        <v>1</v>
      </c>
      <c r="G43" s="53">
        <f>IF(Inicial!L43="SI",Inicial!G43,"N/A")</f>
        <v>6</v>
      </c>
      <c r="H43" s="53">
        <f>IF(Inicial!L43="SI",Inicial!H43,"N/A")</f>
        <v>0</v>
      </c>
      <c r="I43" s="55">
        <f>IF(Inicial!L43="SI",Inicial!I43,"N/A")</f>
        <v>50</v>
      </c>
      <c r="J43" s="102" t="s">
        <v>64</v>
      </c>
      <c r="K43" s="102" t="s">
        <v>63</v>
      </c>
      <c r="L43" s="102" t="s">
        <v>63</v>
      </c>
      <c r="M43" s="102" t="s">
        <v>63</v>
      </c>
      <c r="N43" s="102" t="s">
        <v>63</v>
      </c>
      <c r="O43" s="102" t="s">
        <v>63</v>
      </c>
      <c r="P43" s="102" t="s">
        <v>63</v>
      </c>
      <c r="Q43" s="102" t="s">
        <v>394</v>
      </c>
      <c r="R43" s="102" t="s">
        <v>394</v>
      </c>
      <c r="S43" s="102" t="s">
        <v>394</v>
      </c>
      <c r="T43" s="102" t="s">
        <v>394</v>
      </c>
      <c r="U43" s="102" t="s">
        <v>394</v>
      </c>
      <c r="V43" s="102" t="s">
        <v>394</v>
      </c>
      <c r="W43" s="102" t="s">
        <v>394</v>
      </c>
      <c r="X43" s="102" t="s">
        <v>394</v>
      </c>
      <c r="Y43" s="102" t="s">
        <v>64</v>
      </c>
      <c r="Z43" s="102" t="s">
        <v>63</v>
      </c>
      <c r="AA43" s="102" t="s">
        <v>63</v>
      </c>
      <c r="AB43" s="102" t="s">
        <v>63</v>
      </c>
      <c r="AC43" s="102" t="s">
        <v>63</v>
      </c>
      <c r="AD43" s="102" t="s">
        <v>63</v>
      </c>
      <c r="AE43" s="102" t="s">
        <v>63</v>
      </c>
      <c r="AF43" s="103" t="str" cm="1">
        <f t="array" ref="AF43">IF(OR(M43:AE43="NO"),"No aceptable","Aceptable")</f>
        <v>No aceptable</v>
      </c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4" t="str" cm="1">
        <f t="array" ref="BC43">IF(OR(AJ43:BB43="SI"),"Critico","No Critico")</f>
        <v>No Critico</v>
      </c>
    </row>
    <row r="44" spans="1:55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IF(Inicial!L44="SI",Inicial!E44,"N/A")</f>
        <v>N/A</v>
      </c>
      <c r="F44" s="53" t="str">
        <f>IF(Inicial!L44="SI",Inicial!F44,"N/A")</f>
        <v>N/A</v>
      </c>
      <c r="G44" s="53" t="str">
        <f>IF(Inicial!L44="SI",Inicial!G44,"N/A")</f>
        <v>N/A</v>
      </c>
      <c r="H44" s="53" t="str">
        <f>IF(Inicial!L44="SI",Inicial!H44,"N/A")</f>
        <v>N/A</v>
      </c>
      <c r="I44" s="55" t="str">
        <f>IF(Inicial!L44="SI",Inicial!I44,"N/A")</f>
        <v>N/A</v>
      </c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3" t="str" cm="1">
        <f t="array" ref="AF44">IF(OR(M44:AE44="NO"),"No aceptable","Aceptable")</f>
        <v>Aceptable</v>
      </c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4" t="str" cm="1">
        <f t="array" ref="BC44">IF(OR(AJ44:BB44="SI"),"Critico","No Critico")</f>
        <v>No Critico</v>
      </c>
    </row>
    <row r="45" spans="1:55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IF(Inicial!L45="SI",Inicial!E45,"N/A")</f>
        <v>06:30 14:50 / 17:30 a 02:50</v>
      </c>
      <c r="F45" s="53">
        <f>IF(Inicial!L45="SI",Inicial!F45,"N/A")</f>
        <v>1</v>
      </c>
      <c r="G45" s="53">
        <f>IF(Inicial!L45="SI",Inicial!G45,"N/A")</f>
        <v>6</v>
      </c>
      <c r="H45" s="53">
        <f>IF(Inicial!L45="SI",Inicial!H45,"N/A")</f>
        <v>0</v>
      </c>
      <c r="I45" s="55">
        <f>IF(Inicial!L45="SI",Inicial!I45,"N/A")</f>
        <v>50</v>
      </c>
      <c r="J45" s="102" t="s">
        <v>64</v>
      </c>
      <c r="K45" s="102" t="s">
        <v>63</v>
      </c>
      <c r="L45" s="102" t="s">
        <v>63</v>
      </c>
      <c r="M45" s="102" t="s">
        <v>63</v>
      </c>
      <c r="N45" s="102" t="s">
        <v>63</v>
      </c>
      <c r="O45" s="102" t="s">
        <v>63</v>
      </c>
      <c r="P45" s="102" t="s">
        <v>63</v>
      </c>
      <c r="Q45" s="102" t="s">
        <v>394</v>
      </c>
      <c r="R45" s="102" t="s">
        <v>394</v>
      </c>
      <c r="S45" s="102" t="s">
        <v>394</v>
      </c>
      <c r="T45" s="102" t="s">
        <v>394</v>
      </c>
      <c r="U45" s="102" t="s">
        <v>394</v>
      </c>
      <c r="V45" s="102" t="s">
        <v>394</v>
      </c>
      <c r="W45" s="102" t="s">
        <v>394</v>
      </c>
      <c r="X45" s="102" t="s">
        <v>394</v>
      </c>
      <c r="Y45" s="102" t="s">
        <v>64</v>
      </c>
      <c r="Z45" s="102" t="s">
        <v>63</v>
      </c>
      <c r="AA45" s="102" t="s">
        <v>63</v>
      </c>
      <c r="AB45" s="102" t="s">
        <v>63</v>
      </c>
      <c r="AC45" s="102" t="s">
        <v>394</v>
      </c>
      <c r="AD45" s="102" t="s">
        <v>394</v>
      </c>
      <c r="AE45" s="102" t="s">
        <v>394</v>
      </c>
      <c r="AF45" s="103" t="str" cm="1">
        <f t="array" ref="AF45">IF(OR(M45:AE45="NO"),"No aceptable","Aceptable")</f>
        <v>No aceptable</v>
      </c>
      <c r="AG45" s="102" t="s">
        <v>63</v>
      </c>
      <c r="AH45" s="102" t="s">
        <v>64</v>
      </c>
      <c r="AI45" s="102" t="s">
        <v>64</v>
      </c>
      <c r="AJ45" s="102" t="s">
        <v>64</v>
      </c>
      <c r="AK45" s="102" t="s">
        <v>64</v>
      </c>
      <c r="AL45" s="102" t="s">
        <v>64</v>
      </c>
      <c r="AM45" s="102" t="s">
        <v>64</v>
      </c>
      <c r="AN45" s="102" t="s">
        <v>64</v>
      </c>
      <c r="AO45" s="102" t="s">
        <v>63</v>
      </c>
      <c r="AP45" s="102" t="s">
        <v>64</v>
      </c>
      <c r="AQ45" s="102" t="s">
        <v>64</v>
      </c>
      <c r="AR45" s="102" t="s">
        <v>64</v>
      </c>
      <c r="AS45" s="102" t="s">
        <v>64</v>
      </c>
      <c r="AT45" s="102" t="s">
        <v>64</v>
      </c>
      <c r="AU45" s="102" t="s">
        <v>64</v>
      </c>
      <c r="AV45" s="102"/>
      <c r="AW45" s="102" t="s">
        <v>64</v>
      </c>
      <c r="AX45" s="102" t="s">
        <v>64</v>
      </c>
      <c r="AY45" s="102" t="s">
        <v>64</v>
      </c>
      <c r="AZ45" s="102" t="s">
        <v>64</v>
      </c>
      <c r="BA45" s="102" t="s">
        <v>64</v>
      </c>
      <c r="BB45" s="102" t="s">
        <v>64</v>
      </c>
      <c r="BC45" s="104" t="str" cm="1">
        <f t="array" ref="BC45">IF(OR(AJ45:BB45="SI"),"Critico","No Critico")</f>
        <v>Critico</v>
      </c>
    </row>
    <row r="46" spans="1:55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IF(Inicial!L46="SI",Inicial!E46,"N/A")</f>
        <v>N/A</v>
      </c>
      <c r="F46" s="53" t="str">
        <f>IF(Inicial!L46="SI",Inicial!F46,"N/A")</f>
        <v>N/A</v>
      </c>
      <c r="G46" s="53" t="str">
        <f>IF(Inicial!L46="SI",Inicial!G46,"N/A")</f>
        <v>N/A</v>
      </c>
      <c r="H46" s="53" t="str">
        <f>IF(Inicial!L46="SI",Inicial!H46,"N/A")</f>
        <v>N/A</v>
      </c>
      <c r="I46" s="55" t="str">
        <f>IF(Inicial!L46="SI",Inicial!I46,"N/A")</f>
        <v>N/A</v>
      </c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3" t="str" cm="1">
        <f t="array" ref="AF46">IF(OR(M46:AE46="NO"),"No aceptable","Aceptable")</f>
        <v>Aceptable</v>
      </c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4" t="str" cm="1">
        <f t="array" ref="BC46">IF(OR(AJ46:BB46="SI"),"Critico","No Critico")</f>
        <v>No Critico</v>
      </c>
    </row>
    <row r="47" spans="1:55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IF(Inicial!L47="SI",Inicial!E47,"N/A")</f>
        <v>N/A</v>
      </c>
      <c r="F47" s="53" t="str">
        <f>IF(Inicial!L47="SI",Inicial!F47,"N/A")</f>
        <v>N/A</v>
      </c>
      <c r="G47" s="53" t="str">
        <f>IF(Inicial!L47="SI",Inicial!G47,"N/A")</f>
        <v>N/A</v>
      </c>
      <c r="H47" s="53" t="str">
        <f>IF(Inicial!L47="SI",Inicial!H47,"N/A")</f>
        <v>N/A</v>
      </c>
      <c r="I47" s="55" t="str">
        <f>IF(Inicial!L47="SI",Inicial!I47,"N/A")</f>
        <v>N/A</v>
      </c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3" t="str" cm="1">
        <f t="array" ref="AF47">IF(OR(M47:AE47="NO"),"No aceptable","Aceptable")</f>
        <v>Aceptable</v>
      </c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4" t="str" cm="1">
        <f t="array" ref="BC47">IF(OR(AJ47:BB47="SI"),"Critico","No Critico")</f>
        <v>No Critico</v>
      </c>
    </row>
    <row r="48" spans="1:55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IF(Inicial!L48="SI",Inicial!E48,"N/A")</f>
        <v>N/A</v>
      </c>
      <c r="F48" s="53" t="str">
        <f>IF(Inicial!L48="SI",Inicial!F48,"N/A")</f>
        <v>N/A</v>
      </c>
      <c r="G48" s="53" t="str">
        <f>IF(Inicial!L48="SI",Inicial!G48,"N/A")</f>
        <v>N/A</v>
      </c>
      <c r="H48" s="53" t="str">
        <f>IF(Inicial!L48="SI",Inicial!H48,"N/A")</f>
        <v>N/A</v>
      </c>
      <c r="I48" s="55" t="str">
        <f>IF(Inicial!L48="SI",Inicial!I48,"N/A")</f>
        <v>N/A</v>
      </c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3" t="str" cm="1">
        <f t="array" ref="AF48">IF(OR(M48:AE48="NO"),"No aceptable","Aceptable")</f>
        <v>Aceptable</v>
      </c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4" t="str" cm="1">
        <f t="array" ref="BC48">IF(OR(AJ48:BB48="SI"),"Critico","No Critico")</f>
        <v>No Critico</v>
      </c>
    </row>
    <row r="49" spans="1:55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IF(Inicial!L49="SI",Inicial!E49,"N/A")</f>
        <v>N/A</v>
      </c>
      <c r="F49" s="53" t="str">
        <f>IF(Inicial!L49="SI",Inicial!F49,"N/A")</f>
        <v>N/A</v>
      </c>
      <c r="G49" s="53" t="str">
        <f>IF(Inicial!L49="SI",Inicial!G49,"N/A")</f>
        <v>N/A</v>
      </c>
      <c r="H49" s="53" t="str">
        <f>IF(Inicial!L49="SI",Inicial!H49,"N/A")</f>
        <v>N/A</v>
      </c>
      <c r="I49" s="55" t="str">
        <f>IF(Inicial!L49="SI",Inicial!I49,"N/A")</f>
        <v>N/A</v>
      </c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3" t="str" cm="1">
        <f t="array" ref="AF49">IF(OR(M49:AE49="NO"),"No aceptable","Aceptable")</f>
        <v>Aceptable</v>
      </c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4" t="str" cm="1">
        <f t="array" ref="BC49">IF(OR(AJ49:BB49="SI"),"Critico","No Critico")</f>
        <v>No Critico</v>
      </c>
    </row>
    <row r="50" spans="1:55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IF(Inicial!L50="SI",Inicial!E50,"N/A")</f>
        <v>N/A</v>
      </c>
      <c r="F50" s="53" t="str">
        <f>IF(Inicial!L50="SI",Inicial!F50,"N/A")</f>
        <v>N/A</v>
      </c>
      <c r="G50" s="53" t="str">
        <f>IF(Inicial!L50="SI",Inicial!G50,"N/A")</f>
        <v>N/A</v>
      </c>
      <c r="H50" s="53" t="str">
        <f>IF(Inicial!L50="SI",Inicial!H50,"N/A")</f>
        <v>N/A</v>
      </c>
      <c r="I50" s="55" t="str">
        <f>IF(Inicial!L50="SI",Inicial!I50,"N/A")</f>
        <v>N/A</v>
      </c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3" t="str" cm="1">
        <f t="array" ref="AF50">IF(OR(M50:AE50="NO"),"No aceptable","Aceptable")</f>
        <v>Aceptable</v>
      </c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4" t="str" cm="1">
        <f t="array" ref="BC50">IF(OR(AJ50:BB50="SI"),"Critico","No Critico")</f>
        <v>No Critico</v>
      </c>
    </row>
    <row r="51" spans="1:55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IF(Inicial!L51="SI",Inicial!E51,"N/A")</f>
        <v>N/A</v>
      </c>
      <c r="F51" s="53" t="str">
        <f>IF(Inicial!L51="SI",Inicial!F51,"N/A")</f>
        <v>N/A</v>
      </c>
      <c r="G51" s="53" t="str">
        <f>IF(Inicial!L51="SI",Inicial!G51,"N/A")</f>
        <v>N/A</v>
      </c>
      <c r="H51" s="53" t="str">
        <f>IF(Inicial!L51="SI",Inicial!H51,"N/A")</f>
        <v>N/A</v>
      </c>
      <c r="I51" s="55" t="str">
        <f>IF(Inicial!L51="SI",Inicial!I51,"N/A")</f>
        <v>N/A</v>
      </c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3" t="str" cm="1">
        <f t="array" ref="AF51">IF(OR(M51:AE51="NO"),"No aceptable","Aceptable")</f>
        <v>Aceptable</v>
      </c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4" t="str" cm="1">
        <f t="array" ref="BC51">IF(OR(AJ51:BB51="SI"),"Critico","No Critico")</f>
        <v>No Critico</v>
      </c>
    </row>
    <row r="52" spans="1:55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IF(Inicial!L52="SI",Inicial!E52,"N/A")</f>
        <v>N/A</v>
      </c>
      <c r="F52" s="53" t="str">
        <f>IF(Inicial!L52="SI",Inicial!F52,"N/A")</f>
        <v>N/A</v>
      </c>
      <c r="G52" s="53" t="str">
        <f>IF(Inicial!L52="SI",Inicial!G52,"N/A")</f>
        <v>N/A</v>
      </c>
      <c r="H52" s="53" t="str">
        <f>IF(Inicial!L52="SI",Inicial!H52,"N/A")</f>
        <v>N/A</v>
      </c>
      <c r="I52" s="55" t="str">
        <f>IF(Inicial!L52="SI",Inicial!I52,"N/A")</f>
        <v>N/A</v>
      </c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3" t="str" cm="1">
        <f t="array" ref="AF52">IF(OR(M52:AE52="NO"),"No aceptable","Aceptable")</f>
        <v>Aceptable</v>
      </c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4" t="str" cm="1">
        <f t="array" ref="BC52">IF(OR(AJ52:BB52="SI"),"Critico","No Critico")</f>
        <v>No Critico</v>
      </c>
    </row>
    <row r="53" spans="1:55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IF(Inicial!L53="SI",Inicial!E53,"N/A")</f>
        <v>N/A</v>
      </c>
      <c r="F53" s="53" t="str">
        <f>IF(Inicial!L53="SI",Inicial!F53,"N/A")</f>
        <v>N/A</v>
      </c>
      <c r="G53" s="53" t="str">
        <f>IF(Inicial!L53="SI",Inicial!G53,"N/A")</f>
        <v>N/A</v>
      </c>
      <c r="H53" s="53" t="str">
        <f>IF(Inicial!L53="SI",Inicial!H53,"N/A")</f>
        <v>N/A</v>
      </c>
      <c r="I53" s="55" t="str">
        <f>IF(Inicial!L53="SI",Inicial!I53,"N/A")</f>
        <v>N/A</v>
      </c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3" t="str" cm="1">
        <f t="array" ref="AF53">IF(OR(M53:AE53="NO"),"No aceptable","Aceptable")</f>
        <v>Aceptable</v>
      </c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4" t="str" cm="1">
        <f t="array" ref="BC53">IF(OR(AJ53:BB53="SI"),"Critico","No Critico")</f>
        <v>No Critico</v>
      </c>
    </row>
    <row r="54" spans="1:55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IF(Inicial!L54="SI",Inicial!E54,"N/A")</f>
        <v>N/A</v>
      </c>
      <c r="F54" s="53" t="str">
        <f>IF(Inicial!L54="SI",Inicial!F54,"N/A")</f>
        <v>N/A</v>
      </c>
      <c r="G54" s="53" t="str">
        <f>IF(Inicial!L54="SI",Inicial!G54,"N/A")</f>
        <v>N/A</v>
      </c>
      <c r="H54" s="53" t="str">
        <f>IF(Inicial!L54="SI",Inicial!H54,"N/A")</f>
        <v>N/A</v>
      </c>
      <c r="I54" s="55" t="str">
        <f>IF(Inicial!L54="SI",Inicial!I54,"N/A")</f>
        <v>N/A</v>
      </c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3" t="str" cm="1">
        <f t="array" ref="AF54">IF(OR(M54:AE54="NO"),"No aceptable","Aceptable")</f>
        <v>Aceptable</v>
      </c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4" t="str" cm="1">
        <f t="array" ref="BC54">IF(OR(AJ54:BB54="SI"),"Critico","No Critico")</f>
        <v>No Critico</v>
      </c>
    </row>
    <row r="55" spans="1:55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IF(Inicial!L55="SI",Inicial!E55,"N/A")</f>
        <v>N/A</v>
      </c>
      <c r="F55" s="53" t="str">
        <f>IF(Inicial!L55="SI",Inicial!F55,"N/A")</f>
        <v>N/A</v>
      </c>
      <c r="G55" s="53" t="str">
        <f>IF(Inicial!L55="SI",Inicial!G55,"N/A")</f>
        <v>N/A</v>
      </c>
      <c r="H55" s="53" t="str">
        <f>IF(Inicial!L55="SI",Inicial!H55,"N/A")</f>
        <v>N/A</v>
      </c>
      <c r="I55" s="55" t="str">
        <f>IF(Inicial!L55="SI",Inicial!I55,"N/A")</f>
        <v>N/A</v>
      </c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3" t="str" cm="1">
        <f t="array" ref="AF55">IF(OR(M55:AE55="NO"),"No aceptable","Aceptable")</f>
        <v>Aceptable</v>
      </c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4" t="str" cm="1">
        <f t="array" ref="BC55">IF(OR(AJ55:BB55="SI"),"Critico","No Critico")</f>
        <v>No Critico</v>
      </c>
    </row>
    <row r="56" spans="1:55" ht="38.25">
      <c r="A56" s="52">
        <f>Inicial!A56</f>
        <v>54</v>
      </c>
      <c r="B56" s="53" t="str">
        <f>Inicial!B56</f>
        <v>Desposte</v>
      </c>
      <c r="C56" s="53" t="str">
        <f>Inicial!C56</f>
        <v>Operador Línea Chuletas</v>
      </c>
      <c r="D56" s="54" t="str">
        <f>Inicial!D56</f>
        <v>Alimentador Freund</v>
      </c>
      <c r="E56" s="52" t="str">
        <f>IF(Inicial!L56="SI",Inicial!E56,"N/A")</f>
        <v>N/A</v>
      </c>
      <c r="F56" s="53" t="str">
        <f>IF(Inicial!L56="SI",Inicial!F56,"N/A")</f>
        <v>N/A</v>
      </c>
      <c r="G56" s="53" t="str">
        <f>IF(Inicial!L56="SI",Inicial!G56,"N/A")</f>
        <v>N/A</v>
      </c>
      <c r="H56" s="53" t="str">
        <f>IF(Inicial!L56="SI",Inicial!H56,"N/A")</f>
        <v>N/A</v>
      </c>
      <c r="I56" s="55" t="str">
        <f>IF(Inicial!L56="SI",Inicial!I56,"N/A")</f>
        <v>N/A</v>
      </c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3" t="str" cm="1">
        <f t="array" ref="AF56">IF(OR(M56:AE56="NO"),"No aceptable","Aceptable")</f>
        <v>Aceptable</v>
      </c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4" t="str" cm="1">
        <f t="array" ref="BC56">IF(OR(AJ56:BB56="SI"),"Critico","No Critico")</f>
        <v>No Critico</v>
      </c>
    </row>
    <row r="57" spans="1:55" ht="38.25">
      <c r="A57" s="52">
        <f>Inicial!A57</f>
        <v>55</v>
      </c>
      <c r="B57" s="53" t="str">
        <f>Inicial!B57</f>
        <v>Desposte</v>
      </c>
      <c r="C57" s="53" t="str">
        <f>Inicial!C57</f>
        <v>Operador Línea Chuletas</v>
      </c>
      <c r="D57" s="54" t="str">
        <f>Inicial!D57</f>
        <v>Recibir Hueso</v>
      </c>
      <c r="E57" s="52" t="str">
        <f>IF(Inicial!L57="SI",Inicial!E57,"N/A")</f>
        <v>N/A</v>
      </c>
      <c r="F57" s="53" t="str">
        <f>IF(Inicial!L57="SI",Inicial!F57,"N/A")</f>
        <v>N/A</v>
      </c>
      <c r="G57" s="53" t="str">
        <f>IF(Inicial!L57="SI",Inicial!G57,"N/A")</f>
        <v>N/A</v>
      </c>
      <c r="H57" s="53" t="str">
        <f>IF(Inicial!L57="SI",Inicial!H57,"N/A")</f>
        <v>N/A</v>
      </c>
      <c r="I57" s="55" t="str">
        <f>IF(Inicial!L57="SI",Inicial!I57,"N/A")</f>
        <v>N/A</v>
      </c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3" t="str" cm="1">
        <f t="array" ref="AF57">IF(OR(M57:AE57="NO"),"No aceptable","Aceptable")</f>
        <v>Aceptable</v>
      </c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4" t="str" cm="1">
        <f t="array" ref="BC57">IF(OR(AJ57:BB57="SI"),"Critico","No Critico")</f>
        <v>No Critico</v>
      </c>
    </row>
    <row r="58" spans="1:55" ht="38.25">
      <c r="A58" s="52">
        <f>Inicial!A58</f>
        <v>56</v>
      </c>
      <c r="B58" s="53" t="str">
        <f>Inicial!B58</f>
        <v>Desposte</v>
      </c>
      <c r="C58" s="53" t="str">
        <f>Inicial!C58</f>
        <v>Operador Línea Chuletas</v>
      </c>
      <c r="D58" s="54" t="str">
        <f>Inicial!D58</f>
        <v>Embalar hueso</v>
      </c>
      <c r="E58" s="52" t="str">
        <f>IF(Inicial!L58="SI",Inicial!E58,"N/A")</f>
        <v>N/A</v>
      </c>
      <c r="F58" s="53" t="str">
        <f>IF(Inicial!L58="SI",Inicial!F58,"N/A")</f>
        <v>N/A</v>
      </c>
      <c r="G58" s="53" t="str">
        <f>IF(Inicial!L58="SI",Inicial!G58,"N/A")</f>
        <v>N/A</v>
      </c>
      <c r="H58" s="53" t="str">
        <f>IF(Inicial!L58="SI",Inicial!H58,"N/A")</f>
        <v>N/A</v>
      </c>
      <c r="I58" s="55" t="str">
        <f>IF(Inicial!L58="SI",Inicial!I58,"N/A")</f>
        <v>N/A</v>
      </c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3" t="str" cm="1">
        <f t="array" ref="AF58">IF(OR(M58:AE58="NO"),"No aceptable","Aceptable")</f>
        <v>Aceptable</v>
      </c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4" t="str" cm="1">
        <f t="array" ref="BC58">IF(OR(AJ58:BB58="SI"),"Critico","No Critico")</f>
        <v>No Critico</v>
      </c>
    </row>
    <row r="59" spans="1:55" ht="25.5">
      <c r="A59" s="52">
        <f>Inicial!A59</f>
        <v>57</v>
      </c>
      <c r="B59" s="53" t="str">
        <f>Inicial!B59</f>
        <v>Desposte</v>
      </c>
      <c r="C59" s="53" t="str">
        <f>Inicial!C59</f>
        <v>Operador Línea Costillar</v>
      </c>
      <c r="D59" s="54" t="str">
        <f>Inicial!D59</f>
        <v>Abastecer Línea Costillar</v>
      </c>
      <c r="E59" s="52" t="str">
        <f>IF(Inicial!L59="SI",Inicial!E59,"N/A")</f>
        <v>N/A</v>
      </c>
      <c r="F59" s="53" t="str">
        <f>IF(Inicial!L59="SI",Inicial!F59,"N/A")</f>
        <v>N/A</v>
      </c>
      <c r="G59" s="53" t="str">
        <f>IF(Inicial!L59="SI",Inicial!G59,"N/A")</f>
        <v>N/A</v>
      </c>
      <c r="H59" s="53" t="str">
        <f>IF(Inicial!L59="SI",Inicial!H59,"N/A")</f>
        <v>N/A</v>
      </c>
      <c r="I59" s="55" t="str">
        <f>IF(Inicial!L59="SI",Inicial!I59,"N/A")</f>
        <v>N/A</v>
      </c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3" t="str" cm="1">
        <f t="array" ref="AF59">IF(OR(M59:AE59="NO"),"No aceptable","Aceptable")</f>
        <v>Aceptable</v>
      </c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4" t="str" cm="1">
        <f t="array" ref="BC59">IF(OR(AJ59:BB59="SI"),"Critico","No Critico")</f>
        <v>No Critico</v>
      </c>
    </row>
    <row r="60" spans="1:55" ht="25.5">
      <c r="A60" s="52">
        <f>Inicial!A60</f>
        <v>58</v>
      </c>
      <c r="B60" s="53" t="str">
        <f>Inicial!B60</f>
        <v>Desposte</v>
      </c>
      <c r="C60" s="53" t="str">
        <f>Inicial!C60</f>
        <v>Operador Línea Costillar</v>
      </c>
      <c r="D60" s="54" t="str">
        <f>Inicial!D60</f>
        <v xml:space="preserve">Cuadrar panceta </v>
      </c>
      <c r="E60" s="52" t="str">
        <f>IF(Inicial!L60="SI",Inicial!E60,"N/A")</f>
        <v>N/A</v>
      </c>
      <c r="F60" s="53" t="str">
        <f>IF(Inicial!L60="SI",Inicial!F60,"N/A")</f>
        <v>N/A</v>
      </c>
      <c r="G60" s="53" t="str">
        <f>IF(Inicial!L60="SI",Inicial!G60,"N/A")</f>
        <v>N/A</v>
      </c>
      <c r="H60" s="53" t="str">
        <f>IF(Inicial!L60="SI",Inicial!H60,"N/A")</f>
        <v>N/A</v>
      </c>
      <c r="I60" s="55" t="str">
        <f>IF(Inicial!L60="SI",Inicial!I60,"N/A")</f>
        <v>N/A</v>
      </c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3" t="str" cm="1">
        <f t="array" ref="AF60">IF(OR(M60:AE60="NO"),"No aceptable","Aceptable")</f>
        <v>Aceptable</v>
      </c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4" t="str" cm="1">
        <f t="array" ref="BC60">IF(OR(AJ60:BB60="SI"),"Critico","No Critico")</f>
        <v>No Critico</v>
      </c>
    </row>
    <row r="61" spans="1:55" ht="25.5">
      <c r="A61" s="52">
        <f>Inicial!A61</f>
        <v>59</v>
      </c>
      <c r="B61" s="53" t="str">
        <f>Inicial!B61</f>
        <v>Desposte</v>
      </c>
      <c r="C61" s="53" t="str">
        <f>Inicial!C61</f>
        <v>Operador Línea Costillar</v>
      </c>
      <c r="D61" s="54" t="str">
        <f>Inicial!D61</f>
        <v>Despunte Producto</v>
      </c>
      <c r="E61" s="52" t="str">
        <f>IF(Inicial!L61="SI",Inicial!E61,"N/A")</f>
        <v>N/A</v>
      </c>
      <c r="F61" s="53" t="str">
        <f>IF(Inicial!L61="SI",Inicial!F61,"N/A")</f>
        <v>N/A</v>
      </c>
      <c r="G61" s="53" t="str">
        <f>IF(Inicial!L61="SI",Inicial!G61,"N/A")</f>
        <v>N/A</v>
      </c>
      <c r="H61" s="53" t="str">
        <f>IF(Inicial!L61="SI",Inicial!H61,"N/A")</f>
        <v>N/A</v>
      </c>
      <c r="I61" s="55" t="str">
        <f>IF(Inicial!L61="SI",Inicial!I61,"N/A")</f>
        <v>N/A</v>
      </c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3" t="str" cm="1">
        <f t="array" ref="AF61">IF(OR(M61:AE61="NO"),"No aceptable","Aceptable")</f>
        <v>Aceptable</v>
      </c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4" t="str" cm="1">
        <f t="array" ref="BC61">IF(OR(AJ61:BB61="SI"),"Critico","No Critico")</f>
        <v>No Critico</v>
      </c>
    </row>
    <row r="62" spans="1:55" ht="25.5">
      <c r="A62" s="52">
        <f>Inicial!A62</f>
        <v>60</v>
      </c>
      <c r="B62" s="53" t="str">
        <f>Inicial!B62</f>
        <v>Desposte</v>
      </c>
      <c r="C62" s="53" t="str">
        <f>Inicial!C62</f>
        <v>Operador Línea Costillar</v>
      </c>
      <c r="D62" s="54" t="str">
        <f>Inicial!D62</f>
        <v>Prolijado Whizard (grasa)</v>
      </c>
      <c r="E62" s="52" t="str">
        <f>IF(Inicial!L62="SI",Inicial!E62,"N/A")</f>
        <v>N/A</v>
      </c>
      <c r="F62" s="53" t="str">
        <f>IF(Inicial!L62="SI",Inicial!F62,"N/A")</f>
        <v>N/A</v>
      </c>
      <c r="G62" s="53" t="str">
        <f>IF(Inicial!L62="SI",Inicial!G62,"N/A")</f>
        <v>N/A</v>
      </c>
      <c r="H62" s="53" t="str">
        <f>IF(Inicial!L62="SI",Inicial!H62,"N/A")</f>
        <v>N/A</v>
      </c>
      <c r="I62" s="55" t="str">
        <f>IF(Inicial!L62="SI",Inicial!I62,"N/A")</f>
        <v>N/A</v>
      </c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3" t="str" cm="1">
        <f t="array" ref="AF62">IF(OR(M62:AE62="NO"),"No aceptable","Aceptable")</f>
        <v>Aceptable</v>
      </c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4" t="str" cm="1">
        <f t="array" ref="BC62">IF(OR(AJ62:BB62="SI"),"Critico","No Critico")</f>
        <v>No Critico</v>
      </c>
    </row>
    <row r="63" spans="1:55" ht="25.5">
      <c r="A63" s="52">
        <f>Inicial!A63</f>
        <v>61</v>
      </c>
      <c r="B63" s="53" t="str">
        <f>Inicial!B63</f>
        <v>Desposte</v>
      </c>
      <c r="C63" s="53" t="str">
        <f>Inicial!C63</f>
        <v>Operador Línea Costillar</v>
      </c>
      <c r="D63" s="54" t="str">
        <f>Inicial!D63</f>
        <v>Calibrado</v>
      </c>
      <c r="E63" s="52" t="str">
        <f>IF(Inicial!L63="SI",Inicial!E63,"N/A")</f>
        <v>N/A</v>
      </c>
      <c r="F63" s="53" t="str">
        <f>IF(Inicial!L63="SI",Inicial!F63,"N/A")</f>
        <v>N/A</v>
      </c>
      <c r="G63" s="53" t="str">
        <f>IF(Inicial!L63="SI",Inicial!G63,"N/A")</f>
        <v>N/A</v>
      </c>
      <c r="H63" s="53" t="str">
        <f>IF(Inicial!L63="SI",Inicial!H63,"N/A")</f>
        <v>N/A</v>
      </c>
      <c r="I63" s="55" t="str">
        <f>IF(Inicial!L63="SI",Inicial!I63,"N/A")</f>
        <v>N/A</v>
      </c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3" t="str" cm="1">
        <f t="array" ref="AF63">IF(OR(M63:AE63="NO"),"No aceptable","Aceptable")</f>
        <v>Aceptable</v>
      </c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4" t="str" cm="1">
        <f t="array" ref="BC63">IF(OR(AJ63:BB63="SI"),"Critico","No Critico")</f>
        <v>No Critico</v>
      </c>
    </row>
    <row r="64" spans="1:55" ht="25.5">
      <c r="A64" s="52">
        <f>Inicial!A64</f>
        <v>62</v>
      </c>
      <c r="B64" s="53" t="str">
        <f>Inicial!B64</f>
        <v>Desposte</v>
      </c>
      <c r="C64" s="53" t="str">
        <f>Inicial!C64</f>
        <v>Operador Línea Costillar</v>
      </c>
      <c r="D64" s="54" t="str">
        <f>Inicial!D64</f>
        <v>Cortado de Costillar</v>
      </c>
      <c r="E64" s="52" t="str">
        <f>IF(Inicial!L64="SI",Inicial!E64,"N/A")</f>
        <v>N/A</v>
      </c>
      <c r="F64" s="53" t="str">
        <f>IF(Inicial!L64="SI",Inicial!F64,"N/A")</f>
        <v>N/A</v>
      </c>
      <c r="G64" s="53" t="str">
        <f>IF(Inicial!L64="SI",Inicial!G64,"N/A")</f>
        <v>N/A</v>
      </c>
      <c r="H64" s="53" t="str">
        <f>IF(Inicial!L64="SI",Inicial!H64,"N/A")</f>
        <v>N/A</v>
      </c>
      <c r="I64" s="55" t="str">
        <f>IF(Inicial!L64="SI",Inicial!I64,"N/A")</f>
        <v>N/A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3" t="str" cm="1">
        <f t="array" ref="AF64">IF(OR(M64:AE64="NO"),"No aceptable","Aceptable")</f>
        <v>Aceptable</v>
      </c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4" t="str" cm="1">
        <f t="array" ref="BC64">IF(OR(AJ64:BB64="SI"),"Critico","No Critico")</f>
        <v>No Critico</v>
      </c>
    </row>
    <row r="65" spans="1:55" ht="25.5">
      <c r="A65" s="52">
        <f>Inicial!A65</f>
        <v>63</v>
      </c>
      <c r="B65" s="53" t="str">
        <f>Inicial!B65</f>
        <v>Desposte</v>
      </c>
      <c r="C65" s="53" t="str">
        <f>Inicial!C65</f>
        <v>Operador Línea Costillar</v>
      </c>
      <c r="D65" s="54" t="str">
        <f>Inicial!D65</f>
        <v xml:space="preserve">Abastecer Línea </v>
      </c>
      <c r="E65" s="52" t="str">
        <f>IF(Inicial!L65="SI",Inicial!E65,"N/A")</f>
        <v>N/A</v>
      </c>
      <c r="F65" s="53" t="str">
        <f>IF(Inicial!L65="SI",Inicial!F65,"N/A")</f>
        <v>N/A</v>
      </c>
      <c r="G65" s="53" t="str">
        <f>IF(Inicial!L65="SI",Inicial!G65,"N/A")</f>
        <v>N/A</v>
      </c>
      <c r="H65" s="53" t="str">
        <f>IF(Inicial!L65="SI",Inicial!H65,"N/A")</f>
        <v>N/A</v>
      </c>
      <c r="I65" s="55" t="str">
        <f>IF(Inicial!L65="SI",Inicial!I65,"N/A")</f>
        <v>N/A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3" t="str" cm="1">
        <f t="array" ref="AF65">IF(OR(M65:AE65="NO"),"No aceptable","Aceptable")</f>
        <v>Aceptable</v>
      </c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4" t="str" cm="1">
        <f t="array" ref="BC65">IF(OR(AJ65:BB65="SI"),"Critico","No Critico")</f>
        <v>No Critico</v>
      </c>
    </row>
    <row r="66" spans="1:55" ht="25.5">
      <c r="A66" s="52">
        <f>Inicial!A66</f>
        <v>64</v>
      </c>
      <c r="B66" s="53" t="str">
        <f>Inicial!B66</f>
        <v>Desposte</v>
      </c>
      <c r="C66" s="53" t="str">
        <f>Inicial!C66</f>
        <v>Operador Línea paleta</v>
      </c>
      <c r="D66" s="54" t="str">
        <f>Inicial!D66</f>
        <v>Separación de Vetado</v>
      </c>
      <c r="E66" s="52" t="str">
        <f>IF(Inicial!L66="SI",Inicial!E66,"N/A")</f>
        <v>N/A</v>
      </c>
      <c r="F66" s="53" t="str">
        <f>IF(Inicial!L66="SI",Inicial!F66,"N/A")</f>
        <v>N/A</v>
      </c>
      <c r="G66" s="53" t="str">
        <f>IF(Inicial!L66="SI",Inicial!G66,"N/A")</f>
        <v>N/A</v>
      </c>
      <c r="H66" s="53" t="str">
        <f>IF(Inicial!L66="SI",Inicial!H66,"N/A")</f>
        <v>N/A</v>
      </c>
      <c r="I66" s="55" t="str">
        <f>IF(Inicial!L66="SI",Inicial!I66,"N/A")</f>
        <v>N/A</v>
      </c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3" t="str" cm="1">
        <f t="array" ref="AF66">IF(OR(M66:AE66="NO"),"No aceptable","Aceptable")</f>
        <v>Aceptable</v>
      </c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4" t="str" cm="1">
        <f t="array" ref="BC66">IF(OR(AJ66:BB66="SI"),"Critico","No Critico")</f>
        <v>No Critico</v>
      </c>
    </row>
    <row r="67" spans="1:55" ht="25.5">
      <c r="A67" s="52">
        <f>Inicial!A67</f>
        <v>65</v>
      </c>
      <c r="B67" s="53" t="str">
        <f>Inicial!B67</f>
        <v>Desposte</v>
      </c>
      <c r="C67" s="53" t="str">
        <f>Inicial!C67</f>
        <v>Operador Línea paleta</v>
      </c>
      <c r="D67" s="54" t="str">
        <f>Inicial!D67</f>
        <v>Segrega Producto</v>
      </c>
      <c r="E67" s="52" t="str">
        <f>IF(Inicial!L67="SI",Inicial!E67,"N/A")</f>
        <v>N/A</v>
      </c>
      <c r="F67" s="53" t="str">
        <f>IF(Inicial!L67="SI",Inicial!F67,"N/A")</f>
        <v>N/A</v>
      </c>
      <c r="G67" s="53" t="str">
        <f>IF(Inicial!L67="SI",Inicial!G67,"N/A")</f>
        <v>N/A</v>
      </c>
      <c r="H67" s="53" t="str">
        <f>IF(Inicial!L67="SI",Inicial!H67,"N/A")</f>
        <v>N/A</v>
      </c>
      <c r="I67" s="55" t="str">
        <f>IF(Inicial!L67="SI",Inicial!I67,"N/A")</f>
        <v>N/A</v>
      </c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3" t="str" cm="1">
        <f t="array" ref="AF67">IF(OR(M67:AE67="NO"),"No aceptable","Aceptable")</f>
        <v>Aceptable</v>
      </c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4" t="str" cm="1">
        <f t="array" ref="BC67">IF(OR(AJ67:BB67="SI"),"Critico","No Critico")</f>
        <v>No Critico</v>
      </c>
    </row>
    <row r="68" spans="1:55" ht="25.5">
      <c r="A68" s="52">
        <f>Inicial!A68</f>
        <v>66</v>
      </c>
      <c r="B68" s="53" t="str">
        <f>Inicial!B68</f>
        <v>Desposte</v>
      </c>
      <c r="C68" s="53" t="str">
        <f>Inicial!C68</f>
        <v>Operador Línea paleta</v>
      </c>
      <c r="D68" s="54" t="str">
        <f>Inicial!D68</f>
        <v>Papada</v>
      </c>
      <c r="E68" s="52" t="str">
        <f>IF(Inicial!L68="SI",Inicial!E68,"N/A")</f>
        <v>N/A</v>
      </c>
      <c r="F68" s="53" t="str">
        <f>IF(Inicial!L68="SI",Inicial!F68,"N/A")</f>
        <v>N/A</v>
      </c>
      <c r="G68" s="53" t="str">
        <f>IF(Inicial!L68="SI",Inicial!G68,"N/A")</f>
        <v>N/A</v>
      </c>
      <c r="H68" s="53" t="str">
        <f>IF(Inicial!L68="SI",Inicial!H68,"N/A")</f>
        <v>N/A</v>
      </c>
      <c r="I68" s="55" t="str">
        <f>IF(Inicial!L68="SI",Inicial!I68,"N/A")</f>
        <v>N/A</v>
      </c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3" t="str" cm="1">
        <f t="array" ref="AF68">IF(OR(M68:AE68="NO"),"No aceptable","Aceptable")</f>
        <v>Aceptable</v>
      </c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4" t="str" cm="1">
        <f t="array" ref="BC68">IF(OR(AJ68:BB68="SI"),"Critico","No Critico")</f>
        <v>No Critico</v>
      </c>
    </row>
    <row r="69" spans="1:55" ht="25.5">
      <c r="A69" s="52">
        <f>Inicial!A69</f>
        <v>67</v>
      </c>
      <c r="B69" s="53" t="str">
        <f>Inicial!B69</f>
        <v>Desposte</v>
      </c>
      <c r="C69" s="53" t="str">
        <f>Inicial!C69</f>
        <v>Operador Línea paleta</v>
      </c>
      <c r="D69" s="54" t="str">
        <f>Inicial!D69</f>
        <v>Forrero</v>
      </c>
      <c r="E69" s="52" t="str">
        <f>IF(Inicial!L69="SI",Inicial!E69,"N/A")</f>
        <v>N/A</v>
      </c>
      <c r="F69" s="53" t="str">
        <f>IF(Inicial!L69="SI",Inicial!F69,"N/A")</f>
        <v>N/A</v>
      </c>
      <c r="G69" s="53" t="str">
        <f>IF(Inicial!L69="SI",Inicial!G69,"N/A")</f>
        <v>N/A</v>
      </c>
      <c r="H69" s="53" t="str">
        <f>IF(Inicial!L69="SI",Inicial!H69,"N/A")</f>
        <v>N/A</v>
      </c>
      <c r="I69" s="55" t="str">
        <f>IF(Inicial!L69="SI",Inicial!I69,"N/A")</f>
        <v>N/A</v>
      </c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3" t="str" cm="1">
        <f t="array" ref="AF69">IF(OR(M69:AE69="NO"),"No aceptable","Aceptable")</f>
        <v>Aceptable</v>
      </c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4" t="str" cm="1">
        <f t="array" ref="BC69">IF(OR(AJ69:BB69="SI"),"Critico","No Critico")</f>
        <v>No Critico</v>
      </c>
    </row>
    <row r="70" spans="1:55" ht="25.5">
      <c r="A70" s="52">
        <f>Inicial!A70</f>
        <v>68</v>
      </c>
      <c r="B70" s="53" t="str">
        <f>Inicial!B70</f>
        <v>Desposte</v>
      </c>
      <c r="C70" s="53" t="str">
        <f>Inicial!C70</f>
        <v>Operador Línea paleta</v>
      </c>
      <c r="D70" s="54" t="str">
        <f>Inicial!D70</f>
        <v>Rayado</v>
      </c>
      <c r="E70" s="52" t="str">
        <f>IF(Inicial!L70="SI",Inicial!E70,"N/A")</f>
        <v>N/A</v>
      </c>
      <c r="F70" s="53" t="str">
        <f>IF(Inicial!L70="SI",Inicial!F70,"N/A")</f>
        <v>N/A</v>
      </c>
      <c r="G70" s="53" t="str">
        <f>IF(Inicial!L70="SI",Inicial!G70,"N/A")</f>
        <v>N/A</v>
      </c>
      <c r="H70" s="53" t="str">
        <f>IF(Inicial!L70="SI",Inicial!H70,"N/A")</f>
        <v>N/A</v>
      </c>
      <c r="I70" s="55" t="str">
        <f>IF(Inicial!L70="SI",Inicial!I70,"N/A")</f>
        <v>N/A</v>
      </c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3" t="str" cm="1">
        <f t="array" ref="AF70">IF(OR(M70:AE70="NO"),"No aceptable","Aceptable")</f>
        <v>Aceptable</v>
      </c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4" t="str" cm="1">
        <f t="array" ref="BC70">IF(OR(AJ70:BB70="SI"),"Critico","No Critico")</f>
        <v>No Critico</v>
      </c>
    </row>
    <row r="71" spans="1:55" ht="25.5">
      <c r="A71" s="52">
        <f>Inicial!A71</f>
        <v>69</v>
      </c>
      <c r="B71" s="53" t="str">
        <f>Inicial!B71</f>
        <v>Desposte</v>
      </c>
      <c r="C71" s="53" t="str">
        <f>Inicial!C71</f>
        <v>Operador Línea paleta</v>
      </c>
      <c r="D71" s="54" t="str">
        <f>Inicial!D71</f>
        <v>Cortar Plateada</v>
      </c>
      <c r="E71" s="52" t="str">
        <f>IF(Inicial!L71="SI",Inicial!E71,"N/A")</f>
        <v>N/A</v>
      </c>
      <c r="F71" s="53" t="str">
        <f>IF(Inicial!L71="SI",Inicial!F71,"N/A")</f>
        <v>N/A</v>
      </c>
      <c r="G71" s="53" t="str">
        <f>IF(Inicial!L71="SI",Inicial!G71,"N/A")</f>
        <v>N/A</v>
      </c>
      <c r="H71" s="53" t="str">
        <f>IF(Inicial!L71="SI",Inicial!H71,"N/A")</f>
        <v>N/A</v>
      </c>
      <c r="I71" s="55" t="str">
        <f>IF(Inicial!L71="SI",Inicial!I71,"N/A")</f>
        <v>N/A</v>
      </c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3" t="str" cm="1">
        <f t="array" ref="AF71">IF(OR(M71:AE71="NO"),"No aceptable","Aceptable")</f>
        <v>Aceptable</v>
      </c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4" t="str" cm="1">
        <f t="array" ref="BC71">IF(OR(AJ71:BB71="SI"),"Critico","No Critico")</f>
        <v>No Critico</v>
      </c>
    </row>
    <row r="72" spans="1:55" ht="25.5">
      <c r="A72" s="52">
        <f>Inicial!A72</f>
        <v>70</v>
      </c>
      <c r="B72" s="53" t="str">
        <f>Inicial!B72</f>
        <v>Desposte</v>
      </c>
      <c r="C72" s="53" t="str">
        <f>Inicial!C72</f>
        <v>Operador Línea paleta</v>
      </c>
      <c r="D72" s="54" t="str">
        <f>Inicial!D72</f>
        <v>Pistola Escapula</v>
      </c>
      <c r="E72" s="52" t="str">
        <f>IF(Inicial!L72="SI",Inicial!E72,"N/A")</f>
        <v>N/A</v>
      </c>
      <c r="F72" s="53" t="str">
        <f>IF(Inicial!L72="SI",Inicial!F72,"N/A")</f>
        <v>N/A</v>
      </c>
      <c r="G72" s="53" t="str">
        <f>IF(Inicial!L72="SI",Inicial!G72,"N/A")</f>
        <v>N/A</v>
      </c>
      <c r="H72" s="53" t="str">
        <f>IF(Inicial!L72="SI",Inicial!H72,"N/A")</f>
        <v>N/A</v>
      </c>
      <c r="I72" s="55" t="str">
        <f>IF(Inicial!L72="SI",Inicial!I72,"N/A")</f>
        <v>N/A</v>
      </c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3" t="str" cm="1">
        <f t="array" ref="AF72">IF(OR(M72:AE72="NO"),"No aceptable","Aceptable")</f>
        <v>Aceptable</v>
      </c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4" t="str" cm="1">
        <f t="array" ref="BC72">IF(OR(AJ72:BB72="SI"),"Critico","No Critico")</f>
        <v>No Critico</v>
      </c>
    </row>
    <row r="73" spans="1:55" ht="25.5">
      <c r="A73" s="52">
        <f>Inicial!A73</f>
        <v>71</v>
      </c>
      <c r="B73" s="53" t="str">
        <f>Inicial!B73</f>
        <v>Desposte</v>
      </c>
      <c r="C73" s="53" t="str">
        <f>Inicial!C73</f>
        <v>Operador Línea paleta</v>
      </c>
      <c r="D73" s="54" t="str">
        <f>Inicial!D73</f>
        <v>Deshuesado Escapula</v>
      </c>
      <c r="E73" s="52" t="str">
        <f>IF(Inicial!L73="SI",Inicial!E73,"N/A")</f>
        <v>06:30 14:50 / 17:30 a 02:50</v>
      </c>
      <c r="F73" s="53">
        <f>IF(Inicial!L73="SI",Inicial!F73,"N/A")</f>
        <v>1</v>
      </c>
      <c r="G73" s="53">
        <f>IF(Inicial!L73="SI",Inicial!G73,"N/A")</f>
        <v>6</v>
      </c>
      <c r="H73" s="53">
        <f>IF(Inicial!L73="SI",Inicial!H73,"N/A")</f>
        <v>32</v>
      </c>
      <c r="I73" s="55">
        <f>IF(Inicial!L73="SI",Inicial!I73,"N/A")</f>
        <v>0</v>
      </c>
      <c r="J73" s="102" t="s">
        <v>64</v>
      </c>
      <c r="K73" s="102" t="s">
        <v>63</v>
      </c>
      <c r="L73" s="102" t="s">
        <v>63</v>
      </c>
      <c r="M73" s="102" t="s">
        <v>63</v>
      </c>
      <c r="N73" s="102" t="s">
        <v>64</v>
      </c>
      <c r="O73" s="102" t="s">
        <v>63</v>
      </c>
      <c r="P73" s="102" t="s">
        <v>63</v>
      </c>
      <c r="Q73" s="102" t="s">
        <v>64</v>
      </c>
      <c r="R73" s="102" t="s">
        <v>64</v>
      </c>
      <c r="S73" s="102" t="s">
        <v>63</v>
      </c>
      <c r="T73" s="102" t="s">
        <v>63</v>
      </c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3" t="str" cm="1">
        <f t="array" ref="AF73">IF(OR(AD73:AE73="NO"),"No aceptable","Aceptable")</f>
        <v>Aceptable</v>
      </c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4" t="str" cm="1">
        <f t="array" ref="BC73">IF(OR(AJ73:BB73="SI"),"Critico","No Critico")</f>
        <v>No Critico</v>
      </c>
    </row>
    <row r="74" spans="1:55" ht="25.5">
      <c r="A74" s="52">
        <f>Inicial!A74</f>
        <v>72</v>
      </c>
      <c r="B74" s="53" t="str">
        <f>Inicial!B74</f>
        <v>Desposte</v>
      </c>
      <c r="C74" s="53" t="str">
        <f>Inicial!C74</f>
        <v>Operador Línea paleta</v>
      </c>
      <c r="D74" s="54" t="str">
        <f>Inicial!D74</f>
        <v>Deshuesado Humero</v>
      </c>
      <c r="E74" s="52" t="str">
        <f>IF(Inicial!L74="SI",Inicial!E74,"N/A")</f>
        <v>N/A</v>
      </c>
      <c r="F74" s="53" t="str">
        <f>IF(Inicial!L74="SI",Inicial!F74,"N/A")</f>
        <v>N/A</v>
      </c>
      <c r="G74" s="53" t="str">
        <f>IF(Inicial!L74="SI",Inicial!G74,"N/A")</f>
        <v>N/A</v>
      </c>
      <c r="H74" s="53" t="str">
        <f>IF(Inicial!L74="SI",Inicial!H74,"N/A")</f>
        <v>N/A</v>
      </c>
      <c r="I74" s="55" t="str">
        <f>IF(Inicial!L74="SI",Inicial!I74,"N/A")</f>
        <v>N/A</v>
      </c>
      <c r="AD74" s="102"/>
      <c r="AE74" s="102"/>
      <c r="AF74" s="103" t="str" cm="1">
        <f t="array" ref="AF74">IF(OR(M74:AE74="NO"),"No aceptable","Aceptable")</f>
        <v>Aceptable</v>
      </c>
      <c r="AG74" s="102" t="s">
        <v>64</v>
      </c>
      <c r="AH74" s="102" t="s">
        <v>64</v>
      </c>
      <c r="AI74" s="102" t="s">
        <v>64</v>
      </c>
      <c r="AJ74" s="102" t="s">
        <v>64</v>
      </c>
      <c r="AK74" s="102" t="s">
        <v>64</v>
      </c>
      <c r="AL74" s="102" t="s">
        <v>63</v>
      </c>
      <c r="AM74" s="102" t="s">
        <v>64</v>
      </c>
      <c r="AN74" s="102" t="s">
        <v>64</v>
      </c>
      <c r="AO74" s="102" t="s">
        <v>64</v>
      </c>
      <c r="AP74" s="102" t="s">
        <v>64</v>
      </c>
      <c r="AQ74" s="102" t="s">
        <v>64</v>
      </c>
      <c r="AR74" s="102" t="s">
        <v>64</v>
      </c>
      <c r="AS74" s="102" t="s">
        <v>64</v>
      </c>
      <c r="AT74" s="102" t="s">
        <v>64</v>
      </c>
      <c r="AU74" s="102" t="s">
        <v>64</v>
      </c>
      <c r="AV74" s="102" t="s">
        <v>64</v>
      </c>
      <c r="AW74" s="102" t="s">
        <v>64</v>
      </c>
      <c r="AX74" s="102" t="s">
        <v>64</v>
      </c>
      <c r="AY74" s="102" t="s">
        <v>64</v>
      </c>
      <c r="AZ74" s="102" t="s">
        <v>64</v>
      </c>
      <c r="BA74" s="102" t="s">
        <v>64</v>
      </c>
      <c r="BB74" s="102" t="s">
        <v>64</v>
      </c>
      <c r="BC74" s="104" t="str" cm="1">
        <f t="array" ref="BC74">IF(OR(AJ74:BB74="SI"),"Critico","No Critico")</f>
        <v>Critico</v>
      </c>
    </row>
    <row r="75" spans="1:55" ht="25.5">
      <c r="A75" s="52">
        <f>Inicial!A75</f>
        <v>73</v>
      </c>
      <c r="B75" s="53" t="str">
        <f>Inicial!B75</f>
        <v>Desposte</v>
      </c>
      <c r="C75" s="53" t="str">
        <f>Inicial!C75</f>
        <v>Operador Línea paleta</v>
      </c>
      <c r="D75" s="54" t="str">
        <f>Inicial!D75</f>
        <v>Embolsado</v>
      </c>
      <c r="E75" s="52" t="str">
        <f>IF(Inicial!L75="SI",Inicial!E75,"N/A")</f>
        <v>N/A</v>
      </c>
      <c r="F75" s="53" t="str">
        <f>IF(Inicial!L75="SI",Inicial!F75,"N/A")</f>
        <v>N/A</v>
      </c>
      <c r="G75" s="53" t="str">
        <f>IF(Inicial!L75="SI",Inicial!G75,"N/A")</f>
        <v>N/A</v>
      </c>
      <c r="H75" s="53" t="str">
        <f>IF(Inicial!L75="SI",Inicial!H75,"N/A")</f>
        <v>N/A</v>
      </c>
      <c r="I75" s="55" t="str">
        <f>IF(Inicial!L75="SI",Inicial!I75,"N/A")</f>
        <v>N/A</v>
      </c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3" t="str" cm="1">
        <f t="array" ref="AF75">IF(OR(M75:AE75="NO"),"No aceptable","Aceptable")</f>
        <v>Aceptable</v>
      </c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4" t="str" cm="1">
        <f t="array" ref="BC75">IF(OR(AJ75:BB75="SI"),"Critico","No Critico")</f>
        <v>No Critico</v>
      </c>
    </row>
    <row r="76" spans="1:55" ht="25.5">
      <c r="A76" s="52">
        <f>Inicial!A76</f>
        <v>74</v>
      </c>
      <c r="B76" s="53" t="str">
        <f>Inicial!B76</f>
        <v>Desposte</v>
      </c>
      <c r="C76" s="53" t="str">
        <f>Inicial!C76</f>
        <v>Operador Línea paleta</v>
      </c>
      <c r="D76" s="54" t="str">
        <f>Inicial!D76</f>
        <v>Prolijado</v>
      </c>
      <c r="E76" s="52" t="str">
        <f>IF(Inicial!L76="SI",Inicial!E76,"N/A")</f>
        <v>N/A</v>
      </c>
      <c r="F76" s="53" t="str">
        <f>IF(Inicial!L76="SI",Inicial!F76,"N/A")</f>
        <v>N/A</v>
      </c>
      <c r="G76" s="53" t="str">
        <f>IF(Inicial!L76="SI",Inicial!G76,"N/A")</f>
        <v>N/A</v>
      </c>
      <c r="H76" s="53" t="str">
        <f>IF(Inicial!L76="SI",Inicial!H76,"N/A")</f>
        <v>N/A</v>
      </c>
      <c r="I76" s="55" t="str">
        <f>IF(Inicial!L76="SI",Inicial!I76,"N/A")</f>
        <v>N/A</v>
      </c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3" t="str" cm="1">
        <f t="array" ref="AF76">IF(OR(M76:AE76="NO"),"No aceptable","Aceptable")</f>
        <v>Aceptable</v>
      </c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4" t="str" cm="1">
        <f t="array" ref="BC76">IF(OR(AJ76:BB76="SI"),"Critico","No Critico")</f>
        <v>No Critico</v>
      </c>
    </row>
    <row r="77" spans="1:55" ht="25.5">
      <c r="A77" s="52">
        <f>Inicial!A77</f>
        <v>75</v>
      </c>
      <c r="B77" s="53" t="str">
        <f>Inicial!B77</f>
        <v>Desposte</v>
      </c>
      <c r="C77" s="53" t="str">
        <f>Inicial!C77</f>
        <v>Operador LíneaVetado</v>
      </c>
      <c r="D77" s="54" t="str">
        <f>Inicial!D77</f>
        <v xml:space="preserve">Abastecer máquina </v>
      </c>
      <c r="E77" s="52" t="str">
        <f>IF(Inicial!L77="SI",Inicial!E77,"N/A")</f>
        <v>N/A</v>
      </c>
      <c r="F77" s="53" t="str">
        <f>IF(Inicial!L77="SI",Inicial!F77,"N/A")</f>
        <v>N/A</v>
      </c>
      <c r="G77" s="53" t="str">
        <f>IF(Inicial!L77="SI",Inicial!G77,"N/A")</f>
        <v>N/A</v>
      </c>
      <c r="H77" s="53" t="str">
        <f>IF(Inicial!L77="SI",Inicial!H77,"N/A")</f>
        <v>N/A</v>
      </c>
      <c r="I77" s="55" t="str">
        <f>IF(Inicial!L77="SI",Inicial!I77,"N/A")</f>
        <v>N/A</v>
      </c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3" t="str" cm="1">
        <f t="array" ref="AF77">IF(OR(M77:AE77="NO"),"No aceptable","Aceptable")</f>
        <v>Aceptable</v>
      </c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4" t="str" cm="1">
        <f t="array" ref="BC77">IF(OR(AJ77:BB77="SI"),"Critico","No Critico")</f>
        <v>No Critico</v>
      </c>
    </row>
    <row r="78" spans="1:55" ht="25.5">
      <c r="A78" s="52">
        <f>Inicial!A78</f>
        <v>76</v>
      </c>
      <c r="B78" s="53" t="str">
        <f>Inicial!B78</f>
        <v>Desposte</v>
      </c>
      <c r="C78" s="53" t="str">
        <f>Inicial!C78</f>
        <v>Operador LíneaVetado</v>
      </c>
      <c r="D78" s="54" t="str">
        <f>Inicial!D78</f>
        <v>Punta Costilla</v>
      </c>
      <c r="E78" s="52" t="str">
        <f>IF(Inicial!L78="SI",Inicial!E78,"N/A")</f>
        <v>N/A</v>
      </c>
      <c r="F78" s="53" t="str">
        <f>IF(Inicial!L78="SI",Inicial!F78,"N/A")</f>
        <v>N/A</v>
      </c>
      <c r="G78" s="53" t="str">
        <f>IF(Inicial!L78="SI",Inicial!G78,"N/A")</f>
        <v>N/A</v>
      </c>
      <c r="H78" s="53" t="str">
        <f>IF(Inicial!L78="SI",Inicial!H78,"N/A")</f>
        <v>N/A</v>
      </c>
      <c r="I78" s="55" t="str">
        <f>IF(Inicial!L78="SI",Inicial!I78,"N/A")</f>
        <v>N/A</v>
      </c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3" t="str" cm="1">
        <f t="array" ref="AF78">IF(OR(M78:AE78="NO"),"No aceptable","Aceptable")</f>
        <v>Aceptable</v>
      </c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4" t="str" cm="1">
        <f t="array" ref="BC78">IF(OR(AJ78:BB78="SI"),"Critico","No Critico")</f>
        <v>No Critico</v>
      </c>
    </row>
    <row r="79" spans="1:55" ht="25.5">
      <c r="A79" s="52">
        <f>Inicial!A79</f>
        <v>77</v>
      </c>
      <c r="B79" s="53" t="str">
        <f>Inicial!B79</f>
        <v>Desposte</v>
      </c>
      <c r="C79" s="53" t="str">
        <f>Inicial!C79</f>
        <v>Operador LíneaVetado</v>
      </c>
      <c r="D79" s="54" t="str">
        <f>Inicial!D79</f>
        <v xml:space="preserve">Hueso Externón </v>
      </c>
      <c r="E79" s="52" t="str">
        <f>IF(Inicial!L79="SI",Inicial!E79,"N/A")</f>
        <v>N/A</v>
      </c>
      <c r="F79" s="53" t="str">
        <f>IF(Inicial!L79="SI",Inicial!F79,"N/A")</f>
        <v>N/A</v>
      </c>
      <c r="G79" s="53" t="str">
        <f>IF(Inicial!L79="SI",Inicial!G79,"N/A")</f>
        <v>N/A</v>
      </c>
      <c r="H79" s="53" t="str">
        <f>IF(Inicial!L79="SI",Inicial!H79,"N/A")</f>
        <v>N/A</v>
      </c>
      <c r="I79" s="55" t="str">
        <f>IF(Inicial!L79="SI",Inicial!I79,"N/A")</f>
        <v>N/A</v>
      </c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3" t="str" cm="1">
        <f t="array" ref="AF79">IF(OR(M79:AE79="NO"),"No aceptable","Aceptable")</f>
        <v>Aceptable</v>
      </c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4" t="str" cm="1">
        <f t="array" ref="BC79">IF(OR(AJ79:BB79="SI"),"Critico","No Critico")</f>
        <v>No Critico</v>
      </c>
    </row>
    <row r="80" spans="1:55" ht="25.5">
      <c r="A80" s="52">
        <f>Inicial!A80</f>
        <v>78</v>
      </c>
      <c r="B80" s="53" t="str">
        <f>Inicial!B80</f>
        <v>Desposte</v>
      </c>
      <c r="C80" s="53" t="str">
        <f>Inicial!C80</f>
        <v>Operador LíneaVetado</v>
      </c>
      <c r="D80" s="54" t="str">
        <f>Inicial!D80</f>
        <v>Costillita</v>
      </c>
      <c r="E80" s="52" t="str">
        <f>IF(Inicial!L80="SI",Inicial!E80,"N/A")</f>
        <v>N/A</v>
      </c>
      <c r="F80" s="53" t="str">
        <f>IF(Inicial!L80="SI",Inicial!F80,"N/A")</f>
        <v>N/A</v>
      </c>
      <c r="G80" s="53" t="str">
        <f>IF(Inicial!L80="SI",Inicial!G80,"N/A")</f>
        <v>N/A</v>
      </c>
      <c r="H80" s="53" t="str">
        <f>IF(Inicial!L80="SI",Inicial!H80,"N/A")</f>
        <v>N/A</v>
      </c>
      <c r="I80" s="55" t="str">
        <f>IF(Inicial!L80="SI",Inicial!I80,"N/A")</f>
        <v>N/A</v>
      </c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3" t="str" cm="1">
        <f t="array" ref="AF80">IF(OR(M80:AE80="NO"),"No aceptable","Aceptable")</f>
        <v>Aceptable</v>
      </c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4" t="str" cm="1">
        <f t="array" ref="BC80">IF(OR(AJ80:BB80="SI"),"Critico","No Critico")</f>
        <v>No Critico</v>
      </c>
    </row>
    <row r="81" spans="1:55" ht="25.5">
      <c r="A81" s="52">
        <f>Inicial!A81</f>
        <v>79</v>
      </c>
      <c r="B81" s="53" t="str">
        <f>Inicial!B81</f>
        <v>Desposte</v>
      </c>
      <c r="C81" s="53" t="str">
        <f>Inicial!C81</f>
        <v>Operador LíneaVetado</v>
      </c>
      <c r="D81" s="54" t="str">
        <f>Inicial!D81</f>
        <v>Prolijado de Papada</v>
      </c>
      <c r="E81" s="52" t="str">
        <f>IF(Inicial!L81="SI",Inicial!E81,"N/A")</f>
        <v>N/A</v>
      </c>
      <c r="F81" s="53" t="str">
        <f>IF(Inicial!L81="SI",Inicial!F81,"N/A")</f>
        <v>N/A</v>
      </c>
      <c r="G81" s="53" t="str">
        <f>IF(Inicial!L81="SI",Inicial!G81,"N/A")</f>
        <v>N/A</v>
      </c>
      <c r="H81" s="53" t="str">
        <f>IF(Inicial!L81="SI",Inicial!H81,"N/A")</f>
        <v>N/A</v>
      </c>
      <c r="I81" s="55" t="str">
        <f>IF(Inicial!L81="SI",Inicial!I81,"N/A")</f>
        <v>N/A</v>
      </c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3" t="str" cm="1">
        <f t="array" ref="AF81">IF(OR(M81:AE81="NO"),"No aceptable","Aceptable")</f>
        <v>Aceptable</v>
      </c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4" t="str" cm="1">
        <f t="array" ref="BC81">IF(OR(AJ81:BB81="SI"),"Critico","No Critico")</f>
        <v>No Critico</v>
      </c>
    </row>
    <row r="82" spans="1:55" ht="25.5">
      <c r="A82" s="52">
        <f>Inicial!A82</f>
        <v>80</v>
      </c>
      <c r="B82" s="53" t="str">
        <f>Inicial!B82</f>
        <v>Desposte</v>
      </c>
      <c r="C82" s="53" t="str">
        <f>Inicial!C82</f>
        <v>Operador LíneaVetado</v>
      </c>
      <c r="D82" s="54" t="str">
        <f>Inicial!D82</f>
        <v>Ganglios</v>
      </c>
      <c r="E82" s="52" t="str">
        <f>IF(Inicial!L82="SI",Inicial!E82,"N/A")</f>
        <v>N/A</v>
      </c>
      <c r="F82" s="53" t="str">
        <f>IF(Inicial!L82="SI",Inicial!F82,"N/A")</f>
        <v>N/A</v>
      </c>
      <c r="G82" s="53" t="str">
        <f>IF(Inicial!L82="SI",Inicial!G82,"N/A")</f>
        <v>N/A</v>
      </c>
      <c r="H82" s="53" t="str">
        <f>IF(Inicial!L82="SI",Inicial!H82,"N/A")</f>
        <v>N/A</v>
      </c>
      <c r="I82" s="55" t="str">
        <f>IF(Inicial!L82="SI",Inicial!I82,"N/A")</f>
        <v>N/A</v>
      </c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3" t="str" cm="1">
        <f t="array" ref="AF82">IF(OR(M82:AE82="NO"),"No aceptable","Aceptable")</f>
        <v>Aceptable</v>
      </c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4" t="str" cm="1">
        <f t="array" ref="BC82">IF(OR(AJ82:BB82="SI"),"Critico","No Critico")</f>
        <v>No Critico</v>
      </c>
    </row>
    <row r="83" spans="1:55" ht="25.5">
      <c r="A83" s="52">
        <f>Inicial!A83</f>
        <v>81</v>
      </c>
      <c r="B83" s="53" t="str">
        <f>Inicial!B83</f>
        <v>Desposte</v>
      </c>
      <c r="C83" s="53" t="str">
        <f>Inicial!C83</f>
        <v>Operador LíneaVetado</v>
      </c>
      <c r="D83" s="54" t="str">
        <f>Inicial!D83</f>
        <v>Deshuesado de Chuleta</v>
      </c>
      <c r="E83" s="52" t="str">
        <f>IF(Inicial!L83="SI",Inicial!E83,"N/A")</f>
        <v>N/A</v>
      </c>
      <c r="F83" s="53" t="str">
        <f>IF(Inicial!L83="SI",Inicial!F83,"N/A")</f>
        <v>N/A</v>
      </c>
      <c r="G83" s="53" t="str">
        <f>IF(Inicial!L83="SI",Inicial!G83,"N/A")</f>
        <v>N/A</v>
      </c>
      <c r="H83" s="53" t="str">
        <f>IF(Inicial!L83="SI",Inicial!H83,"N/A")</f>
        <v>N/A</v>
      </c>
      <c r="I83" s="55" t="str">
        <f>IF(Inicial!L83="SI",Inicial!I83,"N/A")</f>
        <v>N/A</v>
      </c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3" t="str" cm="1">
        <f t="array" ref="AF83">IF(OR(M83:AE83="NO"),"No aceptable","Aceptable")</f>
        <v>Aceptable</v>
      </c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4" t="str" cm="1">
        <f t="array" ref="BC83">IF(OR(AJ83:BB83="SI"),"Critico","No Critico")</f>
        <v>No Critico</v>
      </c>
    </row>
    <row r="84" spans="1:55" ht="25.5">
      <c r="A84" s="52">
        <f>Inicial!A84</f>
        <v>82</v>
      </c>
      <c r="B84" s="53" t="str">
        <f>Inicial!B84</f>
        <v>Desposte</v>
      </c>
      <c r="C84" s="53" t="str">
        <f>Inicial!C84</f>
        <v>Operador LíneaVetado</v>
      </c>
      <c r="D84" s="54" t="str">
        <f>Inicial!D84</f>
        <v>Embalado de hueso</v>
      </c>
      <c r="E84" s="52" t="str">
        <f>IF(Inicial!L84="SI",Inicial!E84,"N/A")</f>
        <v>N/A</v>
      </c>
      <c r="F84" s="53" t="str">
        <f>IF(Inicial!L84="SI",Inicial!F84,"N/A")</f>
        <v>N/A</v>
      </c>
      <c r="G84" s="53" t="str">
        <f>IF(Inicial!L84="SI",Inicial!G84,"N/A")</f>
        <v>N/A</v>
      </c>
      <c r="H84" s="53" t="str">
        <f>IF(Inicial!L84="SI",Inicial!H84,"N/A")</f>
        <v>N/A</v>
      </c>
      <c r="I84" s="55" t="str">
        <f>IF(Inicial!L84="SI",Inicial!I84,"N/A")</f>
        <v>N/A</v>
      </c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3" t="str" cm="1">
        <f t="array" ref="AF84">IF(OR(M84:AE84="NO"),"No aceptable","Aceptable")</f>
        <v>Aceptable</v>
      </c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4" t="str" cm="1">
        <f t="array" ref="BC84">IF(OR(AJ84:BB84="SI"),"Critico","No Critico")</f>
        <v>No Critico</v>
      </c>
    </row>
    <row r="85" spans="1:55" ht="25.5">
      <c r="A85" s="52">
        <f>Inicial!A85</f>
        <v>83</v>
      </c>
      <c r="B85" s="53" t="str">
        <f>Inicial!B85</f>
        <v>Desposte</v>
      </c>
      <c r="C85" s="53" t="str">
        <f>Inicial!C85</f>
        <v>Operador LíneaVetado</v>
      </c>
      <c r="D85" s="54" t="str">
        <f>Inicial!D85</f>
        <v xml:space="preserve">extracción Cinta de Despunte </v>
      </c>
      <c r="E85" s="52" t="str">
        <f>IF(Inicial!L85="SI",Inicial!E85,"N/A")</f>
        <v>N/A</v>
      </c>
      <c r="F85" s="53" t="str">
        <f>IF(Inicial!L85="SI",Inicial!F85,"N/A")</f>
        <v>N/A</v>
      </c>
      <c r="G85" s="53" t="str">
        <f>IF(Inicial!L85="SI",Inicial!G85,"N/A")</f>
        <v>N/A</v>
      </c>
      <c r="H85" s="53" t="str">
        <f>IF(Inicial!L85="SI",Inicial!H85,"N/A")</f>
        <v>N/A</v>
      </c>
      <c r="I85" s="55" t="str">
        <f>IF(Inicial!L85="SI",Inicial!I85,"N/A")</f>
        <v>N/A</v>
      </c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3" t="str" cm="1">
        <f t="array" ref="AF85">IF(OR(M85:AE85="NO"),"No aceptable","Aceptable")</f>
        <v>Aceptable</v>
      </c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4" t="str" cm="1">
        <f t="array" ref="BC85">IF(OR(AJ85:BB85="SI"),"Critico","No Critico")</f>
        <v>No Critico</v>
      </c>
    </row>
    <row r="86" spans="1:55" ht="25.5">
      <c r="A86" s="52">
        <f>Inicial!A86</f>
        <v>84</v>
      </c>
      <c r="B86" s="53" t="str">
        <f>Inicial!B86</f>
        <v>Desposte</v>
      </c>
      <c r="C86" s="53" t="str">
        <f>Inicial!C86</f>
        <v>Operador LíneaVetado</v>
      </c>
      <c r="D86" s="54" t="str">
        <f>Inicial!D86</f>
        <v>Prolijado Cartilago Hueso</v>
      </c>
      <c r="E86" s="52" t="str">
        <f>IF(Inicial!L86="SI",Inicial!E86,"N/A")</f>
        <v>N/A</v>
      </c>
      <c r="F86" s="53" t="str">
        <f>IF(Inicial!L86="SI",Inicial!F86,"N/A")</f>
        <v>N/A</v>
      </c>
      <c r="G86" s="53" t="str">
        <f>IF(Inicial!L86="SI",Inicial!G86,"N/A")</f>
        <v>N/A</v>
      </c>
      <c r="H86" s="53" t="str">
        <f>IF(Inicial!L86="SI",Inicial!H86,"N/A")</f>
        <v>N/A</v>
      </c>
      <c r="I86" s="55" t="str">
        <f>IF(Inicial!L86="SI",Inicial!I86,"N/A")</f>
        <v>N/A</v>
      </c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3" t="str" cm="1">
        <f t="array" ref="AF86">IF(OR(M86:AE86="NO"),"No aceptable","Aceptable")</f>
        <v>Aceptable</v>
      </c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4" t="str" cm="1">
        <f t="array" ref="BC86">IF(OR(AJ86:BB86="SI"),"Critico","No Critico")</f>
        <v>No Critico</v>
      </c>
    </row>
    <row r="87" spans="1:55" ht="25.5">
      <c r="A87" s="52">
        <f>Inicial!A87</f>
        <v>85</v>
      </c>
      <c r="B87" s="53" t="str">
        <f>Inicial!B87</f>
        <v>Desposte</v>
      </c>
      <c r="C87" s="53" t="str">
        <f>Inicial!C87</f>
        <v>Operador LíneaVetado</v>
      </c>
      <c r="D87" s="54" t="str">
        <f>Inicial!D87</f>
        <v>Prolijado Carne Longaniza</v>
      </c>
      <c r="E87" s="52" t="str">
        <f>IF(Inicial!L87="SI",Inicial!E87,"N/A")</f>
        <v>N/A</v>
      </c>
      <c r="F87" s="53" t="str">
        <f>IF(Inicial!L87="SI",Inicial!F87,"N/A")</f>
        <v>N/A</v>
      </c>
      <c r="G87" s="53" t="str">
        <f>IF(Inicial!L87="SI",Inicial!G87,"N/A")</f>
        <v>N/A</v>
      </c>
      <c r="H87" s="53" t="str">
        <f>IF(Inicial!L87="SI",Inicial!H87,"N/A")</f>
        <v>N/A</v>
      </c>
      <c r="I87" s="55" t="str">
        <f>IF(Inicial!L87="SI",Inicial!I87,"N/A")</f>
        <v>N/A</v>
      </c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3" t="str" cm="1">
        <f t="array" ref="AF87">IF(OR(M87:AE87="NO"),"No aceptable","Aceptable")</f>
        <v>Aceptable</v>
      </c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4" t="str" cm="1">
        <f t="array" ref="BC87">IF(OR(AJ87:BB87="SI"),"Critico","No Critico")</f>
        <v>No Critico</v>
      </c>
    </row>
    <row r="88" spans="1:55" ht="25.5">
      <c r="A88" s="52">
        <f>Inicial!A88</f>
        <v>86</v>
      </c>
      <c r="B88" s="53" t="str">
        <f>Inicial!B88</f>
        <v>Desposte</v>
      </c>
      <c r="C88" s="53" t="str">
        <f>Inicial!C88</f>
        <v>Operador LíneaVetado</v>
      </c>
      <c r="D88" s="54" t="str">
        <f>Inicial!D88</f>
        <v xml:space="preserve">Prolijado Lomo Vetado </v>
      </c>
      <c r="E88" s="52" t="str">
        <f>IF(Inicial!L88="SI",Inicial!E88,"N/A")</f>
        <v>N/A</v>
      </c>
      <c r="F88" s="53" t="str">
        <f>IF(Inicial!L88="SI",Inicial!F88,"N/A")</f>
        <v>N/A</v>
      </c>
      <c r="G88" s="53" t="str">
        <f>IF(Inicial!L88="SI",Inicial!G88,"N/A")</f>
        <v>N/A</v>
      </c>
      <c r="H88" s="53" t="str">
        <f>IF(Inicial!L88="SI",Inicial!H88,"N/A")</f>
        <v>N/A</v>
      </c>
      <c r="I88" s="55" t="str">
        <f>IF(Inicial!L88="SI",Inicial!I88,"N/A")</f>
        <v>N/A</v>
      </c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 t="str" cm="1">
        <f t="array" ref="AF88">IF(OR(M88:AE88="NO"),"No aceptable","Aceptable")</f>
        <v>Aceptable</v>
      </c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4" t="str" cm="1">
        <f t="array" ref="BC88">IF(OR(AJ88:BB88="SI"),"Critico","No Critico")</f>
        <v>No Critico</v>
      </c>
    </row>
    <row r="89" spans="1:55" ht="25.5">
      <c r="A89" s="52">
        <f>Inicial!A89</f>
        <v>87</v>
      </c>
      <c r="B89" s="53" t="str">
        <f>Inicial!B89</f>
        <v>Desposte</v>
      </c>
      <c r="C89" s="53" t="str">
        <f>Inicial!C89</f>
        <v>Operador LíneaVetado</v>
      </c>
      <c r="D89" s="54" t="str">
        <f>Inicial!D89</f>
        <v>Calibrado</v>
      </c>
      <c r="E89" s="52" t="str">
        <f>IF(Inicial!L89="SI",Inicial!E89,"N/A")</f>
        <v>N/A</v>
      </c>
      <c r="F89" s="53" t="str">
        <f>IF(Inicial!L89="SI",Inicial!F89,"N/A")</f>
        <v>N/A</v>
      </c>
      <c r="G89" s="53" t="str">
        <f>IF(Inicial!L89="SI",Inicial!G89,"N/A")</f>
        <v>N/A</v>
      </c>
      <c r="H89" s="53" t="str">
        <f>IF(Inicial!L89="SI",Inicial!H89,"N/A")</f>
        <v>N/A</v>
      </c>
      <c r="I89" s="55" t="str">
        <f>IF(Inicial!L89="SI",Inicial!I89,"N/A")</f>
        <v>N/A</v>
      </c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3" t="str" cm="1">
        <f t="array" ref="AF89">IF(OR(M89:AE89="NO"),"No aceptable","Aceptable")</f>
        <v>Aceptable</v>
      </c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4" t="str" cm="1">
        <f t="array" ref="BC89">IF(OR(AJ89:BB89="SI"),"Critico","No Critico")</f>
        <v>No Critico</v>
      </c>
    </row>
    <row r="90" spans="1:55" ht="25.5">
      <c r="A90" s="52">
        <f>Inicial!A90</f>
        <v>88</v>
      </c>
      <c r="B90" s="53" t="str">
        <f>Inicial!B90</f>
        <v>Desposte</v>
      </c>
      <c r="C90" s="53" t="str">
        <f>Inicial!C90</f>
        <v>Operador Linea Piernas</v>
      </c>
      <c r="D90" s="54" t="str">
        <f>Inicial!D90</f>
        <v>Extraer Cola-Cazuela</v>
      </c>
      <c r="E90" s="52" t="str">
        <f>IF(Inicial!L90="SI",Inicial!E90,"N/A")</f>
        <v>N/A</v>
      </c>
      <c r="F90" s="53" t="str">
        <f>IF(Inicial!L90="SI",Inicial!F90,"N/A")</f>
        <v>N/A</v>
      </c>
      <c r="G90" s="53" t="str">
        <f>IF(Inicial!L90="SI",Inicial!G90,"N/A")</f>
        <v>N/A</v>
      </c>
      <c r="H90" s="53" t="str">
        <f>IF(Inicial!L90="SI",Inicial!H90,"N/A")</f>
        <v>N/A</v>
      </c>
      <c r="I90" s="55" t="str">
        <f>IF(Inicial!L90="SI",Inicial!I90,"N/A")</f>
        <v>N/A</v>
      </c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3" t="str" cm="1">
        <f t="array" ref="AF90">IF(OR(M90:AE90="NO"),"No aceptable","Aceptable")</f>
        <v>Aceptable</v>
      </c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4" t="str" cm="1">
        <f t="array" ref="BC90">IF(OR(AJ90:BB90="SI"),"Critico","No Critico")</f>
        <v>No Critico</v>
      </c>
    </row>
    <row r="91" spans="1:55" ht="25.5">
      <c r="A91" s="52">
        <f>Inicial!A91</f>
        <v>89</v>
      </c>
      <c r="B91" s="53" t="str">
        <f>Inicial!B91</f>
        <v>Desposte</v>
      </c>
      <c r="C91" s="53" t="str">
        <f>Inicial!C91</f>
        <v>Operador Linea Piernas</v>
      </c>
      <c r="D91" s="54" t="str">
        <f>Inicial!D91</f>
        <v>Exraer Pernil</v>
      </c>
      <c r="E91" s="52" t="str">
        <f>IF(Inicial!L91="SI",Inicial!E91,"N/A")</f>
        <v>N/A</v>
      </c>
      <c r="F91" s="53" t="str">
        <f>IF(Inicial!L91="SI",Inicial!F91,"N/A")</f>
        <v>N/A</v>
      </c>
      <c r="G91" s="53" t="str">
        <f>IF(Inicial!L91="SI",Inicial!G91,"N/A")</f>
        <v>N/A</v>
      </c>
      <c r="H91" s="53" t="str">
        <f>IF(Inicial!L91="SI",Inicial!H91,"N/A")</f>
        <v>N/A</v>
      </c>
      <c r="I91" s="55" t="str">
        <f>IF(Inicial!L91="SI",Inicial!I91,"N/A")</f>
        <v>N/A</v>
      </c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3" t="str" cm="1">
        <f t="array" ref="AF91">IF(OR(M91:AE91="NO"),"No aceptable","Aceptable")</f>
        <v>Aceptable</v>
      </c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4" t="str" cm="1">
        <f t="array" ref="BC91">IF(OR(AJ91:BB91="SI"),"Critico","No Critico")</f>
        <v>No Critico</v>
      </c>
    </row>
    <row r="92" spans="1:55" ht="25.5">
      <c r="A92" s="52">
        <f>Inicial!A92</f>
        <v>90</v>
      </c>
      <c r="B92" s="53" t="str">
        <f>Inicial!B92</f>
        <v>Desposte</v>
      </c>
      <c r="C92" s="53" t="str">
        <f>Inicial!C92</f>
        <v>Operador Linea Piernas</v>
      </c>
      <c r="D92" s="54" t="str">
        <f>Inicial!D92</f>
        <v xml:space="preserve">Evacuar Bandejas </v>
      </c>
      <c r="E92" s="52" t="str">
        <f>IF(Inicial!L92="SI",Inicial!E92,"N/A")</f>
        <v>N/A</v>
      </c>
      <c r="F92" s="53" t="str">
        <f>IF(Inicial!L92="SI",Inicial!F92,"N/A")</f>
        <v>N/A</v>
      </c>
      <c r="G92" s="53" t="str">
        <f>IF(Inicial!L92="SI",Inicial!G92,"N/A")</f>
        <v>N/A</v>
      </c>
      <c r="H92" s="53" t="str">
        <f>IF(Inicial!L92="SI",Inicial!H92,"N/A")</f>
        <v>N/A</v>
      </c>
      <c r="I92" s="55" t="str">
        <f>IF(Inicial!L92="SI",Inicial!I92,"N/A")</f>
        <v>N/A</v>
      </c>
      <c r="J92" s="102" t="s">
        <v>64</v>
      </c>
      <c r="K92" s="102" t="s">
        <v>63</v>
      </c>
      <c r="L92" s="102" t="s">
        <v>63</v>
      </c>
      <c r="M92" s="102" t="s">
        <v>63</v>
      </c>
      <c r="N92" s="102" t="s">
        <v>63</v>
      </c>
      <c r="O92" s="102" t="s">
        <v>63</v>
      </c>
      <c r="P92" s="102" t="s">
        <v>63</v>
      </c>
      <c r="Q92" s="102" t="s">
        <v>394</v>
      </c>
      <c r="R92" s="102" t="s">
        <v>394</v>
      </c>
      <c r="S92" s="102" t="s">
        <v>394</v>
      </c>
      <c r="T92" s="102" t="s">
        <v>394</v>
      </c>
      <c r="U92" s="102" t="s">
        <v>394</v>
      </c>
      <c r="V92" s="102" t="s">
        <v>394</v>
      </c>
      <c r="W92" s="102" t="s">
        <v>394</v>
      </c>
      <c r="X92" s="102" t="s">
        <v>394</v>
      </c>
      <c r="Y92" s="102" t="s">
        <v>64</v>
      </c>
      <c r="Z92" s="102" t="s">
        <v>63</v>
      </c>
      <c r="AA92" s="102" t="s">
        <v>63</v>
      </c>
      <c r="AB92" s="102" t="s">
        <v>63</v>
      </c>
      <c r="AC92" s="102" t="s">
        <v>63</v>
      </c>
      <c r="AD92" s="102" t="s">
        <v>63</v>
      </c>
      <c r="AE92" s="102" t="s">
        <v>63</v>
      </c>
      <c r="AF92" s="103" t="str" cm="1">
        <f t="array" ref="AF92">IF(OR(M92:AE92="NO"),"No aceptable","Aceptable")</f>
        <v>No aceptable</v>
      </c>
      <c r="AG92" s="102" t="s">
        <v>394</v>
      </c>
      <c r="AH92" s="102" t="s">
        <v>394</v>
      </c>
      <c r="AI92" s="102" t="s">
        <v>394</v>
      </c>
      <c r="AJ92" s="102" t="s">
        <v>394</v>
      </c>
      <c r="AK92" s="102" t="s">
        <v>394</v>
      </c>
      <c r="AL92" s="102" t="s">
        <v>394</v>
      </c>
      <c r="AM92" s="102" t="s">
        <v>394</v>
      </c>
      <c r="AN92" s="102" t="s">
        <v>394</v>
      </c>
      <c r="AO92" s="102" t="s">
        <v>394</v>
      </c>
      <c r="AP92" s="102" t="s">
        <v>394</v>
      </c>
      <c r="AQ92" s="102" t="s">
        <v>394</v>
      </c>
      <c r="AR92" s="102" t="s">
        <v>394</v>
      </c>
      <c r="AS92" s="102" t="s">
        <v>394</v>
      </c>
      <c r="AT92" s="102" t="s">
        <v>394</v>
      </c>
      <c r="AU92" s="102" t="s">
        <v>394</v>
      </c>
      <c r="AV92" s="102" t="s">
        <v>394</v>
      </c>
      <c r="AW92" s="102" t="s">
        <v>394</v>
      </c>
      <c r="AX92" s="102" t="s">
        <v>394</v>
      </c>
      <c r="AY92" s="102" t="s">
        <v>394</v>
      </c>
      <c r="AZ92" s="102" t="s">
        <v>394</v>
      </c>
      <c r="BA92" s="102" t="s">
        <v>394</v>
      </c>
      <c r="BB92" s="102" t="s">
        <v>394</v>
      </c>
      <c r="BC92" s="104" t="str" cm="1">
        <f t="array" ref="BC92">IF(OR(AJ92:BB92="SI"),"Critico","No Critico")</f>
        <v>No Critico</v>
      </c>
    </row>
    <row r="93" spans="1:55" ht="25.5">
      <c r="A93" s="52">
        <f>Inicial!A93</f>
        <v>91</v>
      </c>
      <c r="B93" s="53" t="str">
        <f>Inicial!B93</f>
        <v>Desposte</v>
      </c>
      <c r="C93" s="53" t="str">
        <f>Inicial!C93</f>
        <v>Operador Linea Piernas</v>
      </c>
      <c r="D93" s="54" t="str">
        <f>Inicial!D93</f>
        <v>Peladora Maja</v>
      </c>
      <c r="E93" s="52" t="str">
        <f>IF(Inicial!L93="SI",Inicial!E93,"N/A")</f>
        <v>N/A</v>
      </c>
      <c r="F93" s="53" t="str">
        <f>IF(Inicial!L93="SI",Inicial!F93,"N/A")</f>
        <v>N/A</v>
      </c>
      <c r="G93" s="53" t="str">
        <f>IF(Inicial!L93="SI",Inicial!G93,"N/A")</f>
        <v>N/A</v>
      </c>
      <c r="H93" s="53" t="str">
        <f>IF(Inicial!L93="SI",Inicial!H93,"N/A")</f>
        <v>N/A</v>
      </c>
      <c r="I93" s="55" t="str">
        <f>IF(Inicial!L93="SI",Inicial!I93,"N/A")</f>
        <v>N/A</v>
      </c>
      <c r="J93" s="95"/>
      <c r="AL93" s="95"/>
      <c r="AM93" s="95"/>
      <c r="AN93" s="95"/>
      <c r="AO93" s="95"/>
      <c r="AP93" s="95"/>
    </row>
    <row r="94" spans="1:55" ht="25.5">
      <c r="A94" s="52">
        <f>Inicial!A94</f>
        <v>92</v>
      </c>
      <c r="B94" s="53" t="str">
        <f>Inicial!B94</f>
        <v>Desposte</v>
      </c>
      <c r="C94" s="53" t="str">
        <f>Inicial!C94</f>
        <v>Operador Linea Piernas</v>
      </c>
      <c r="D94" s="54" t="str">
        <f>Inicial!D94</f>
        <v>Whizard</v>
      </c>
      <c r="E94" s="52" t="str">
        <f>IF(Inicial!L94="SI",Inicial!E94,"N/A")</f>
        <v>N/A</v>
      </c>
      <c r="F94" s="53" t="str">
        <f>IF(Inicial!L94="SI",Inicial!F94,"N/A")</f>
        <v>N/A</v>
      </c>
      <c r="G94" s="53" t="str">
        <f>IF(Inicial!L94="SI",Inicial!G94,"N/A")</f>
        <v>N/A</v>
      </c>
      <c r="H94" s="53" t="str">
        <f>IF(Inicial!L94="SI",Inicial!H94,"N/A")</f>
        <v>N/A</v>
      </c>
      <c r="I94" s="55" t="str">
        <f>IF(Inicial!L94="SI",Inicial!I94,"N/A")</f>
        <v>N/A</v>
      </c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3" t="str" cm="1">
        <f t="array" ref="AF94">IF(OR(M94:AE94="NO"),"No aceptable","Aceptable")</f>
        <v>Aceptable</v>
      </c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4" t="str" cm="1">
        <f t="array" ref="BC94">IF(OR(AJ94:BB94="SI"),"Critico","No Critico")</f>
        <v>No Critico</v>
      </c>
    </row>
    <row r="95" spans="1:55" ht="25.5">
      <c r="A95" s="52">
        <f>Inicial!A95</f>
        <v>93</v>
      </c>
      <c r="B95" s="53" t="str">
        <f>Inicial!B95</f>
        <v>Desposte</v>
      </c>
      <c r="C95" s="53" t="str">
        <f>Inicial!C95</f>
        <v>Operador Linea Piernas</v>
      </c>
      <c r="D95" s="54" t="str">
        <f>Inicial!D95</f>
        <v>Deshuesado Coxal</v>
      </c>
      <c r="E95" s="52" t="str">
        <f>IF(Inicial!L95="SI",Inicial!E95,"N/A")</f>
        <v>N/A</v>
      </c>
      <c r="F95" s="53" t="str">
        <f>IF(Inicial!L95="SI",Inicial!F95,"N/A")</f>
        <v>N/A</v>
      </c>
      <c r="G95" s="53" t="str">
        <f>IF(Inicial!L95="SI",Inicial!G95,"N/A")</f>
        <v>N/A</v>
      </c>
      <c r="H95" s="53" t="str">
        <f>IF(Inicial!L95="SI",Inicial!H95,"N/A")</f>
        <v>N/A</v>
      </c>
      <c r="I95" s="55" t="str">
        <f>IF(Inicial!L95="SI",Inicial!I95,"N/A")</f>
        <v>N/A</v>
      </c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3" t="str" cm="1">
        <f t="array" ref="AF95">IF(OR(M95:AE95="NO"),"No aceptable","Aceptable")</f>
        <v>Aceptable</v>
      </c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4" t="str" cm="1">
        <f t="array" ref="BC95">IF(OR(AJ95:BB95="SI"),"Critico","No Critico")</f>
        <v>No Critico</v>
      </c>
    </row>
    <row r="96" spans="1:55" ht="25.5">
      <c r="A96" s="52">
        <f>Inicial!A96</f>
        <v>94</v>
      </c>
      <c r="B96" s="53" t="str">
        <f>Inicial!B96</f>
        <v>Desposte</v>
      </c>
      <c r="C96" s="53" t="str">
        <f>Inicial!C96</f>
        <v>Operador Linea Piernas</v>
      </c>
      <c r="D96" s="54" t="str">
        <f>Inicial!D96</f>
        <v xml:space="preserve">Deshuesadores Femur </v>
      </c>
      <c r="E96" s="52" t="str">
        <f>IF(Inicial!L96="SI",Inicial!E96,"N/A")</f>
        <v>N/A</v>
      </c>
      <c r="F96" s="53" t="str">
        <f>IF(Inicial!L96="SI",Inicial!F96,"N/A")</f>
        <v>N/A</v>
      </c>
      <c r="G96" s="53" t="str">
        <f>IF(Inicial!L96="SI",Inicial!G96,"N/A")</f>
        <v>N/A</v>
      </c>
      <c r="H96" s="53" t="str">
        <f>IF(Inicial!L96="SI",Inicial!H96,"N/A")</f>
        <v>N/A</v>
      </c>
      <c r="I96" s="55" t="str">
        <f>IF(Inicial!L96="SI",Inicial!I96,"N/A")</f>
        <v>N/A</v>
      </c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3" t="str" cm="1">
        <f t="array" ref="AF96">IF(OR(M96:AE96="NO"),"No aceptable","Aceptable")</f>
        <v>Aceptable</v>
      </c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4" t="str" cm="1">
        <f t="array" ref="BC96">IF(OR(AJ96:BB96="SI"),"Critico","No Critico")</f>
        <v>No Critico</v>
      </c>
    </row>
    <row r="97" spans="1:55" ht="25.5">
      <c r="A97" s="52">
        <f>Inicial!A97</f>
        <v>95</v>
      </c>
      <c r="B97" s="53" t="str">
        <f>Inicial!B97</f>
        <v>Desposte</v>
      </c>
      <c r="C97" s="53" t="str">
        <f>Inicial!C97</f>
        <v>Operador Linea Piernas</v>
      </c>
      <c r="D97" s="54" t="str">
        <f>Inicial!D97</f>
        <v>Prolijadores</v>
      </c>
      <c r="E97" s="52" t="str">
        <f>IF(Inicial!L97="SI",Inicial!E97,"N/A")</f>
        <v>N/A</v>
      </c>
      <c r="F97" s="53" t="str">
        <f>IF(Inicial!L97="SI",Inicial!F97,"N/A")</f>
        <v>N/A</v>
      </c>
      <c r="G97" s="53" t="str">
        <f>IF(Inicial!L97="SI",Inicial!G97,"N/A")</f>
        <v>N/A</v>
      </c>
      <c r="H97" s="53" t="str">
        <f>IF(Inicial!L97="SI",Inicial!H97,"N/A")</f>
        <v>N/A</v>
      </c>
      <c r="I97" s="55" t="str">
        <f>IF(Inicial!L97="SI",Inicial!I97,"N/A")</f>
        <v>N/A</v>
      </c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3" t="str" cm="1">
        <f t="array" ref="AF97">IF(OR(M97:AE97="NO"),"No aceptable","Aceptable")</f>
        <v>Aceptable</v>
      </c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4" t="str" cm="1">
        <f t="array" ref="BC97">IF(OR(AJ97:BB97="SI"),"Critico","No Critico")</f>
        <v>No Critico</v>
      </c>
    </row>
    <row r="98" spans="1:55" ht="25.5">
      <c r="A98" s="52">
        <f>Inicial!A98</f>
        <v>96</v>
      </c>
      <c r="B98" s="53" t="str">
        <f>Inicial!B98</f>
        <v>Desposte</v>
      </c>
      <c r="C98" s="53" t="str">
        <f>Inicial!C98</f>
        <v>Operador Linea Piernas</v>
      </c>
      <c r="D98" s="54" t="str">
        <f>Inicial!D98</f>
        <v xml:space="preserve">Calibrado </v>
      </c>
      <c r="E98" s="52" t="str">
        <f>IF(Inicial!L98="SI",Inicial!E98,"N/A")</f>
        <v>N/A</v>
      </c>
      <c r="F98" s="53" t="str">
        <f>IF(Inicial!L98="SI",Inicial!F98,"N/A")</f>
        <v>N/A</v>
      </c>
      <c r="G98" s="53" t="str">
        <f>IF(Inicial!L98="SI",Inicial!G98,"N/A")</f>
        <v>N/A</v>
      </c>
      <c r="H98" s="53" t="str">
        <f>IF(Inicial!L98="SI",Inicial!H98,"N/A")</f>
        <v>N/A</v>
      </c>
      <c r="I98" s="55" t="str">
        <f>IF(Inicial!L98="SI",Inicial!I98,"N/A")</f>
        <v>N/A</v>
      </c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3" t="str" cm="1">
        <f t="array" ref="AF98">IF(OR(M98:AE98="NO"),"No aceptable","Aceptable")</f>
        <v>Aceptable</v>
      </c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4" t="str" cm="1">
        <f t="array" ref="BC98">IF(OR(AJ98:BB98="SI"),"Critico","No Critico")</f>
        <v>No Critico</v>
      </c>
    </row>
    <row r="99" spans="1:55" ht="25.5">
      <c r="A99" s="52">
        <f>Inicial!A99</f>
        <v>97</v>
      </c>
      <c r="B99" s="53" t="str">
        <f>Inicial!B99</f>
        <v>Desposte</v>
      </c>
      <c r="C99" s="53" t="str">
        <f>Inicial!C99</f>
        <v>Operador Linea Piernas</v>
      </c>
      <c r="D99" s="54" t="str">
        <f>Inicial!D99</f>
        <v>Peladora Maja</v>
      </c>
      <c r="E99" s="52" t="str">
        <f>IF(Inicial!L99="SI",Inicial!E99,"N/A")</f>
        <v>N/A</v>
      </c>
      <c r="F99" s="53" t="str">
        <f>IF(Inicial!L99="SI",Inicial!F99,"N/A")</f>
        <v>N/A</v>
      </c>
      <c r="G99" s="53" t="str">
        <f>IF(Inicial!L99="SI",Inicial!G99,"N/A")</f>
        <v>N/A</v>
      </c>
      <c r="H99" s="53" t="str">
        <f>IF(Inicial!L99="SI",Inicial!H99,"N/A")</f>
        <v>N/A</v>
      </c>
      <c r="I99" s="55" t="str">
        <f>IF(Inicial!L99="SI",Inicial!I99,"N/A")</f>
        <v>N/A</v>
      </c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3" t="str" cm="1">
        <f t="array" ref="AF99">IF(OR(M99:AE99="NO"),"No aceptable","Aceptable")</f>
        <v>Aceptable</v>
      </c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4" t="str" cm="1">
        <f t="array" ref="BC99">IF(OR(AJ99:BB99="SI"),"Critico","No Critico")</f>
        <v>No Critico</v>
      </c>
    </row>
    <row r="100" spans="1:55" ht="25.5">
      <c r="A100" s="52">
        <f>Inicial!A100</f>
        <v>98</v>
      </c>
      <c r="B100" s="53" t="str">
        <f>Inicial!B100</f>
        <v>Desposte</v>
      </c>
      <c r="C100" s="53" t="str">
        <f>Inicial!C100</f>
        <v>Operador Linea Piernas</v>
      </c>
      <c r="D100" s="54" t="str">
        <f>Inicial!D100</f>
        <v>Abastecer Varivac</v>
      </c>
      <c r="E100" s="52" t="str">
        <f>IF(Inicial!L100="SI",Inicial!E100,"N/A")</f>
        <v>N/A</v>
      </c>
      <c r="F100" s="53" t="str">
        <f>IF(Inicial!L100="SI",Inicial!F100,"N/A")</f>
        <v>N/A</v>
      </c>
      <c r="G100" s="53" t="str">
        <f>IF(Inicial!L100="SI",Inicial!G100,"N/A")</f>
        <v>N/A</v>
      </c>
      <c r="H100" s="53" t="str">
        <f>IF(Inicial!L100="SI",Inicial!H100,"N/A")</f>
        <v>N/A</v>
      </c>
      <c r="I100" s="55" t="str">
        <f>IF(Inicial!L100="SI",Inicial!I100,"N/A")</f>
        <v>N/A</v>
      </c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3" t="str" cm="1">
        <f t="array" ref="AF100">IF(OR(M100:AE100="NO"),"No aceptable","Aceptable")</f>
        <v>Aceptable</v>
      </c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  <c r="BC100" s="104" t="str" cm="1">
        <f t="array" ref="BC100">IF(OR(AJ100:BB100="SI"),"Critico","No Critico")</f>
        <v>No Critico</v>
      </c>
    </row>
    <row r="101" spans="1:55" ht="25.5">
      <c r="A101" s="52">
        <f>Inicial!A101</f>
        <v>99</v>
      </c>
      <c r="B101" s="53" t="str">
        <f>Inicial!B101</f>
        <v>Desposte</v>
      </c>
      <c r="C101" s="53" t="str">
        <f>Inicial!C101</f>
        <v>Operador Linea Piernas</v>
      </c>
      <c r="D101" s="54" t="str">
        <f>Inicial!D101</f>
        <v>Recibir producto</v>
      </c>
      <c r="E101" s="52" t="str">
        <f>IF(Inicial!L101="SI",Inicial!E101,"N/A")</f>
        <v>N/A</v>
      </c>
      <c r="F101" s="53" t="str">
        <f>IF(Inicial!L101="SI",Inicial!F101,"N/A")</f>
        <v>N/A</v>
      </c>
      <c r="G101" s="53" t="str">
        <f>IF(Inicial!L101="SI",Inicial!G101,"N/A")</f>
        <v>N/A</v>
      </c>
      <c r="H101" s="53" t="str">
        <f>IF(Inicial!L101="SI",Inicial!H101,"N/A")</f>
        <v>N/A</v>
      </c>
      <c r="I101" s="55" t="str">
        <f>IF(Inicial!L101="SI",Inicial!I101,"N/A")</f>
        <v>N/A</v>
      </c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3" t="str" cm="1">
        <f t="array" ref="AF101">IF(OR(M101:AE101="NO"),"No aceptable","Aceptable")</f>
        <v>Aceptable</v>
      </c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4" t="str" cm="1">
        <f t="array" ref="BC101">IF(OR(AJ101:BB101="SI"),"Critico","No Critico")</f>
        <v>No Critico</v>
      </c>
    </row>
    <row r="102" spans="1:55" ht="25.5">
      <c r="A102" s="52">
        <f>Inicial!A102</f>
        <v>100</v>
      </c>
      <c r="B102" s="53" t="str">
        <f>Inicial!B102</f>
        <v>Desposte</v>
      </c>
      <c r="C102" s="53" t="str">
        <f>Inicial!C102</f>
        <v>Operador Linea Piernas</v>
      </c>
      <c r="D102" s="54" t="str">
        <f>Inicial!D102</f>
        <v>Pegar etiqueta</v>
      </c>
      <c r="E102" s="52" t="str">
        <f>IF(Inicial!L102="SI",Inicial!E102,"N/A")</f>
        <v>N/A</v>
      </c>
      <c r="F102" s="53" t="str">
        <f>IF(Inicial!L102="SI",Inicial!F102,"N/A")</f>
        <v>N/A</v>
      </c>
      <c r="G102" s="53" t="str">
        <f>IF(Inicial!L102="SI",Inicial!G102,"N/A")</f>
        <v>N/A</v>
      </c>
      <c r="H102" s="53" t="str">
        <f>IF(Inicial!L102="SI",Inicial!H102,"N/A")</f>
        <v>N/A</v>
      </c>
      <c r="I102" s="55" t="str">
        <f>IF(Inicial!L102="SI",Inicial!I102,"N/A")</f>
        <v>N/A</v>
      </c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3" t="str" cm="1">
        <f t="array" ref="AF102">IF(OR(M102:AE102="NO"),"No aceptable","Aceptable")</f>
        <v>Aceptable</v>
      </c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  <c r="BC102" s="104" t="str" cm="1">
        <f t="array" ref="BC102">IF(OR(AJ102:BB102="SI"),"Critico","No Critico")</f>
        <v>No Critico</v>
      </c>
    </row>
    <row r="103" spans="1:55" ht="25.5">
      <c r="A103" s="52">
        <f>Inicial!A103</f>
        <v>101</v>
      </c>
      <c r="B103" s="53" t="str">
        <f>Inicial!B103</f>
        <v>Desposte</v>
      </c>
      <c r="C103" s="53" t="str">
        <f>Inicial!C103</f>
        <v>Operador Linea Piernas</v>
      </c>
      <c r="D103" s="54" t="str">
        <f>Inicial!D103</f>
        <v>evacuar bandeja</v>
      </c>
      <c r="E103" s="52" t="str">
        <f>IF(Inicial!L103="SI",Inicial!E103,"N/A")</f>
        <v>06:30 14:50 / 17:30 a 02:50</v>
      </c>
      <c r="F103" s="53">
        <f>IF(Inicial!L103="SI",Inicial!F103,"N/A")</f>
        <v>1</v>
      </c>
      <c r="G103" s="53">
        <f>IF(Inicial!L103="SI",Inicial!G103,"N/A")</f>
        <v>6</v>
      </c>
      <c r="H103" s="53">
        <f>IF(Inicial!L103="SI",Inicial!H103,"N/A")</f>
        <v>80</v>
      </c>
      <c r="I103" s="55">
        <f>IF(Inicial!L103="SI",Inicial!I103,"N/A")</f>
        <v>14</v>
      </c>
      <c r="J103" s="102" t="s">
        <v>64</v>
      </c>
      <c r="K103" s="102" t="s">
        <v>63</v>
      </c>
      <c r="L103" s="102" t="s">
        <v>63</v>
      </c>
      <c r="M103" s="102" t="s">
        <v>63</v>
      </c>
      <c r="N103" s="102" t="s">
        <v>63</v>
      </c>
      <c r="O103" s="102" t="s">
        <v>63</v>
      </c>
      <c r="P103" s="102" t="s">
        <v>63</v>
      </c>
      <c r="Q103" s="102" t="s">
        <v>394</v>
      </c>
      <c r="R103" s="102" t="s">
        <v>394</v>
      </c>
      <c r="S103" s="102" t="s">
        <v>394</v>
      </c>
      <c r="T103" s="102" t="s">
        <v>394</v>
      </c>
      <c r="U103" s="102" t="s">
        <v>394</v>
      </c>
      <c r="V103" s="102" t="s">
        <v>394</v>
      </c>
      <c r="W103" s="102" t="s">
        <v>394</v>
      </c>
      <c r="X103" s="102" t="s">
        <v>394</v>
      </c>
      <c r="Y103" s="102" t="s">
        <v>64</v>
      </c>
      <c r="Z103" s="102" t="s">
        <v>63</v>
      </c>
      <c r="AA103" s="102" t="s">
        <v>63</v>
      </c>
      <c r="AB103" s="102" t="s">
        <v>63</v>
      </c>
      <c r="AC103" s="102" t="s">
        <v>63</v>
      </c>
      <c r="AD103" s="102" t="s">
        <v>63</v>
      </c>
      <c r="AE103" s="102" t="s">
        <v>63</v>
      </c>
      <c r="AF103" s="103" t="str" cm="1">
        <f t="array" ref="AF103">IF(OR(M103:AE103="NO"),"No aceptable","Aceptable")</f>
        <v>No aceptable</v>
      </c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  <c r="BC103" s="104" t="str" cm="1">
        <f t="array" ref="BC103">IF(OR(AJ103:BB103="SI"),"Critico","No Critico")</f>
        <v>No Critico</v>
      </c>
    </row>
    <row r="104" spans="1:55" ht="38.25">
      <c r="A104" s="52">
        <f>Inicial!A104</f>
        <v>102</v>
      </c>
      <c r="B104" s="53" t="str">
        <f>Inicial!B104</f>
        <v>Desposte</v>
      </c>
      <c r="C104" s="53" t="str">
        <f>Inicial!C104</f>
        <v xml:space="preserve">Operador Línea Empaque </v>
      </c>
      <c r="D104" s="54" t="str">
        <f>Inicial!D104</f>
        <v>Palletizado</v>
      </c>
      <c r="E104" s="52" t="str">
        <f>IF(Inicial!L104="SI",Inicial!E104,"N/A")</f>
        <v>06:30 14:50 / 17:30 a 02:50</v>
      </c>
      <c r="F104" s="53">
        <f>IF(Inicial!L104="SI",Inicial!F104,"N/A")</f>
        <v>1</v>
      </c>
      <c r="G104" s="53">
        <f>IF(Inicial!L104="SI",Inicial!G104,"N/A")</f>
        <v>6</v>
      </c>
      <c r="H104" s="53">
        <f>IF(Inicial!L104="SI",Inicial!H104,"N/A")</f>
        <v>36</v>
      </c>
      <c r="I104" s="55">
        <f>IF(Inicial!L104="SI",Inicial!I104,"N/A")</f>
        <v>8</v>
      </c>
      <c r="J104" s="102" t="s">
        <v>64</v>
      </c>
      <c r="K104" s="102" t="s">
        <v>63</v>
      </c>
      <c r="L104" s="102" t="s">
        <v>63</v>
      </c>
      <c r="M104" s="102" t="s">
        <v>63</v>
      </c>
      <c r="N104" s="102" t="s">
        <v>63</v>
      </c>
      <c r="O104" s="102" t="s">
        <v>63</v>
      </c>
      <c r="P104" s="102" t="s">
        <v>63</v>
      </c>
      <c r="Q104" s="102" t="s">
        <v>394</v>
      </c>
      <c r="R104" s="102" t="s">
        <v>394</v>
      </c>
      <c r="S104" s="102" t="s">
        <v>394</v>
      </c>
      <c r="T104" s="102" t="s">
        <v>394</v>
      </c>
      <c r="U104" s="102" t="s">
        <v>394</v>
      </c>
      <c r="V104" s="102" t="s">
        <v>394</v>
      </c>
      <c r="W104" s="102" t="s">
        <v>394</v>
      </c>
      <c r="X104" s="102" t="s">
        <v>394</v>
      </c>
      <c r="Y104" s="102" t="s">
        <v>64</v>
      </c>
      <c r="Z104" s="102" t="s">
        <v>63</v>
      </c>
      <c r="AA104" s="102" t="s">
        <v>64</v>
      </c>
      <c r="AB104" s="102" t="s">
        <v>63</v>
      </c>
      <c r="AC104" s="102" t="s">
        <v>394</v>
      </c>
      <c r="AD104" s="102" t="s">
        <v>394</v>
      </c>
      <c r="AE104" s="102" t="s">
        <v>394</v>
      </c>
      <c r="AF104" s="103" t="str" cm="1">
        <f t="array" ref="AF104">IF(OR(M104:AE104="NO"),"No aceptable","Aceptable")</f>
        <v>No aceptable</v>
      </c>
      <c r="AG104" s="102" t="s">
        <v>63</v>
      </c>
      <c r="AH104" s="102" t="s">
        <v>64</v>
      </c>
      <c r="AI104" s="102" t="s">
        <v>64</v>
      </c>
      <c r="AJ104" s="102" t="s">
        <v>64</v>
      </c>
      <c r="AK104" s="102" t="s">
        <v>64</v>
      </c>
      <c r="AL104" s="102" t="s">
        <v>64</v>
      </c>
      <c r="AM104" s="102" t="s">
        <v>64</v>
      </c>
      <c r="AN104" s="102" t="s">
        <v>64</v>
      </c>
      <c r="AO104" s="102" t="s">
        <v>63</v>
      </c>
      <c r="AP104" s="102" t="s">
        <v>64</v>
      </c>
      <c r="AQ104" s="102" t="s">
        <v>64</v>
      </c>
      <c r="AR104" s="102" t="s">
        <v>64</v>
      </c>
      <c r="AS104" s="102" t="s">
        <v>64</v>
      </c>
      <c r="AT104" s="102" t="s">
        <v>64</v>
      </c>
      <c r="AU104" s="102" t="s">
        <v>64</v>
      </c>
      <c r="AV104" s="102"/>
      <c r="AW104" s="102" t="s">
        <v>64</v>
      </c>
      <c r="AX104" s="102" t="s">
        <v>64</v>
      </c>
      <c r="AY104" s="102" t="s">
        <v>64</v>
      </c>
      <c r="AZ104" s="102" t="s">
        <v>64</v>
      </c>
      <c r="BA104" s="102" t="s">
        <v>64</v>
      </c>
      <c r="BB104" s="102" t="s">
        <v>64</v>
      </c>
      <c r="BC104" s="104" t="str" cm="1">
        <f t="array" ref="BC104">IF(OR(AJ104:BB104="SI"),"Critico","No Critico")</f>
        <v>Critico</v>
      </c>
    </row>
    <row r="105" spans="1:55" ht="38.25">
      <c r="A105" s="52">
        <f>Inicial!A105</f>
        <v>103</v>
      </c>
      <c r="B105" s="53" t="str">
        <f>Inicial!B105</f>
        <v>Desposte</v>
      </c>
      <c r="C105" s="53" t="str">
        <f>Inicial!C105</f>
        <v xml:space="preserve">Operador Línea Empaque </v>
      </c>
      <c r="D105" s="54" t="str">
        <f>Inicial!D105</f>
        <v xml:space="preserve">Calibrado </v>
      </c>
      <c r="E105" s="52" t="str">
        <f>IF(Inicial!L105="SI",Inicial!E105,"N/A")</f>
        <v>06:30 14:50 / 17:30 a 02:50</v>
      </c>
      <c r="F105" s="53">
        <f>IF(Inicial!L105="SI",Inicial!F105,"N/A")</f>
        <v>1</v>
      </c>
      <c r="G105" s="53">
        <f>IF(Inicial!L105="SI",Inicial!G105,"N/A")</f>
        <v>6</v>
      </c>
      <c r="H105" s="53">
        <f>IF(Inicial!L105="SI",Inicial!H105,"N/A")</f>
        <v>36</v>
      </c>
      <c r="I105" s="55">
        <f>IF(Inicial!L105="SI",Inicial!I105,"N/A")</f>
        <v>8</v>
      </c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3" t="str" cm="1">
        <f t="array" ref="AF105">IF(OR(M105:AE105="NO"),"No aceptable","Aceptable")</f>
        <v>Aceptable</v>
      </c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  <c r="BC105" s="104" t="str" cm="1">
        <f t="array" ref="BC105">IF(OR(AJ105:BB105="SI"),"Critico","No Critico")</f>
        <v>No Critico</v>
      </c>
    </row>
    <row r="106" spans="1:55" ht="38.25">
      <c r="A106" s="52">
        <f>Inicial!A106</f>
        <v>104</v>
      </c>
      <c r="B106" s="53" t="str">
        <f>Inicial!B106</f>
        <v>Desposte</v>
      </c>
      <c r="C106" s="53" t="str">
        <f>Inicial!C106</f>
        <v xml:space="preserve">Operador Línea Empaque </v>
      </c>
      <c r="D106" s="54" t="str">
        <f>Inicial!D106</f>
        <v xml:space="preserve"> Volteador 500</v>
      </c>
      <c r="E106" s="52" t="str">
        <f>IF(Inicial!L106="SI",Inicial!E106,"N/A")</f>
        <v>06:30 14:50 / 17:30 a 02:50</v>
      </c>
      <c r="F106" s="53">
        <f>IF(Inicial!L106="SI",Inicial!F106,"N/A")</f>
        <v>1</v>
      </c>
      <c r="G106" s="53">
        <f>IF(Inicial!L106="SI",Inicial!G106,"N/A")</f>
        <v>6</v>
      </c>
      <c r="H106" s="53">
        <f>IF(Inicial!L106="SI",Inicial!H106,"N/A")</f>
        <v>36</v>
      </c>
      <c r="I106" s="55">
        <f>IF(Inicial!L106="SI",Inicial!I106,"N/A")</f>
        <v>8</v>
      </c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3" t="str" cm="1">
        <f t="array" ref="AF106">IF(OR(M106:AE106="NO"),"No aceptable","Aceptable")</f>
        <v>Aceptable</v>
      </c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  <c r="BC106" s="104" t="str" cm="1">
        <f t="array" ref="BC106">IF(OR(AJ106:BB106="SI"),"Critico","No Critico")</f>
        <v>No Critico</v>
      </c>
    </row>
    <row r="107" spans="1:55" ht="38.25">
      <c r="A107" s="52">
        <f>Inicial!A107</f>
        <v>105</v>
      </c>
      <c r="B107" s="53" t="str">
        <f>Inicial!B107</f>
        <v>Desposte</v>
      </c>
      <c r="C107" s="53" t="str">
        <f>Inicial!C107</f>
        <v xml:space="preserve">Operador Línea Empaque </v>
      </c>
      <c r="D107" s="54" t="str">
        <f>Inicial!D107</f>
        <v>Direccionado</v>
      </c>
      <c r="E107" s="52" t="str">
        <f>IF(Inicial!L107="SI",Inicial!E107,"N/A")</f>
        <v>06:30 14:50 / 17:30 a 02:50</v>
      </c>
      <c r="F107" s="53">
        <f>IF(Inicial!L107="SI",Inicial!F107,"N/A")</f>
        <v>1</v>
      </c>
      <c r="G107" s="53">
        <f>IF(Inicial!L107="SI",Inicial!G107,"N/A")</f>
        <v>6</v>
      </c>
      <c r="H107" s="53">
        <f>IF(Inicial!L107="SI",Inicial!H107,"N/A")</f>
        <v>36</v>
      </c>
      <c r="I107" s="55">
        <f>IF(Inicial!L107="SI",Inicial!I107,"N/A")</f>
        <v>8</v>
      </c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3" t="str" cm="1">
        <f t="array" ref="AF107">IF(OR(M107:AE107="NO"),"No aceptable","Aceptable")</f>
        <v>Aceptable</v>
      </c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  <c r="BC107" s="104" t="str" cm="1">
        <f t="array" ref="BC107">IF(OR(AJ107:BB107="SI"),"Critico","No Critico")</f>
        <v>No Critico</v>
      </c>
    </row>
    <row r="108" spans="1:55" ht="38.25">
      <c r="A108" s="52">
        <f>Inicial!A108</f>
        <v>106</v>
      </c>
      <c r="B108" s="53" t="str">
        <f>Inicial!B108</f>
        <v>Desposte</v>
      </c>
      <c r="C108" s="53" t="str">
        <f>Inicial!C108</f>
        <v xml:space="preserve">Operador Línea Empaque </v>
      </c>
      <c r="D108" s="54" t="str">
        <f>Inicial!D108</f>
        <v>Embalado</v>
      </c>
      <c r="E108" s="52" t="str">
        <f>IF(Inicial!L108="SI",Inicial!E108,"N/A")</f>
        <v>06:30 14:50 / 17:30 a 02:50</v>
      </c>
      <c r="F108" s="53">
        <f>IF(Inicial!L108="SI",Inicial!F108,"N/A")</f>
        <v>1</v>
      </c>
      <c r="G108" s="53">
        <f>IF(Inicial!L108="SI",Inicial!G108,"N/A")</f>
        <v>6</v>
      </c>
      <c r="H108" s="53">
        <f>IF(Inicial!L108="SI",Inicial!H108,"N/A")</f>
        <v>36</v>
      </c>
      <c r="I108" s="55">
        <f>IF(Inicial!L108="SI",Inicial!I108,"N/A")</f>
        <v>8</v>
      </c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3" t="str" cm="1">
        <f t="array" ref="AF108">IF(OR(M108:AE108="NO"),"No aceptable","Aceptable")</f>
        <v>Aceptable</v>
      </c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4" t="str" cm="1">
        <f t="array" ref="BC108">IF(OR(AJ108:BB108="SI"),"Critico","No Critico")</f>
        <v>No Critico</v>
      </c>
    </row>
    <row r="109" spans="1:55" ht="38.25">
      <c r="A109" s="52">
        <f>Inicial!A109</f>
        <v>107</v>
      </c>
      <c r="B109" s="53" t="str">
        <f>Inicial!B109</f>
        <v>Desposte</v>
      </c>
      <c r="C109" s="53" t="str">
        <f>Inicial!C109</f>
        <v xml:space="preserve">Operador Línea Empaque </v>
      </c>
      <c r="D109" s="54" t="str">
        <f>Inicial!D109</f>
        <v>PC</v>
      </c>
      <c r="E109" s="52" t="str">
        <f>IF(Inicial!L109="SI",Inicial!E109,"N/A")</f>
        <v>N/A</v>
      </c>
      <c r="F109" s="53" t="str">
        <f>IF(Inicial!L109="SI",Inicial!F109,"N/A")</f>
        <v>N/A</v>
      </c>
      <c r="G109" s="53" t="str">
        <f>IF(Inicial!L109="SI",Inicial!G109,"N/A")</f>
        <v>N/A</v>
      </c>
      <c r="H109" s="53" t="str">
        <f>IF(Inicial!L109="SI",Inicial!H109,"N/A")</f>
        <v>N/A</v>
      </c>
      <c r="I109" s="55" t="str">
        <f>IF(Inicial!L109="SI",Inicial!I109,"N/A")</f>
        <v>N/A</v>
      </c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3" t="str" cm="1">
        <f t="array" ref="AF109">IF(OR(M109:AE109="NO"),"No aceptable","Aceptable")</f>
        <v>Aceptable</v>
      </c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104" t="str" cm="1">
        <f t="array" ref="BC109">IF(OR(AJ109:BB109="SI"),"Critico","No Critico")</f>
        <v>No Critico</v>
      </c>
    </row>
    <row r="110" spans="1:55" ht="38.25">
      <c r="A110" s="52">
        <f>Inicial!A110</f>
        <v>108</v>
      </c>
      <c r="B110" s="53" t="str">
        <f>Inicial!B110</f>
        <v>Desposte</v>
      </c>
      <c r="C110" s="53" t="str">
        <f>Inicial!C110</f>
        <v xml:space="preserve">Operador Línea Empaque </v>
      </c>
      <c r="D110" s="54" t="str">
        <f>Inicial!D110</f>
        <v>Volteado 100</v>
      </c>
      <c r="E110" s="52" t="str">
        <f>IF(Inicial!L110="SI",Inicial!E110,"N/A")</f>
        <v>06:30 14:50 / 17:30 a 02:50</v>
      </c>
      <c r="F110" s="53">
        <f>IF(Inicial!L110="SI",Inicial!F110,"N/A")</f>
        <v>1</v>
      </c>
      <c r="G110" s="53">
        <f>IF(Inicial!L110="SI",Inicial!G110,"N/A")</f>
        <v>6</v>
      </c>
      <c r="H110" s="53">
        <f>IF(Inicial!L110="SI",Inicial!H110,"N/A")</f>
        <v>36</v>
      </c>
      <c r="I110" s="55">
        <f>IF(Inicial!L110="SI",Inicial!I110,"N/A")</f>
        <v>8</v>
      </c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3" t="str" cm="1">
        <f t="array" ref="AF110">IF(OR(M110:AE110="NO"),"No aceptable","Aceptable")</f>
        <v>Aceptable</v>
      </c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  <c r="BC110" s="104" t="str" cm="1">
        <f t="array" ref="BC110">IF(OR(AJ110:BB110="SI"),"Critico","No Critico")</f>
        <v>No Critico</v>
      </c>
    </row>
    <row r="111" spans="1:55" ht="38.25">
      <c r="A111" s="52">
        <f>Inicial!A111</f>
        <v>109</v>
      </c>
      <c r="B111" s="53" t="str">
        <f>Inicial!B111</f>
        <v>Desposte</v>
      </c>
      <c r="C111" s="53" t="str">
        <f>Inicial!C111</f>
        <v>Operador Línea Filete y Cabeza</v>
      </c>
      <c r="D111" s="54" t="str">
        <f>Inicial!D111</f>
        <v>Cortar Cabeza</v>
      </c>
      <c r="E111" s="52" t="str">
        <f>IF(Inicial!L111="SI",Inicial!E111,"N/A")</f>
        <v>N/A</v>
      </c>
      <c r="F111" s="53" t="str">
        <f>IF(Inicial!L111="SI",Inicial!F111,"N/A")</f>
        <v>N/A</v>
      </c>
      <c r="G111" s="53" t="str">
        <f>IF(Inicial!L111="SI",Inicial!G111,"N/A")</f>
        <v>N/A</v>
      </c>
      <c r="H111" s="53" t="str">
        <f>IF(Inicial!L111="SI",Inicial!H111,"N/A")</f>
        <v>N/A</v>
      </c>
      <c r="I111" s="55" t="str">
        <f>IF(Inicial!L111="SI",Inicial!I111,"N/A")</f>
        <v>N/A</v>
      </c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3" t="str" cm="1">
        <f t="array" ref="AF111">IF(OR(M111:AE111="NO"),"No aceptable","Aceptable")</f>
        <v>Aceptable</v>
      </c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4" t="str" cm="1">
        <f t="array" ref="BC111">IF(OR(AJ111:BB111="SI"),"Critico","No Critico")</f>
        <v>No Critico</v>
      </c>
    </row>
    <row r="112" spans="1:55" ht="38.25">
      <c r="A112" s="52">
        <f>Inicial!A112</f>
        <v>110</v>
      </c>
      <c r="B112" s="53" t="str">
        <f>Inicial!B112</f>
        <v>Desposte</v>
      </c>
      <c r="C112" s="53" t="str">
        <f>Inicial!C112</f>
        <v>Operador Línea Filete y Cabeza</v>
      </c>
      <c r="D112" s="54" t="str">
        <f>Inicial!D112</f>
        <v>Filetero</v>
      </c>
      <c r="E112" s="52" t="str">
        <f>IF(Inicial!L112="SI",Inicial!E112,"N/A")</f>
        <v>N/A</v>
      </c>
      <c r="F112" s="53" t="str">
        <f>IF(Inicial!L112="SI",Inicial!F112,"N/A")</f>
        <v>N/A</v>
      </c>
      <c r="G112" s="53" t="str">
        <f>IF(Inicial!L112="SI",Inicial!G112,"N/A")</f>
        <v>N/A</v>
      </c>
      <c r="H112" s="53" t="str">
        <f>IF(Inicial!L112="SI",Inicial!H112,"N/A")</f>
        <v>N/A</v>
      </c>
      <c r="I112" s="55" t="str">
        <f>IF(Inicial!L112="SI",Inicial!I112,"N/A")</f>
        <v>N/A</v>
      </c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3" t="str" cm="1">
        <f t="array" ref="AF112">IF(OR(M112:AE112="NO"),"No aceptable","Aceptable")</f>
        <v>Aceptable</v>
      </c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  <c r="BC112" s="104" t="str" cm="1">
        <f t="array" ref="BC112">IF(OR(AJ112:BB112="SI"),"Critico","No Critico")</f>
        <v>No Critico</v>
      </c>
    </row>
    <row r="113" spans="1:55" ht="38.25">
      <c r="A113" s="52">
        <f>Inicial!A113</f>
        <v>111</v>
      </c>
      <c r="B113" s="53" t="str">
        <f>Inicial!B113</f>
        <v>Desposte</v>
      </c>
      <c r="C113" s="53" t="str">
        <f>Inicial!C113</f>
        <v>Operador Línea Filete y Cabeza</v>
      </c>
      <c r="D113" s="54" t="str">
        <f>Inicial!D113</f>
        <v>Exracción de cuero Axilar</v>
      </c>
      <c r="E113" s="52" t="str">
        <f>IF(Inicial!L113="SI",Inicial!E113,"N/A")</f>
        <v>N/A</v>
      </c>
      <c r="F113" s="53" t="str">
        <f>IF(Inicial!L113="SI",Inicial!F113,"N/A")</f>
        <v>N/A</v>
      </c>
      <c r="G113" s="53" t="str">
        <f>IF(Inicial!L113="SI",Inicial!G113,"N/A")</f>
        <v>N/A</v>
      </c>
      <c r="H113" s="53" t="str">
        <f>IF(Inicial!L113="SI",Inicial!H113,"N/A")</f>
        <v>N/A</v>
      </c>
      <c r="I113" s="55" t="str">
        <f>IF(Inicial!L113="SI",Inicial!I113,"N/A")</f>
        <v>N/A</v>
      </c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3" t="str" cm="1">
        <f t="array" ref="AF113">IF(OR(M113:AE113="NO"),"No aceptable","Aceptable")</f>
        <v>Aceptable</v>
      </c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  <c r="BC113" s="104" t="str" cm="1">
        <f t="array" ref="BC113">IF(OR(AJ113:BB113="SI"),"Critico","No Critico")</f>
        <v>No Critico</v>
      </c>
    </row>
    <row r="114" spans="1:55" ht="38.25">
      <c r="A114" s="52">
        <f>Inicial!A114</f>
        <v>112</v>
      </c>
      <c r="B114" s="53" t="str">
        <f>Inicial!B114</f>
        <v>Desposte</v>
      </c>
      <c r="C114" s="53" t="str">
        <f>Inicial!C114</f>
        <v>Operador Línea Filete y Cabeza</v>
      </c>
      <c r="D114" s="54" t="str">
        <f>Inicial!D114</f>
        <v>Embalar Perniles</v>
      </c>
      <c r="E114" s="52" t="str">
        <f>IF(Inicial!L114="SI",Inicial!E114,"N/A")</f>
        <v>06:30 14:50 / 17:30 a 02:50</v>
      </c>
      <c r="F114" s="53">
        <f>IF(Inicial!L114="SI",Inicial!F114,"N/A")</f>
        <v>1</v>
      </c>
      <c r="G114" s="53">
        <f>IF(Inicial!L114="SI",Inicial!G114,"N/A")</f>
        <v>6</v>
      </c>
      <c r="H114" s="53">
        <f>IF(Inicial!L114="SI",Inicial!H114,"N/A")</f>
        <v>20</v>
      </c>
      <c r="I114" s="55">
        <f>IF(Inicial!L114="SI",Inicial!I114,"N/A")</f>
        <v>6</v>
      </c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3" t="str" cm="1">
        <f t="array" ref="AF114">IF(OR(M114:AE114="NO"),"No aceptable","Aceptable")</f>
        <v>Aceptable</v>
      </c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  <c r="BC114" s="104" t="str" cm="1">
        <f t="array" ref="BC114">IF(OR(AJ114:BB114="SI"),"Critico","No Critico")</f>
        <v>No Critico</v>
      </c>
    </row>
    <row r="115" spans="1:55" ht="38.25">
      <c r="A115" s="52">
        <f>Inicial!A115</f>
        <v>113</v>
      </c>
      <c r="B115" s="53" t="str">
        <f>Inicial!B115</f>
        <v>Desposte</v>
      </c>
      <c r="C115" s="53" t="str">
        <f>Inicial!C115</f>
        <v>Operador Línea Filete y Cabeza</v>
      </c>
      <c r="D115" s="54" t="str">
        <f>Inicial!D115</f>
        <v>Embalador Perniles</v>
      </c>
      <c r="E115" s="52" t="str">
        <f>IF(Inicial!L115="SI",Inicial!E115,"N/A")</f>
        <v>06:30 14:50 / 17:30 a 02:50</v>
      </c>
      <c r="F115" s="53">
        <f>IF(Inicial!L115="SI",Inicial!F115,"N/A")</f>
        <v>1</v>
      </c>
      <c r="G115" s="53">
        <f>IF(Inicial!L115="SI",Inicial!G115,"N/A")</f>
        <v>6</v>
      </c>
      <c r="H115" s="53">
        <f>IF(Inicial!L115="SI",Inicial!H115,"N/A")</f>
        <v>20</v>
      </c>
      <c r="I115" s="55">
        <f>IF(Inicial!L115="SI",Inicial!I115,"N/A")</f>
        <v>6</v>
      </c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3" t="str" cm="1">
        <f t="array" ref="AF115">IF(OR(M115:AE115="NO"),"No aceptable","Aceptable")</f>
        <v>Aceptable</v>
      </c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4" t="str" cm="1">
        <f t="array" ref="BC115">IF(OR(AJ115:BB115="SI"),"Critico","No Critico")</f>
        <v>No Critico</v>
      </c>
    </row>
    <row r="116" spans="1:55" ht="38.25">
      <c r="A116" s="52">
        <f>Inicial!A116</f>
        <v>114</v>
      </c>
      <c r="B116" s="53" t="str">
        <f>Inicial!B116</f>
        <v>Desposte</v>
      </c>
      <c r="C116" s="53" t="str">
        <f>Inicial!C116</f>
        <v>Operador Línea Filete y Cabeza</v>
      </c>
      <c r="D116" s="54" t="str">
        <f>Inicial!D116</f>
        <v>Prolijado Entraña</v>
      </c>
      <c r="E116" s="52" t="str">
        <f>IF(Inicial!L116="SI",Inicial!E116,"N/A")</f>
        <v>N/A</v>
      </c>
      <c r="F116" s="53" t="str">
        <f>IF(Inicial!L116="SI",Inicial!F116,"N/A")</f>
        <v>N/A</v>
      </c>
      <c r="G116" s="53" t="str">
        <f>IF(Inicial!L116="SI",Inicial!G116,"N/A")</f>
        <v>N/A</v>
      </c>
      <c r="H116" s="53" t="str">
        <f>IF(Inicial!L116="SI",Inicial!H116,"N/A")</f>
        <v>N/A</v>
      </c>
      <c r="I116" s="55" t="str">
        <f>IF(Inicial!L116="SI",Inicial!I116,"N/A")</f>
        <v>N/A</v>
      </c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3" t="str" cm="1">
        <f t="array" ref="AF116">IF(OR(M116:AE116="NO"),"No aceptable","Aceptable")</f>
        <v>Aceptable</v>
      </c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02"/>
      <c r="BC116" s="104" t="str" cm="1">
        <f t="array" ref="BC116">IF(OR(AJ116:BB116="SI"),"Critico","No Critico")</f>
        <v>No Critico</v>
      </c>
    </row>
    <row r="117" spans="1:55" ht="38.25">
      <c r="A117" s="52">
        <f>Inicial!A117</f>
        <v>115</v>
      </c>
      <c r="B117" s="53" t="str">
        <f>Inicial!B117</f>
        <v>Desposte</v>
      </c>
      <c r="C117" s="53" t="str">
        <f>Inicial!C117</f>
        <v>Operador Línea Filete y Cabeza</v>
      </c>
      <c r="D117" s="54" t="str">
        <f>Inicial!D117</f>
        <v>Embalaje patas y manos</v>
      </c>
      <c r="E117" s="52" t="str">
        <f>IF(Inicial!L117="SI",Inicial!E117,"N/A")</f>
        <v>06:30 14:50 / 17:30 a 02:50</v>
      </c>
      <c r="F117" s="53">
        <f>IF(Inicial!L117="SI",Inicial!F117,"N/A")</f>
        <v>1</v>
      </c>
      <c r="G117" s="53">
        <f>IF(Inicial!L117="SI",Inicial!G117,"N/A")</f>
        <v>6</v>
      </c>
      <c r="H117" s="53">
        <f>IF(Inicial!L117="SI",Inicial!H117,"N/A")</f>
        <v>20</v>
      </c>
      <c r="I117" s="55">
        <f>IF(Inicial!L117="SI",Inicial!I117,"N/A")</f>
        <v>6</v>
      </c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3" t="str" cm="1">
        <f t="array" ref="AF117">IF(OR(M117:AE117="NO"),"No aceptable","Aceptable")</f>
        <v>Aceptable</v>
      </c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  <c r="BC117" s="104" t="str" cm="1">
        <f t="array" ref="BC117">IF(OR(AJ117:BB117="SI"),"Critico","No Critico")</f>
        <v>No Critico</v>
      </c>
    </row>
    <row r="118" spans="1:55">
      <c r="A118" s="52">
        <f>Inicial!A118</f>
        <v>0</v>
      </c>
      <c r="B118" s="53">
        <f>Inicial!B118</f>
        <v>0</v>
      </c>
      <c r="C118" s="53">
        <f>Inicial!C118</f>
        <v>0</v>
      </c>
      <c r="D118" s="54">
        <f>Inicial!D118</f>
        <v>0</v>
      </c>
      <c r="E118" s="52" t="str">
        <f>IF(Inicial!L118="SI",Inicial!E118,"N/A")</f>
        <v>N/A</v>
      </c>
      <c r="F118" s="53" t="str">
        <f>IF(Inicial!L118="SI",Inicial!F118,"N/A")</f>
        <v>N/A</v>
      </c>
      <c r="G118" s="53" t="str">
        <f>IF(Inicial!L118="SI",Inicial!G118,"N/A")</f>
        <v>N/A</v>
      </c>
      <c r="H118" s="53" t="str">
        <f>IF(Inicial!L118="SI",Inicial!H118,"N/A")</f>
        <v>N/A</v>
      </c>
      <c r="I118" s="55" t="str">
        <f>IF(Inicial!L118="SI",Inicial!I118,"N/A")</f>
        <v>N/A</v>
      </c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3" t="str" cm="1">
        <f t="array" ref="AF118">IF(OR(M118:AE118="NO"),"No aceptable","Aceptable")</f>
        <v>Aceptable</v>
      </c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  <c r="BC118" s="104" t="str" cm="1">
        <f t="array" ref="BC118">IF(OR(AJ118:BB118="SI"),"Critico","No Critico")</f>
        <v>No Critico</v>
      </c>
    </row>
    <row r="119" spans="1:55">
      <c r="A119" s="52">
        <f>Inicial!A119</f>
        <v>0</v>
      </c>
      <c r="B119" s="53">
        <f>Inicial!B119</f>
        <v>0</v>
      </c>
      <c r="C119" s="53">
        <f>Inicial!C119</f>
        <v>0</v>
      </c>
      <c r="D119" s="54">
        <f>Inicial!D119</f>
        <v>0</v>
      </c>
      <c r="E119" s="52" t="str">
        <f>IF(Inicial!L119="SI",Inicial!E119,"N/A")</f>
        <v>N/A</v>
      </c>
      <c r="F119" s="53" t="str">
        <f>IF(Inicial!L119="SI",Inicial!F119,"N/A")</f>
        <v>N/A</v>
      </c>
      <c r="G119" s="53" t="str">
        <f>IF(Inicial!L119="SI",Inicial!G119,"N/A")</f>
        <v>N/A</v>
      </c>
      <c r="H119" s="53" t="str">
        <f>IF(Inicial!L119="SI",Inicial!H119,"N/A")</f>
        <v>N/A</v>
      </c>
      <c r="I119" s="55" t="str">
        <f>IF(Inicial!L119="SI",Inicial!I119,"N/A")</f>
        <v>N/A</v>
      </c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3" t="str" cm="1">
        <f t="array" ref="AF119">IF(OR(M119:AE119="NO"),"No aceptable","Aceptable")</f>
        <v>Aceptable</v>
      </c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2"/>
      <c r="BB119" s="102"/>
      <c r="BC119" s="104" t="str" cm="1">
        <f t="array" ref="BC119">IF(OR(AJ119:BB119="SI"),"Critico","No Critico")</f>
        <v>No Critico</v>
      </c>
    </row>
    <row r="120" spans="1:55">
      <c r="A120" s="52">
        <f>Inicial!A120</f>
        <v>0</v>
      </c>
      <c r="B120" s="53">
        <f>Inicial!B120</f>
        <v>0</v>
      </c>
      <c r="C120" s="53">
        <f>Inicial!C120</f>
        <v>0</v>
      </c>
      <c r="D120" s="54">
        <f>Inicial!D120</f>
        <v>0</v>
      </c>
      <c r="E120" s="52" t="str">
        <f>IF(Inicial!L120="SI",Inicial!E120,"N/A")</f>
        <v>N/A</v>
      </c>
      <c r="F120" s="53" t="str">
        <f>IF(Inicial!L120="SI",Inicial!F120,"N/A")</f>
        <v>N/A</v>
      </c>
      <c r="G120" s="53" t="str">
        <f>IF(Inicial!L120="SI",Inicial!G120,"N/A")</f>
        <v>N/A</v>
      </c>
      <c r="H120" s="53" t="str">
        <f>IF(Inicial!L120="SI",Inicial!H120,"N/A")</f>
        <v>N/A</v>
      </c>
      <c r="I120" s="55" t="str">
        <f>IF(Inicial!L120="SI",Inicial!I120,"N/A")</f>
        <v>N/A</v>
      </c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3" t="str" cm="1">
        <f t="array" ref="AF120">IF(OR(M120:AE120="NO"),"No aceptable","Aceptable")</f>
        <v>Aceptable</v>
      </c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4" t="str" cm="1">
        <f t="array" ref="BC120">IF(OR(AJ120:BB120="SI"),"Critico","No Critico")</f>
        <v>No Critico</v>
      </c>
    </row>
    <row r="121" spans="1:55">
      <c r="A121" s="52">
        <f>Inicial!A121</f>
        <v>0</v>
      </c>
      <c r="B121" s="53">
        <f>Inicial!B121</f>
        <v>0</v>
      </c>
      <c r="C121" s="53">
        <f>Inicial!C121</f>
        <v>0</v>
      </c>
      <c r="D121" s="54">
        <f>Inicial!D121</f>
        <v>0</v>
      </c>
      <c r="E121" s="52" t="str">
        <f>IF(Inicial!L121="SI",Inicial!E121,"N/A")</f>
        <v>N/A</v>
      </c>
      <c r="F121" s="53" t="str">
        <f>IF(Inicial!L121="SI",Inicial!F121,"N/A")</f>
        <v>N/A</v>
      </c>
      <c r="G121" s="53" t="str">
        <f>IF(Inicial!L121="SI",Inicial!G121,"N/A")</f>
        <v>N/A</v>
      </c>
      <c r="H121" s="53" t="str">
        <f>IF(Inicial!L121="SI",Inicial!H121,"N/A")</f>
        <v>N/A</v>
      </c>
      <c r="I121" s="55" t="str">
        <f>IF(Inicial!L121="SI",Inicial!I121,"N/A")</f>
        <v>N/A</v>
      </c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3" t="str" cm="1">
        <f t="array" ref="AF121">IF(OR(M121:AE121="NO"),"No aceptable","Aceptable")</f>
        <v>Aceptable</v>
      </c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4" t="str" cm="1">
        <f t="array" ref="BC121">IF(OR(AJ121:BB121="SI"),"Critico","No Critico")</f>
        <v>No Critico</v>
      </c>
    </row>
    <row r="122" spans="1:55">
      <c r="A122" s="52">
        <f>Inicial!A122</f>
        <v>0</v>
      </c>
      <c r="B122" s="53">
        <f>Inicial!B122</f>
        <v>0</v>
      </c>
      <c r="C122" s="53">
        <f>Inicial!C122</f>
        <v>0</v>
      </c>
      <c r="D122" s="54">
        <f>Inicial!D122</f>
        <v>0</v>
      </c>
      <c r="E122" s="52" t="str">
        <f>IF(Inicial!L122="SI",Inicial!E122,"N/A")</f>
        <v>N/A</v>
      </c>
      <c r="F122" s="53" t="str">
        <f>IF(Inicial!L122="SI",Inicial!F122,"N/A")</f>
        <v>N/A</v>
      </c>
      <c r="G122" s="53" t="str">
        <f>IF(Inicial!L122="SI",Inicial!G122,"N/A")</f>
        <v>N/A</v>
      </c>
      <c r="H122" s="53" t="str">
        <f>IF(Inicial!L122="SI",Inicial!H122,"N/A")</f>
        <v>N/A</v>
      </c>
      <c r="I122" s="55" t="str">
        <f>IF(Inicial!L122="SI",Inicial!I122,"N/A")</f>
        <v>N/A</v>
      </c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3" t="str" cm="1">
        <f t="array" ref="AF122">IF(OR(M122:AE122="NO"),"No aceptable","Aceptable")</f>
        <v>Aceptable</v>
      </c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4" t="str" cm="1">
        <f t="array" ref="BC122">IF(OR(AJ122:BB122="SI"),"Critico","No Critico")</f>
        <v>No Critico</v>
      </c>
    </row>
    <row r="123" spans="1:55">
      <c r="A123" s="52">
        <f>Inicial!A123</f>
        <v>0</v>
      </c>
      <c r="B123" s="53">
        <f>Inicial!B123</f>
        <v>0</v>
      </c>
      <c r="C123" s="53">
        <f>Inicial!C123</f>
        <v>0</v>
      </c>
      <c r="D123" s="54">
        <f>Inicial!D123</f>
        <v>0</v>
      </c>
      <c r="E123" s="52" t="str">
        <f>IF(Inicial!L123="SI",Inicial!E123,"N/A")</f>
        <v>N/A</v>
      </c>
      <c r="F123" s="53" t="str">
        <f>IF(Inicial!L123="SI",Inicial!F123,"N/A")</f>
        <v>N/A</v>
      </c>
      <c r="G123" s="53" t="str">
        <f>IF(Inicial!L123="SI",Inicial!G123,"N/A")</f>
        <v>N/A</v>
      </c>
      <c r="H123" s="53" t="str">
        <f>IF(Inicial!L123="SI",Inicial!H123,"N/A")</f>
        <v>N/A</v>
      </c>
      <c r="I123" s="55" t="str">
        <f>IF(Inicial!L123="SI",Inicial!I123,"N/A")</f>
        <v>N/A</v>
      </c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3" t="str" cm="1">
        <f t="array" ref="AF123">IF(OR(M123:AE123="NO"),"No aceptable","Aceptable")</f>
        <v>Aceptable</v>
      </c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4" t="str" cm="1">
        <f t="array" ref="BC123">IF(OR(AJ123:BB123="SI"),"Critico","No Critico")</f>
        <v>No Critico</v>
      </c>
    </row>
    <row r="124" spans="1:55">
      <c r="A124" s="52">
        <f>Inicial!A124</f>
        <v>0</v>
      </c>
      <c r="B124" s="53">
        <f>Inicial!B124</f>
        <v>0</v>
      </c>
      <c r="C124" s="53">
        <f>Inicial!C124</f>
        <v>0</v>
      </c>
      <c r="D124" s="54">
        <f>Inicial!D124</f>
        <v>0</v>
      </c>
      <c r="E124" s="52" t="str">
        <f>IF(Inicial!L124="SI",Inicial!E124,"N/A")</f>
        <v>N/A</v>
      </c>
      <c r="F124" s="53" t="str">
        <f>IF(Inicial!L124="SI",Inicial!F124,"N/A")</f>
        <v>N/A</v>
      </c>
      <c r="G124" s="53" t="str">
        <f>IF(Inicial!L124="SI",Inicial!G124,"N/A")</f>
        <v>N/A</v>
      </c>
      <c r="H124" s="53" t="str">
        <f>IF(Inicial!L124="SI",Inicial!H124,"N/A")</f>
        <v>N/A</v>
      </c>
      <c r="I124" s="55" t="str">
        <f>IF(Inicial!L124="SI",Inicial!I124,"N/A")</f>
        <v>N/A</v>
      </c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3" t="str" cm="1">
        <f t="array" ref="AF124">IF(OR(M124:AE124="NO"),"No aceptable","Aceptable")</f>
        <v>Aceptable</v>
      </c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  <c r="BB124" s="102"/>
      <c r="BC124" s="104" t="str" cm="1">
        <f t="array" ref="BC124">IF(OR(AJ124:BB124="SI"),"Critico","No Critico")</f>
        <v>No Critico</v>
      </c>
    </row>
    <row r="125" spans="1:55">
      <c r="A125" s="52">
        <f>Inicial!A125</f>
        <v>0</v>
      </c>
      <c r="B125" s="53">
        <f>Inicial!B125</f>
        <v>0</v>
      </c>
      <c r="C125" s="53">
        <f>Inicial!C125</f>
        <v>0</v>
      </c>
      <c r="D125" s="54">
        <f>Inicial!D125</f>
        <v>0</v>
      </c>
      <c r="E125" s="52" t="str">
        <f>IF(Inicial!L125="SI",Inicial!E125,"N/A")</f>
        <v>N/A</v>
      </c>
      <c r="F125" s="53" t="str">
        <f>IF(Inicial!L125="SI",Inicial!F125,"N/A")</f>
        <v>N/A</v>
      </c>
      <c r="G125" s="53" t="str">
        <f>IF(Inicial!L125="SI",Inicial!G125,"N/A")</f>
        <v>N/A</v>
      </c>
      <c r="H125" s="53" t="str">
        <f>IF(Inicial!L125="SI",Inicial!H125,"N/A")</f>
        <v>N/A</v>
      </c>
      <c r="I125" s="55" t="str">
        <f>IF(Inicial!L125="SI",Inicial!I125,"N/A")</f>
        <v>N/A</v>
      </c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3" t="str" cm="1">
        <f t="array" ref="AF125">IF(OR(M125:AE125="NO"),"No aceptable","Aceptable")</f>
        <v>Aceptable</v>
      </c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2"/>
      <c r="BB125" s="102"/>
      <c r="BC125" s="104" t="str" cm="1">
        <f t="array" ref="BC125">IF(OR(AJ125:BB125="SI"),"Critico","No Critico")</f>
        <v>No Critico</v>
      </c>
    </row>
    <row r="126" spans="1:55">
      <c r="A126" s="52">
        <f>Inicial!A126</f>
        <v>0</v>
      </c>
      <c r="B126" s="53">
        <f>Inicial!B126</f>
        <v>0</v>
      </c>
      <c r="C126" s="53">
        <f>Inicial!C126</f>
        <v>0</v>
      </c>
      <c r="D126" s="54">
        <f>Inicial!D126</f>
        <v>0</v>
      </c>
      <c r="E126" s="52" t="str">
        <f>IF(Inicial!L126="SI",Inicial!E126,"N/A")</f>
        <v>N/A</v>
      </c>
      <c r="F126" s="53" t="str">
        <f>IF(Inicial!L126="SI",Inicial!F126,"N/A")</f>
        <v>N/A</v>
      </c>
      <c r="G126" s="53" t="str">
        <f>IF(Inicial!L126="SI",Inicial!G126,"N/A")</f>
        <v>N/A</v>
      </c>
      <c r="H126" s="53" t="str">
        <f>IF(Inicial!L126="SI",Inicial!H126,"N/A")</f>
        <v>N/A</v>
      </c>
      <c r="I126" s="55" t="str">
        <f>IF(Inicial!L126="SI",Inicial!I126,"N/A")</f>
        <v>N/A</v>
      </c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3" t="str" cm="1">
        <f t="array" ref="AF126">IF(OR(M126:AE126="NO"),"No aceptable","Aceptable")</f>
        <v>Aceptable</v>
      </c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4" t="str" cm="1">
        <f t="array" ref="BC126">IF(OR(AJ126:BB126="SI"),"Critico","No Critico")</f>
        <v>No Critico</v>
      </c>
    </row>
    <row r="127" spans="1:55">
      <c r="A127" s="52">
        <f>Inicial!A127</f>
        <v>0</v>
      </c>
      <c r="B127" s="53">
        <f>Inicial!B127</f>
        <v>0</v>
      </c>
      <c r="C127" s="53">
        <f>Inicial!C127</f>
        <v>0</v>
      </c>
      <c r="D127" s="54">
        <f>Inicial!D127</f>
        <v>0</v>
      </c>
      <c r="E127" s="52" t="str">
        <f>IF(Inicial!L127="SI",Inicial!E127,"N/A")</f>
        <v>N/A</v>
      </c>
      <c r="F127" s="53" t="str">
        <f>IF(Inicial!L127="SI",Inicial!F127,"N/A")</f>
        <v>N/A</v>
      </c>
      <c r="G127" s="53" t="str">
        <f>IF(Inicial!L127="SI",Inicial!G127,"N/A")</f>
        <v>N/A</v>
      </c>
      <c r="H127" s="53" t="str">
        <f>IF(Inicial!L127="SI",Inicial!H127,"N/A")</f>
        <v>N/A</v>
      </c>
      <c r="I127" s="55" t="str">
        <f>IF(Inicial!L127="SI",Inicial!I127,"N/A")</f>
        <v>N/A</v>
      </c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3" t="str" cm="1">
        <f t="array" ref="AF127">IF(OR(M127:AE127="NO"),"No aceptable","Aceptable")</f>
        <v>Aceptable</v>
      </c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2"/>
      <c r="BB127" s="102"/>
      <c r="BC127" s="104" t="str" cm="1">
        <f t="array" ref="BC127">IF(OR(AJ127:BB127="SI"),"Critico","No Critico")</f>
        <v>No Critico</v>
      </c>
    </row>
    <row r="128" spans="1:55">
      <c r="A128" s="52">
        <f>Inicial!A128</f>
        <v>0</v>
      </c>
      <c r="B128" s="53">
        <f>Inicial!B128</f>
        <v>0</v>
      </c>
      <c r="C128" s="53">
        <f>Inicial!C128</f>
        <v>0</v>
      </c>
      <c r="D128" s="54">
        <f>Inicial!D128</f>
        <v>0</v>
      </c>
      <c r="E128" s="52" t="str">
        <f>IF(Inicial!L128="SI",Inicial!E128,"N/A")</f>
        <v>N/A</v>
      </c>
      <c r="F128" s="53" t="str">
        <f>IF(Inicial!L128="SI",Inicial!F128,"N/A")</f>
        <v>N/A</v>
      </c>
      <c r="G128" s="53" t="str">
        <f>IF(Inicial!L128="SI",Inicial!G128,"N/A")</f>
        <v>N/A</v>
      </c>
      <c r="H128" s="53" t="str">
        <f>IF(Inicial!L128="SI",Inicial!H128,"N/A")</f>
        <v>N/A</v>
      </c>
      <c r="I128" s="55" t="str">
        <f>IF(Inicial!L128="SI",Inicial!I128,"N/A")</f>
        <v>N/A</v>
      </c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3" t="str" cm="1">
        <f t="array" ref="AF128">IF(OR(M128:AE128="NO"),"No aceptable","Aceptable")</f>
        <v>Aceptable</v>
      </c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2"/>
      <c r="BB128" s="102"/>
      <c r="BC128" s="104" t="str" cm="1">
        <f t="array" ref="BC128">IF(OR(AJ128:BB128="SI"),"Critico","No Critico")</f>
        <v>No Critico</v>
      </c>
    </row>
    <row r="129" spans="1:55">
      <c r="A129" s="52">
        <f>Inicial!A129</f>
        <v>0</v>
      </c>
      <c r="B129" s="53">
        <f>Inicial!B129</f>
        <v>0</v>
      </c>
      <c r="C129" s="53">
        <f>Inicial!C129</f>
        <v>0</v>
      </c>
      <c r="D129" s="54">
        <f>Inicial!D129</f>
        <v>0</v>
      </c>
      <c r="E129" s="52" t="str">
        <f>IF(Inicial!L129="SI",Inicial!E129,"N/A")</f>
        <v>N/A</v>
      </c>
      <c r="F129" s="53" t="str">
        <f>IF(Inicial!L129="SI",Inicial!F129,"N/A")</f>
        <v>N/A</v>
      </c>
      <c r="G129" s="53" t="str">
        <f>IF(Inicial!L129="SI",Inicial!G129,"N/A")</f>
        <v>N/A</v>
      </c>
      <c r="H129" s="53" t="str">
        <f>IF(Inicial!L129="SI",Inicial!H129,"N/A")</f>
        <v>N/A</v>
      </c>
      <c r="I129" s="55" t="str">
        <f>IF(Inicial!L129="SI",Inicial!I129,"N/A")</f>
        <v>N/A</v>
      </c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3" t="str" cm="1">
        <f t="array" ref="AF129">IF(OR(M129:AE129="NO"),"No aceptable","Aceptable")</f>
        <v>Aceptable</v>
      </c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2"/>
      <c r="BB129" s="102"/>
      <c r="BC129" s="104" t="str" cm="1">
        <f t="array" ref="BC129">IF(OR(AJ129:BB129="SI"),"Critico","No Critico")</f>
        <v>No Critico</v>
      </c>
    </row>
    <row r="130" spans="1:55">
      <c r="A130" s="52">
        <f>Inicial!A130</f>
        <v>0</v>
      </c>
      <c r="B130" s="53">
        <f>Inicial!B130</f>
        <v>0</v>
      </c>
      <c r="C130" s="53">
        <f>Inicial!C130</f>
        <v>0</v>
      </c>
      <c r="D130" s="54">
        <f>Inicial!D130</f>
        <v>0</v>
      </c>
      <c r="E130" s="52" t="str">
        <f>IF(Inicial!L130="SI",Inicial!E130,"N/A")</f>
        <v>N/A</v>
      </c>
      <c r="F130" s="53" t="str">
        <f>IF(Inicial!L130="SI",Inicial!F130,"N/A")</f>
        <v>N/A</v>
      </c>
      <c r="G130" s="53" t="str">
        <f>IF(Inicial!L130="SI",Inicial!G130,"N/A")</f>
        <v>N/A</v>
      </c>
      <c r="H130" s="53" t="str">
        <f>IF(Inicial!L130="SI",Inicial!H130,"N/A")</f>
        <v>N/A</v>
      </c>
      <c r="I130" s="55" t="str">
        <f>IF(Inicial!L130="SI",Inicial!I130,"N/A")</f>
        <v>N/A</v>
      </c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3" t="str" cm="1">
        <f t="array" ref="AF130">IF(OR(M130:AE130="NO"),"No aceptable","Aceptable")</f>
        <v>Aceptable</v>
      </c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4" t="str" cm="1">
        <f t="array" ref="BC130">IF(OR(AJ130:BB130="SI"),"Critico","No Critico")</f>
        <v>No Critico</v>
      </c>
    </row>
    <row r="131" spans="1:55">
      <c r="A131" s="52">
        <f>Inicial!A131</f>
        <v>0</v>
      </c>
      <c r="B131" s="53">
        <f>Inicial!B131</f>
        <v>0</v>
      </c>
      <c r="C131" s="53">
        <f>Inicial!C131</f>
        <v>0</v>
      </c>
      <c r="D131" s="54">
        <f>Inicial!D131</f>
        <v>0</v>
      </c>
      <c r="E131" s="52" t="str">
        <f>IF(Inicial!L131="SI",Inicial!E131,"N/A")</f>
        <v>N/A</v>
      </c>
      <c r="F131" s="53" t="str">
        <f>IF(Inicial!L131="SI",Inicial!F131,"N/A")</f>
        <v>N/A</v>
      </c>
      <c r="G131" s="53" t="str">
        <f>IF(Inicial!L131="SI",Inicial!G131,"N/A")</f>
        <v>N/A</v>
      </c>
      <c r="H131" s="53" t="str">
        <f>IF(Inicial!L131="SI",Inicial!H131,"N/A")</f>
        <v>N/A</v>
      </c>
      <c r="I131" s="55" t="str">
        <f>IF(Inicial!L131="SI",Inicial!I131,"N/A")</f>
        <v>N/A</v>
      </c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3" t="str" cm="1">
        <f t="array" ref="AF131">IF(OR(M131:AE131="NO"),"No aceptable","Aceptable")</f>
        <v>Aceptable</v>
      </c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4" t="str" cm="1">
        <f t="array" ref="BC131">IF(OR(AJ131:BB131="SI"),"Critico","No Critico")</f>
        <v>No Critico</v>
      </c>
    </row>
    <row r="132" spans="1:55">
      <c r="A132" s="52">
        <f>Inicial!A132</f>
        <v>0</v>
      </c>
      <c r="B132" s="53">
        <f>Inicial!B132</f>
        <v>0</v>
      </c>
      <c r="C132" s="53">
        <f>Inicial!C132</f>
        <v>0</v>
      </c>
      <c r="D132" s="54">
        <f>Inicial!D132</f>
        <v>0</v>
      </c>
      <c r="E132" s="52" t="str">
        <f>IF(Inicial!L132="SI",Inicial!E132,"N/A")</f>
        <v>N/A</v>
      </c>
      <c r="F132" s="53" t="str">
        <f>IF(Inicial!L132="SI",Inicial!F132,"N/A")</f>
        <v>N/A</v>
      </c>
      <c r="G132" s="53" t="str">
        <f>IF(Inicial!L132="SI",Inicial!G132,"N/A")</f>
        <v>N/A</v>
      </c>
      <c r="H132" s="53" t="str">
        <f>IF(Inicial!L132="SI",Inicial!H132,"N/A")</f>
        <v>N/A</v>
      </c>
      <c r="I132" s="55" t="str">
        <f>IF(Inicial!L132="SI",Inicial!I132,"N/A")</f>
        <v>N/A</v>
      </c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3" t="str" cm="1">
        <f t="array" ref="AF132">IF(OR(M132:AE132="NO"),"No aceptable","Aceptable")</f>
        <v>Aceptable</v>
      </c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4" t="str" cm="1">
        <f t="array" ref="BC132">IF(OR(AJ132:BB132="SI"),"Critico","No Critico")</f>
        <v>No Critico</v>
      </c>
    </row>
    <row r="133" spans="1:55">
      <c r="A133" s="52">
        <f>Inicial!A133</f>
        <v>0</v>
      </c>
      <c r="B133" s="53">
        <f>Inicial!B133</f>
        <v>0</v>
      </c>
      <c r="C133" s="53">
        <f>Inicial!C133</f>
        <v>0</v>
      </c>
      <c r="D133" s="54">
        <f>Inicial!D133</f>
        <v>0</v>
      </c>
      <c r="E133" s="52" t="str">
        <f>IF(Inicial!L133="SI",Inicial!E133,"N/A")</f>
        <v>N/A</v>
      </c>
      <c r="F133" s="53" t="str">
        <f>IF(Inicial!L133="SI",Inicial!F133,"N/A")</f>
        <v>N/A</v>
      </c>
      <c r="G133" s="53" t="str">
        <f>IF(Inicial!L133="SI",Inicial!G133,"N/A")</f>
        <v>N/A</v>
      </c>
      <c r="H133" s="53" t="str">
        <f>IF(Inicial!L133="SI",Inicial!H133,"N/A")</f>
        <v>N/A</v>
      </c>
      <c r="I133" s="55" t="str">
        <f>IF(Inicial!L133="SI",Inicial!I133,"N/A")</f>
        <v>N/A</v>
      </c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3" t="str" cm="1">
        <f t="array" ref="AF133">IF(OR(M133:AE133="NO"),"No aceptable","Aceptable")</f>
        <v>Aceptable</v>
      </c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4" t="str" cm="1">
        <f t="array" ref="BC133">IF(OR(AJ133:BB133="SI"),"Critico","No Critico")</f>
        <v>No Critico</v>
      </c>
    </row>
    <row r="134" spans="1:55">
      <c r="A134" s="52">
        <f>Inicial!A134</f>
        <v>0</v>
      </c>
      <c r="B134" s="53">
        <f>Inicial!B134</f>
        <v>0</v>
      </c>
      <c r="C134" s="53">
        <f>Inicial!C134</f>
        <v>0</v>
      </c>
      <c r="D134" s="54">
        <f>Inicial!D134</f>
        <v>0</v>
      </c>
      <c r="E134" s="52" t="str">
        <f>IF(Inicial!L134="SI",Inicial!E134,"N/A")</f>
        <v>N/A</v>
      </c>
      <c r="F134" s="53" t="str">
        <f>IF(Inicial!L134="SI",Inicial!F134,"N/A")</f>
        <v>N/A</v>
      </c>
      <c r="G134" s="53" t="str">
        <f>IF(Inicial!L134="SI",Inicial!G134,"N/A")</f>
        <v>N/A</v>
      </c>
      <c r="H134" s="53" t="str">
        <f>IF(Inicial!L134="SI",Inicial!H134,"N/A")</f>
        <v>N/A</v>
      </c>
      <c r="I134" s="55" t="str">
        <f>IF(Inicial!L134="SI",Inicial!I134,"N/A")</f>
        <v>N/A</v>
      </c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3" t="str" cm="1">
        <f t="array" ref="AF134">IF(OR(M134:AE134="NO"),"No aceptable","Aceptable")</f>
        <v>Aceptable</v>
      </c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4" t="str" cm="1">
        <f t="array" ref="BC134">IF(OR(AJ134:BB134="SI"),"Critico","No Critico")</f>
        <v>No Critico</v>
      </c>
    </row>
    <row r="135" spans="1:55">
      <c r="A135" s="52">
        <f>Inicial!A135</f>
        <v>0</v>
      </c>
      <c r="B135" s="53">
        <f>Inicial!B135</f>
        <v>0</v>
      </c>
      <c r="C135" s="53">
        <f>Inicial!C135</f>
        <v>0</v>
      </c>
      <c r="D135" s="54">
        <f>Inicial!D135</f>
        <v>0</v>
      </c>
      <c r="E135" s="52" t="str">
        <f>IF(Inicial!L135="SI",Inicial!E135,"N/A")</f>
        <v>N/A</v>
      </c>
      <c r="F135" s="53" t="str">
        <f>IF(Inicial!L135="SI",Inicial!F135,"N/A")</f>
        <v>N/A</v>
      </c>
      <c r="G135" s="53" t="str">
        <f>IF(Inicial!L135="SI",Inicial!G135,"N/A")</f>
        <v>N/A</v>
      </c>
      <c r="H135" s="53" t="str">
        <f>IF(Inicial!L135="SI",Inicial!H135,"N/A")</f>
        <v>N/A</v>
      </c>
      <c r="I135" s="55" t="str">
        <f>IF(Inicial!L135="SI",Inicial!I135,"N/A")</f>
        <v>N/A</v>
      </c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3" t="str" cm="1">
        <f t="array" ref="AF135">IF(OR(M135:AE135="NO"),"No aceptable","Aceptable")</f>
        <v>Aceptable</v>
      </c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4" t="str" cm="1">
        <f t="array" ref="BC135">IF(OR(AJ135:BB135="SI"),"Critico","No Critico")</f>
        <v>No Critico</v>
      </c>
    </row>
    <row r="136" spans="1:55">
      <c r="A136" s="52">
        <f>Inicial!A136</f>
        <v>0</v>
      </c>
      <c r="B136" s="53">
        <f>Inicial!B136</f>
        <v>0</v>
      </c>
      <c r="C136" s="53">
        <f>Inicial!C136</f>
        <v>0</v>
      </c>
      <c r="D136" s="54">
        <f>Inicial!D136</f>
        <v>0</v>
      </c>
      <c r="E136" s="52" t="str">
        <f>IF(Inicial!L136="SI",Inicial!E136,"N/A")</f>
        <v>N/A</v>
      </c>
      <c r="F136" s="53" t="str">
        <f>IF(Inicial!L136="SI",Inicial!F136,"N/A")</f>
        <v>N/A</v>
      </c>
      <c r="G136" s="53" t="str">
        <f>IF(Inicial!L136="SI",Inicial!G136,"N/A")</f>
        <v>N/A</v>
      </c>
      <c r="H136" s="53" t="str">
        <f>IF(Inicial!L136="SI",Inicial!H136,"N/A")</f>
        <v>N/A</v>
      </c>
      <c r="I136" s="55" t="str">
        <f>IF(Inicial!L136="SI",Inicial!I136,"N/A")</f>
        <v>N/A</v>
      </c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3" t="str" cm="1">
        <f t="array" ref="AF136">IF(OR(M136:AE136="NO"),"No aceptable","Aceptable")</f>
        <v>Aceptable</v>
      </c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4" t="str" cm="1">
        <f t="array" ref="BC136">IF(OR(AJ136:BB136="SI"),"Critico","No Critico")</f>
        <v>No Critico</v>
      </c>
    </row>
    <row r="137" spans="1:55">
      <c r="A137" s="52">
        <f>Inicial!A137</f>
        <v>0</v>
      </c>
      <c r="B137" s="53">
        <f>Inicial!B137</f>
        <v>0</v>
      </c>
      <c r="C137" s="53">
        <f>Inicial!C137</f>
        <v>0</v>
      </c>
      <c r="D137" s="54">
        <f>Inicial!D137</f>
        <v>0</v>
      </c>
      <c r="E137" s="52" t="str">
        <f>IF(Inicial!L137="SI",Inicial!E137,"N/A")</f>
        <v>N/A</v>
      </c>
      <c r="F137" s="53" t="str">
        <f>IF(Inicial!L137="SI",Inicial!F137,"N/A")</f>
        <v>N/A</v>
      </c>
      <c r="G137" s="53" t="str">
        <f>IF(Inicial!L137="SI",Inicial!G137,"N/A")</f>
        <v>N/A</v>
      </c>
      <c r="H137" s="53" t="str">
        <f>IF(Inicial!L137="SI",Inicial!H137,"N/A")</f>
        <v>N/A</v>
      </c>
      <c r="I137" s="55" t="str">
        <f>IF(Inicial!L137="SI",Inicial!I137,"N/A")</f>
        <v>N/A</v>
      </c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3" t="str" cm="1">
        <f t="array" ref="AF137">IF(OR(M137:AE137="NO"),"No aceptable","Aceptable")</f>
        <v>Aceptable</v>
      </c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4" t="str" cm="1">
        <f t="array" ref="BC137">IF(OR(AJ137:BB137="SI"),"Critico","No Critico")</f>
        <v>No Critico</v>
      </c>
    </row>
    <row r="138" spans="1:55">
      <c r="A138" s="52">
        <f>Inicial!A138</f>
        <v>0</v>
      </c>
      <c r="B138" s="53">
        <f>Inicial!B138</f>
        <v>0</v>
      </c>
      <c r="C138" s="53">
        <f>Inicial!C138</f>
        <v>0</v>
      </c>
      <c r="D138" s="54">
        <f>Inicial!D138</f>
        <v>0</v>
      </c>
      <c r="E138" s="52" t="str">
        <f>IF(Inicial!L138="SI",Inicial!E138,"N/A")</f>
        <v>N/A</v>
      </c>
      <c r="F138" s="53" t="str">
        <f>IF(Inicial!L138="SI",Inicial!F138,"N/A")</f>
        <v>N/A</v>
      </c>
      <c r="G138" s="53" t="str">
        <f>IF(Inicial!L138="SI",Inicial!G138,"N/A")</f>
        <v>N/A</v>
      </c>
      <c r="H138" s="53" t="str">
        <f>IF(Inicial!L138="SI",Inicial!H138,"N/A")</f>
        <v>N/A</v>
      </c>
      <c r="I138" s="55" t="str">
        <f>IF(Inicial!L138="SI",Inicial!I138,"N/A")</f>
        <v>N/A</v>
      </c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3" t="str" cm="1">
        <f t="array" ref="AF138">IF(OR(M138:AE138="NO"),"No aceptable","Aceptable")</f>
        <v>Aceptable</v>
      </c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4" t="str" cm="1">
        <f t="array" ref="BC138">IF(OR(AJ138:BB138="SI"),"Critico","No Critico")</f>
        <v>No Critico</v>
      </c>
    </row>
    <row r="139" spans="1:55">
      <c r="A139" s="52">
        <f>Inicial!A139</f>
        <v>0</v>
      </c>
      <c r="B139" s="53">
        <f>Inicial!B139</f>
        <v>0</v>
      </c>
      <c r="C139" s="53">
        <f>Inicial!C139</f>
        <v>0</v>
      </c>
      <c r="D139" s="54">
        <f>Inicial!D139</f>
        <v>0</v>
      </c>
      <c r="E139" s="52" t="str">
        <f>IF(Inicial!L139="SI",Inicial!E139,"N/A")</f>
        <v>N/A</v>
      </c>
      <c r="F139" s="53" t="str">
        <f>IF(Inicial!L139="SI",Inicial!F139,"N/A")</f>
        <v>N/A</v>
      </c>
      <c r="G139" s="53" t="str">
        <f>IF(Inicial!L139="SI",Inicial!G139,"N/A")</f>
        <v>N/A</v>
      </c>
      <c r="H139" s="53" t="str">
        <f>IF(Inicial!L139="SI",Inicial!H139,"N/A")</f>
        <v>N/A</v>
      </c>
      <c r="I139" s="55" t="str">
        <f>IF(Inicial!L139="SI",Inicial!I139,"N/A")</f>
        <v>N/A</v>
      </c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3" t="str" cm="1">
        <f t="array" ref="AF139">IF(OR(M139:AE139="NO"),"No aceptable","Aceptable")</f>
        <v>Aceptable</v>
      </c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4" t="str" cm="1">
        <f t="array" ref="BC139">IF(OR(AJ139:BB139="SI"),"Critico","No Critico")</f>
        <v>No Critico</v>
      </c>
    </row>
    <row r="140" spans="1:55">
      <c r="A140" s="52">
        <f>Inicial!A140</f>
        <v>0</v>
      </c>
      <c r="B140" s="53">
        <f>Inicial!B140</f>
        <v>0</v>
      </c>
      <c r="C140" s="53">
        <f>Inicial!C140</f>
        <v>0</v>
      </c>
      <c r="D140" s="54">
        <f>Inicial!D140</f>
        <v>0</v>
      </c>
      <c r="E140" s="52" t="str">
        <f>IF(Inicial!L140="SI",Inicial!E140,"N/A")</f>
        <v>N/A</v>
      </c>
      <c r="F140" s="53" t="str">
        <f>IF(Inicial!L140="SI",Inicial!F140,"N/A")</f>
        <v>N/A</v>
      </c>
      <c r="G140" s="53" t="str">
        <f>IF(Inicial!L140="SI",Inicial!G140,"N/A")</f>
        <v>N/A</v>
      </c>
      <c r="H140" s="53" t="str">
        <f>IF(Inicial!L140="SI",Inicial!H140,"N/A")</f>
        <v>N/A</v>
      </c>
      <c r="I140" s="55" t="str">
        <f>IF(Inicial!L140="SI",Inicial!I140,"N/A")</f>
        <v>N/A</v>
      </c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3" t="str" cm="1">
        <f t="array" ref="AF140">IF(OR(M140:AE140="NO"),"No aceptable","Aceptable")</f>
        <v>Aceptable</v>
      </c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4" t="str" cm="1">
        <f t="array" ref="BC140">IF(OR(AJ140:BB140="SI"),"Critico","No Critico")</f>
        <v>No Critico</v>
      </c>
    </row>
    <row r="141" spans="1:55">
      <c r="A141" s="52">
        <f>Inicial!A141</f>
        <v>0</v>
      </c>
      <c r="B141" s="53">
        <f>Inicial!B141</f>
        <v>0</v>
      </c>
      <c r="C141" s="53">
        <f>Inicial!C141</f>
        <v>0</v>
      </c>
      <c r="D141" s="54">
        <f>Inicial!D141</f>
        <v>0</v>
      </c>
      <c r="E141" s="52" t="str">
        <f>IF(Inicial!L141="SI",Inicial!E141,"N/A")</f>
        <v>N/A</v>
      </c>
      <c r="F141" s="53" t="str">
        <f>IF(Inicial!L141="SI",Inicial!F141,"N/A")</f>
        <v>N/A</v>
      </c>
      <c r="G141" s="53" t="str">
        <f>IF(Inicial!L141="SI",Inicial!G141,"N/A")</f>
        <v>N/A</v>
      </c>
      <c r="H141" s="53" t="str">
        <f>IF(Inicial!L141="SI",Inicial!H141,"N/A")</f>
        <v>N/A</v>
      </c>
      <c r="I141" s="55" t="str">
        <f>IF(Inicial!L141="SI",Inicial!I141,"N/A")</f>
        <v>N/A</v>
      </c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3" t="str" cm="1">
        <f t="array" ref="AF141">IF(OR(M141:AE141="NO"),"No aceptable","Aceptable")</f>
        <v>Aceptable</v>
      </c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4" t="str" cm="1">
        <f t="array" ref="BC141">IF(OR(AJ141:BB141="SI"),"Critico","No Critico")</f>
        <v>No Critico</v>
      </c>
    </row>
    <row r="142" spans="1:55">
      <c r="A142" s="52">
        <f>Inicial!A142</f>
        <v>0</v>
      </c>
      <c r="B142" s="53">
        <f>Inicial!B142</f>
        <v>0</v>
      </c>
      <c r="C142" s="53">
        <f>Inicial!C142</f>
        <v>0</v>
      </c>
      <c r="D142" s="54">
        <f>Inicial!D142</f>
        <v>0</v>
      </c>
      <c r="E142" s="52" t="str">
        <f>IF(Inicial!L142="SI",Inicial!E142,"N/A")</f>
        <v>N/A</v>
      </c>
      <c r="F142" s="53" t="str">
        <f>IF(Inicial!L142="SI",Inicial!F142,"N/A")</f>
        <v>N/A</v>
      </c>
      <c r="G142" s="53" t="str">
        <f>IF(Inicial!L142="SI",Inicial!G142,"N/A")</f>
        <v>N/A</v>
      </c>
      <c r="H142" s="53" t="str">
        <f>IF(Inicial!L142="SI",Inicial!H142,"N/A")</f>
        <v>N/A</v>
      </c>
      <c r="I142" s="55" t="str">
        <f>IF(Inicial!L142="SI",Inicial!I142,"N/A")</f>
        <v>N/A</v>
      </c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3" t="str" cm="1">
        <f t="array" ref="AF142">IF(OR(M142:AE142="NO"),"No aceptable","Aceptable")</f>
        <v>Aceptable</v>
      </c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4" t="str" cm="1">
        <f t="array" ref="BC142">IF(OR(AJ142:BB142="SI"),"Critico","No Critico")</f>
        <v>No Critico</v>
      </c>
    </row>
    <row r="143" spans="1:55">
      <c r="A143" s="52">
        <f>Inicial!A143</f>
        <v>0</v>
      </c>
      <c r="B143" s="53">
        <f>Inicial!B143</f>
        <v>0</v>
      </c>
      <c r="C143" s="53">
        <f>Inicial!C143</f>
        <v>0</v>
      </c>
      <c r="D143" s="54">
        <f>Inicial!D143</f>
        <v>0</v>
      </c>
      <c r="E143" s="52" t="str">
        <f>IF(Inicial!L143="SI",Inicial!E143,"N/A")</f>
        <v>N/A</v>
      </c>
      <c r="F143" s="53" t="str">
        <f>IF(Inicial!L143="SI",Inicial!F143,"N/A")</f>
        <v>N/A</v>
      </c>
      <c r="G143" s="53" t="str">
        <f>IF(Inicial!L143="SI",Inicial!G143,"N/A")</f>
        <v>N/A</v>
      </c>
      <c r="H143" s="53" t="str">
        <f>IF(Inicial!L143="SI",Inicial!H143,"N/A")</f>
        <v>N/A</v>
      </c>
      <c r="I143" s="55" t="str">
        <f>IF(Inicial!L143="SI",Inicial!I143,"N/A")</f>
        <v>N/A</v>
      </c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3" t="str" cm="1">
        <f t="array" ref="AF143">IF(OR(M143:AE143="NO"),"No aceptable","Aceptable")</f>
        <v>Aceptable</v>
      </c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4" t="str" cm="1">
        <f t="array" ref="BC143">IF(OR(AJ143:BB143="SI"),"Critico","No Critico")</f>
        <v>No Critico</v>
      </c>
    </row>
    <row r="144" spans="1:55">
      <c r="A144" s="52">
        <f>Inicial!A144</f>
        <v>0</v>
      </c>
      <c r="B144" s="53">
        <f>Inicial!B144</f>
        <v>0</v>
      </c>
      <c r="C144" s="53">
        <f>Inicial!C144</f>
        <v>0</v>
      </c>
      <c r="D144" s="54">
        <f>Inicial!D144</f>
        <v>0</v>
      </c>
      <c r="E144" s="52" t="str">
        <f>IF(Inicial!L144="SI",Inicial!E144,"N/A")</f>
        <v>N/A</v>
      </c>
      <c r="F144" s="53" t="str">
        <f>IF(Inicial!L144="SI",Inicial!F144,"N/A")</f>
        <v>N/A</v>
      </c>
      <c r="G144" s="53" t="str">
        <f>IF(Inicial!L144="SI",Inicial!G144,"N/A")</f>
        <v>N/A</v>
      </c>
      <c r="H144" s="53" t="str">
        <f>IF(Inicial!L144="SI",Inicial!H144,"N/A")</f>
        <v>N/A</v>
      </c>
      <c r="I144" s="55" t="str">
        <f>IF(Inicial!L144="SI",Inicial!I144,"N/A")</f>
        <v>N/A</v>
      </c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3" t="str" cm="1">
        <f t="array" ref="AF144">IF(OR(M144:AE144="NO"),"No aceptable","Aceptable")</f>
        <v>Aceptable</v>
      </c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4" t="str" cm="1">
        <f t="array" ref="BC144">IF(OR(AJ144:BB144="SI"),"Critico","No Critico")</f>
        <v>No Critico</v>
      </c>
    </row>
    <row r="145" spans="1:55">
      <c r="A145" s="52">
        <f>Inicial!A145</f>
        <v>0</v>
      </c>
      <c r="B145" s="53">
        <f>Inicial!B145</f>
        <v>0</v>
      </c>
      <c r="C145" s="53">
        <f>Inicial!C145</f>
        <v>0</v>
      </c>
      <c r="D145" s="54">
        <f>Inicial!D145</f>
        <v>0</v>
      </c>
      <c r="E145" s="52" t="str">
        <f>IF(Inicial!L145="SI",Inicial!E145,"N/A")</f>
        <v>N/A</v>
      </c>
      <c r="F145" s="53" t="str">
        <f>IF(Inicial!L145="SI",Inicial!F145,"N/A")</f>
        <v>N/A</v>
      </c>
      <c r="G145" s="53" t="str">
        <f>IF(Inicial!L145="SI",Inicial!G145,"N/A")</f>
        <v>N/A</v>
      </c>
      <c r="H145" s="53" t="str">
        <f>IF(Inicial!L145="SI",Inicial!H145,"N/A")</f>
        <v>N/A</v>
      </c>
      <c r="I145" s="55" t="str">
        <f>IF(Inicial!L145="SI",Inicial!I145,"N/A")</f>
        <v>N/A</v>
      </c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3" t="str" cm="1">
        <f t="array" ref="AF145">IF(OR(M145:AE145="NO"),"No aceptable","Aceptable")</f>
        <v>Aceptable</v>
      </c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4" t="str" cm="1">
        <f t="array" ref="BC145">IF(OR(AJ145:BB145="SI"),"Critico","No Critico")</f>
        <v>No Critico</v>
      </c>
    </row>
    <row r="146" spans="1:55">
      <c r="A146" s="52">
        <f>Inicial!A146</f>
        <v>0</v>
      </c>
      <c r="B146" s="53">
        <f>Inicial!B146</f>
        <v>0</v>
      </c>
      <c r="C146" s="53">
        <f>Inicial!C146</f>
        <v>0</v>
      </c>
      <c r="D146" s="54">
        <f>Inicial!D146</f>
        <v>0</v>
      </c>
      <c r="E146" s="52" t="str">
        <f>IF(Inicial!L146="SI",Inicial!E146,"N/A")</f>
        <v>N/A</v>
      </c>
      <c r="F146" s="53" t="str">
        <f>IF(Inicial!L146="SI",Inicial!F146,"N/A")</f>
        <v>N/A</v>
      </c>
      <c r="G146" s="53" t="str">
        <f>IF(Inicial!L146="SI",Inicial!G146,"N/A")</f>
        <v>N/A</v>
      </c>
      <c r="H146" s="53" t="str">
        <f>IF(Inicial!L146="SI",Inicial!H146,"N/A")</f>
        <v>N/A</v>
      </c>
      <c r="I146" s="55" t="str">
        <f>IF(Inicial!L146="SI",Inicial!I146,"N/A")</f>
        <v>N/A</v>
      </c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3" t="str" cm="1">
        <f t="array" ref="AF146">IF(OR(M146:AE146="NO"),"No aceptable","Aceptable")</f>
        <v>Aceptable</v>
      </c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4" t="str" cm="1">
        <f t="array" ref="BC146">IF(OR(AJ146:BB146="SI"),"Critico","No Critico")</f>
        <v>No Critico</v>
      </c>
    </row>
    <row r="147" spans="1:55">
      <c r="A147" s="52">
        <f>Inicial!A147</f>
        <v>0</v>
      </c>
      <c r="B147" s="53">
        <f>Inicial!B147</f>
        <v>0</v>
      </c>
      <c r="C147" s="53">
        <f>Inicial!C147</f>
        <v>0</v>
      </c>
      <c r="D147" s="54">
        <f>Inicial!D147</f>
        <v>0</v>
      </c>
      <c r="E147" s="52" t="str">
        <f>IF(Inicial!L147="SI",Inicial!E147,"N/A")</f>
        <v>N/A</v>
      </c>
      <c r="F147" s="53" t="str">
        <f>IF(Inicial!L147="SI",Inicial!F147,"N/A")</f>
        <v>N/A</v>
      </c>
      <c r="G147" s="53" t="str">
        <f>IF(Inicial!L147="SI",Inicial!G147,"N/A")</f>
        <v>N/A</v>
      </c>
      <c r="H147" s="53" t="str">
        <f>IF(Inicial!L147="SI",Inicial!H147,"N/A")</f>
        <v>N/A</v>
      </c>
      <c r="I147" s="55" t="str">
        <f>IF(Inicial!L147="SI",Inicial!I147,"N/A")</f>
        <v>N/A</v>
      </c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3" t="str" cm="1">
        <f t="array" ref="AF147">IF(OR(M147:AE147="NO"),"No aceptable","Aceptable")</f>
        <v>Aceptable</v>
      </c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4" t="str" cm="1">
        <f t="array" ref="BC147">IF(OR(AJ147:BB147="SI"),"Critico","No Critico")</f>
        <v>No Critico</v>
      </c>
    </row>
    <row r="148" spans="1:55">
      <c r="A148" s="52">
        <f>Inicial!A148</f>
        <v>0</v>
      </c>
      <c r="B148" s="53">
        <f>Inicial!B148</f>
        <v>0</v>
      </c>
      <c r="C148" s="53">
        <f>Inicial!C148</f>
        <v>0</v>
      </c>
      <c r="D148" s="54">
        <f>Inicial!D148</f>
        <v>0</v>
      </c>
      <c r="E148" s="52" t="str">
        <f>IF(Inicial!L148="SI",Inicial!E148,"N/A")</f>
        <v>N/A</v>
      </c>
      <c r="F148" s="53" t="str">
        <f>IF(Inicial!L148="SI",Inicial!F148,"N/A")</f>
        <v>N/A</v>
      </c>
      <c r="G148" s="53" t="str">
        <f>IF(Inicial!L148="SI",Inicial!G148,"N/A")</f>
        <v>N/A</v>
      </c>
      <c r="H148" s="53" t="str">
        <f>IF(Inicial!L148="SI",Inicial!H148,"N/A")</f>
        <v>N/A</v>
      </c>
      <c r="I148" s="55" t="str">
        <f>IF(Inicial!L148="SI",Inicial!I148,"N/A")</f>
        <v>N/A</v>
      </c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3" t="str" cm="1">
        <f t="array" ref="AF148">IF(OR(M148:AE148="NO"),"No aceptable","Aceptable")</f>
        <v>Aceptable</v>
      </c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4" t="str" cm="1">
        <f t="array" ref="BC148">IF(OR(AJ148:BB148="SI"),"Critico","No Critico")</f>
        <v>No Critico</v>
      </c>
    </row>
    <row r="149" spans="1:55">
      <c r="A149" s="52">
        <f>Inicial!A149</f>
        <v>0</v>
      </c>
      <c r="B149" s="53">
        <f>Inicial!B149</f>
        <v>0</v>
      </c>
      <c r="C149" s="53">
        <f>Inicial!C149</f>
        <v>0</v>
      </c>
      <c r="D149" s="54">
        <f>Inicial!D149</f>
        <v>0</v>
      </c>
      <c r="E149" s="52" t="str">
        <f>IF(Inicial!L149="SI",Inicial!E149,"N/A")</f>
        <v>N/A</v>
      </c>
      <c r="F149" s="53" t="str">
        <f>IF(Inicial!L149="SI",Inicial!F149,"N/A")</f>
        <v>N/A</v>
      </c>
      <c r="G149" s="53" t="str">
        <f>IF(Inicial!L149="SI",Inicial!G149,"N/A")</f>
        <v>N/A</v>
      </c>
      <c r="H149" s="53" t="str">
        <f>IF(Inicial!L149="SI",Inicial!H149,"N/A")</f>
        <v>N/A</v>
      </c>
      <c r="I149" s="55" t="str">
        <f>IF(Inicial!L149="SI",Inicial!I149,"N/A")</f>
        <v>N/A</v>
      </c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3" t="str" cm="1">
        <f t="array" ref="AF149">IF(OR(M149:AE149="NO"),"No aceptable","Aceptable")</f>
        <v>Aceptable</v>
      </c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4" t="str" cm="1">
        <f t="array" ref="BC149">IF(OR(AJ149:BB149="SI"),"Critico","No Critico")</f>
        <v>No Critico</v>
      </c>
    </row>
    <row r="150" spans="1:55">
      <c r="A150" s="52">
        <f>Inicial!A150</f>
        <v>0</v>
      </c>
      <c r="B150" s="53">
        <f>Inicial!B150</f>
        <v>0</v>
      </c>
      <c r="C150" s="53">
        <f>Inicial!C150</f>
        <v>0</v>
      </c>
      <c r="D150" s="54">
        <f>Inicial!D150</f>
        <v>0</v>
      </c>
      <c r="E150" s="52" t="str">
        <f>IF(Inicial!L150="SI",Inicial!E150,"N/A")</f>
        <v>N/A</v>
      </c>
      <c r="F150" s="53" t="str">
        <f>IF(Inicial!L150="SI",Inicial!F150,"N/A")</f>
        <v>N/A</v>
      </c>
      <c r="G150" s="53" t="str">
        <f>IF(Inicial!L150="SI",Inicial!G150,"N/A")</f>
        <v>N/A</v>
      </c>
      <c r="H150" s="53" t="str">
        <f>IF(Inicial!L150="SI",Inicial!H150,"N/A")</f>
        <v>N/A</v>
      </c>
      <c r="I150" s="55" t="str">
        <f>IF(Inicial!L150="SI",Inicial!I150,"N/A")</f>
        <v>N/A</v>
      </c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3" t="str" cm="1">
        <f t="array" ref="AF150">IF(OR(M150:AE150="NO"),"No aceptable","Aceptable")</f>
        <v>Aceptable</v>
      </c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4" t="str" cm="1">
        <f t="array" ref="BC150">IF(OR(AJ150:BB150="SI"),"Critico","No Critico")</f>
        <v>No Critico</v>
      </c>
    </row>
    <row r="151" spans="1:55">
      <c r="A151" s="52">
        <f>Inicial!A151</f>
        <v>0</v>
      </c>
      <c r="B151" s="53">
        <f>Inicial!B151</f>
        <v>0</v>
      </c>
      <c r="C151" s="53">
        <f>Inicial!C151</f>
        <v>0</v>
      </c>
      <c r="D151" s="54">
        <f>Inicial!D151</f>
        <v>0</v>
      </c>
      <c r="E151" s="52" t="str">
        <f>IF(Inicial!L151="SI",Inicial!E151,"N/A")</f>
        <v>N/A</v>
      </c>
      <c r="F151" s="53" t="str">
        <f>IF(Inicial!L151="SI",Inicial!F151,"N/A")</f>
        <v>N/A</v>
      </c>
      <c r="G151" s="53" t="str">
        <f>IF(Inicial!L151="SI",Inicial!G151,"N/A")</f>
        <v>N/A</v>
      </c>
      <c r="H151" s="53" t="str">
        <f>IF(Inicial!L151="SI",Inicial!H151,"N/A")</f>
        <v>N/A</v>
      </c>
      <c r="I151" s="55" t="str">
        <f>IF(Inicial!L151="SI",Inicial!I151,"N/A")</f>
        <v>N/A</v>
      </c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3" t="str" cm="1">
        <f t="array" ref="AF151">IF(OR(M151:AE151="NO"),"No aceptable","Aceptable")</f>
        <v>Aceptable</v>
      </c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4" t="str" cm="1">
        <f t="array" ref="BC151">IF(OR(AJ151:BB151="SI"),"Critico","No Critico")</f>
        <v>No Critico</v>
      </c>
    </row>
    <row r="152" spans="1:55">
      <c r="A152" s="52">
        <f>Inicial!A152</f>
        <v>0</v>
      </c>
      <c r="B152" s="53">
        <f>Inicial!B152</f>
        <v>0</v>
      </c>
      <c r="C152" s="53">
        <f>Inicial!C152</f>
        <v>0</v>
      </c>
      <c r="D152" s="54">
        <f>Inicial!D152</f>
        <v>0</v>
      </c>
      <c r="E152" s="52" t="str">
        <f>IF(Inicial!L152="SI",Inicial!E152,"N/A")</f>
        <v>N/A</v>
      </c>
      <c r="F152" s="53" t="str">
        <f>IF(Inicial!L152="SI",Inicial!F152,"N/A")</f>
        <v>N/A</v>
      </c>
      <c r="G152" s="53" t="str">
        <f>IF(Inicial!L152="SI",Inicial!G152,"N/A")</f>
        <v>N/A</v>
      </c>
      <c r="H152" s="53" t="str">
        <f>IF(Inicial!L152="SI",Inicial!H152,"N/A")</f>
        <v>N/A</v>
      </c>
      <c r="I152" s="55" t="str">
        <f>IF(Inicial!L152="SI",Inicial!I152,"N/A")</f>
        <v>N/A</v>
      </c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3" t="str" cm="1">
        <f t="array" ref="AF152">IF(OR(M152:AE152="NO"),"No aceptable","Aceptable")</f>
        <v>Aceptable</v>
      </c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4" t="str" cm="1">
        <f t="array" ref="BC152">IF(OR(AJ152:BB152="SI"),"Critico","No Critico")</f>
        <v>No Critico</v>
      </c>
    </row>
    <row r="153" spans="1:55">
      <c r="A153" s="52">
        <f>Inicial!A153</f>
        <v>0</v>
      </c>
      <c r="B153" s="53">
        <f>Inicial!B153</f>
        <v>0</v>
      </c>
      <c r="C153" s="53">
        <f>Inicial!C153</f>
        <v>0</v>
      </c>
      <c r="D153" s="54">
        <f>Inicial!D153</f>
        <v>0</v>
      </c>
      <c r="E153" s="52" t="str">
        <f>IF(Inicial!L153="SI",Inicial!E153,"N/A")</f>
        <v>N/A</v>
      </c>
      <c r="F153" s="53" t="str">
        <f>IF(Inicial!L153="SI",Inicial!F153,"N/A")</f>
        <v>N/A</v>
      </c>
      <c r="G153" s="53" t="str">
        <f>IF(Inicial!L153="SI",Inicial!G153,"N/A")</f>
        <v>N/A</v>
      </c>
      <c r="H153" s="53" t="str">
        <f>IF(Inicial!L153="SI",Inicial!H153,"N/A")</f>
        <v>N/A</v>
      </c>
      <c r="I153" s="55" t="str">
        <f>IF(Inicial!L153="SI",Inicial!I153,"N/A")</f>
        <v>N/A</v>
      </c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3" t="str" cm="1">
        <f t="array" ref="AF153">IF(OR(M153:AE153="NO"),"No aceptable","Aceptable")</f>
        <v>Aceptable</v>
      </c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4" t="str" cm="1">
        <f t="array" ref="BC153">IF(OR(AJ153:BB153="SI"),"Critico","No Critico")</f>
        <v>No Critico</v>
      </c>
    </row>
    <row r="154" spans="1:55">
      <c r="A154" s="52">
        <f>Inicial!A154</f>
        <v>0</v>
      </c>
      <c r="B154" s="53">
        <f>Inicial!B154</f>
        <v>0</v>
      </c>
      <c r="C154" s="53">
        <f>Inicial!C154</f>
        <v>0</v>
      </c>
      <c r="D154" s="54">
        <f>Inicial!D154</f>
        <v>0</v>
      </c>
      <c r="E154" s="52" t="str">
        <f>IF(Inicial!L154="SI",Inicial!E154,"N/A")</f>
        <v>N/A</v>
      </c>
      <c r="F154" s="53" t="str">
        <f>IF(Inicial!L154="SI",Inicial!F154,"N/A")</f>
        <v>N/A</v>
      </c>
      <c r="G154" s="53" t="str">
        <f>IF(Inicial!L154="SI",Inicial!G154,"N/A")</f>
        <v>N/A</v>
      </c>
      <c r="H154" s="53" t="str">
        <f>IF(Inicial!L154="SI",Inicial!H154,"N/A")</f>
        <v>N/A</v>
      </c>
      <c r="I154" s="55" t="str">
        <f>IF(Inicial!L154="SI",Inicial!I154,"N/A")</f>
        <v>N/A</v>
      </c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3" t="str" cm="1">
        <f t="array" ref="AF154">IF(OR(M154:AE154="NO"),"No aceptable","Aceptable")</f>
        <v>Aceptable</v>
      </c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4" t="str" cm="1">
        <f t="array" ref="BC154">IF(OR(AJ154:BB154="SI"),"Critico","No Critico")</f>
        <v>No Critico</v>
      </c>
    </row>
    <row r="155" spans="1:55">
      <c r="A155" s="52">
        <f>Inicial!A155</f>
        <v>0</v>
      </c>
      <c r="B155" s="53">
        <f>Inicial!B155</f>
        <v>0</v>
      </c>
      <c r="C155" s="53">
        <f>Inicial!C155</f>
        <v>0</v>
      </c>
      <c r="D155" s="54">
        <f>Inicial!D155</f>
        <v>0</v>
      </c>
      <c r="E155" s="52" t="str">
        <f>IF(Inicial!L155="SI",Inicial!E155,"N/A")</f>
        <v>N/A</v>
      </c>
      <c r="F155" s="53" t="str">
        <f>IF(Inicial!L155="SI",Inicial!F155,"N/A")</f>
        <v>N/A</v>
      </c>
      <c r="G155" s="53" t="str">
        <f>IF(Inicial!L155="SI",Inicial!G155,"N/A")</f>
        <v>N/A</v>
      </c>
      <c r="H155" s="53" t="str">
        <f>IF(Inicial!L155="SI",Inicial!H155,"N/A")</f>
        <v>N/A</v>
      </c>
      <c r="I155" s="55" t="str">
        <f>IF(Inicial!L155="SI",Inicial!I155,"N/A")</f>
        <v>N/A</v>
      </c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3" t="str" cm="1">
        <f t="array" ref="AF155">IF(OR(M155:AE155="NO"),"No aceptable","Aceptable")</f>
        <v>Aceptable</v>
      </c>
      <c r="AG155" s="102"/>
      <c r="AH155" s="102"/>
      <c r="AI155" s="102"/>
      <c r="AJ155" s="102"/>
      <c r="AK155" s="102"/>
      <c r="AL155" s="102"/>
      <c r="AM155" s="102"/>
      <c r="AN155" s="102"/>
      <c r="AO155" s="102"/>
      <c r="AP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4" t="str" cm="1">
        <f t="array" ref="BC155">IF(OR(AJ155:BB155="SI"),"Critico","No Critico")</f>
        <v>No Critico</v>
      </c>
    </row>
    <row r="156" spans="1:55">
      <c r="A156" s="52">
        <f>Inicial!A156</f>
        <v>0</v>
      </c>
      <c r="B156" s="53">
        <f>Inicial!B156</f>
        <v>0</v>
      </c>
      <c r="C156" s="53">
        <f>Inicial!C156</f>
        <v>0</v>
      </c>
      <c r="D156" s="54">
        <f>Inicial!D156</f>
        <v>0</v>
      </c>
      <c r="E156" s="52" t="str">
        <f>IF(Inicial!L156="SI",Inicial!E156,"N/A")</f>
        <v>N/A</v>
      </c>
      <c r="F156" s="53" t="str">
        <f>IF(Inicial!L156="SI",Inicial!F156,"N/A")</f>
        <v>N/A</v>
      </c>
      <c r="G156" s="53" t="str">
        <f>IF(Inicial!L156="SI",Inicial!G156,"N/A")</f>
        <v>N/A</v>
      </c>
      <c r="H156" s="53" t="str">
        <f>IF(Inicial!L156="SI",Inicial!H156,"N/A")</f>
        <v>N/A</v>
      </c>
      <c r="I156" s="55" t="str">
        <f>IF(Inicial!L156="SI",Inicial!I156,"N/A")</f>
        <v>N/A</v>
      </c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3" t="str" cm="1">
        <f t="array" ref="AF156">IF(OR(M156:AE156="NO"),"No aceptable","Aceptable")</f>
        <v>Aceptable</v>
      </c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4" t="str" cm="1">
        <f t="array" ref="BC156">IF(OR(AJ156:BB156="SI"),"Critico","No Critico")</f>
        <v>No Critico</v>
      </c>
    </row>
    <row r="157" spans="1:55">
      <c r="A157" s="52">
        <f>Inicial!A157</f>
        <v>0</v>
      </c>
      <c r="B157" s="53">
        <f>Inicial!B157</f>
        <v>0</v>
      </c>
      <c r="C157" s="53">
        <f>Inicial!C157</f>
        <v>0</v>
      </c>
      <c r="D157" s="54">
        <f>Inicial!D157</f>
        <v>0</v>
      </c>
      <c r="E157" s="52" t="str">
        <f>IF(Inicial!L157="SI",Inicial!E157,"N/A")</f>
        <v>N/A</v>
      </c>
      <c r="F157" s="53" t="str">
        <f>IF(Inicial!L157="SI",Inicial!F157,"N/A")</f>
        <v>N/A</v>
      </c>
      <c r="G157" s="53" t="str">
        <f>IF(Inicial!L157="SI",Inicial!G157,"N/A")</f>
        <v>N/A</v>
      </c>
      <c r="H157" s="53" t="str">
        <f>IF(Inicial!L157="SI",Inicial!H157,"N/A")</f>
        <v>N/A</v>
      </c>
      <c r="I157" s="55" t="str">
        <f>IF(Inicial!L157="SI",Inicial!I157,"N/A")</f>
        <v>N/A</v>
      </c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3" t="str" cm="1">
        <f t="array" ref="AF157">IF(OR(M157:AE157="NO"),"No aceptable","Aceptable")</f>
        <v>Aceptable</v>
      </c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4" t="str" cm="1">
        <f t="array" ref="BC157">IF(OR(AJ157:BB157="SI"),"Critico","No Critico")</f>
        <v>No Critico</v>
      </c>
    </row>
    <row r="158" spans="1:55">
      <c r="A158" s="52">
        <f>Inicial!A158</f>
        <v>0</v>
      </c>
      <c r="B158" s="53">
        <f>Inicial!B158</f>
        <v>0</v>
      </c>
      <c r="C158" s="53">
        <f>Inicial!C158</f>
        <v>0</v>
      </c>
      <c r="D158" s="54">
        <f>Inicial!D158</f>
        <v>0</v>
      </c>
      <c r="E158" s="52" t="str">
        <f>IF(Inicial!L158="SI",Inicial!E158,"N/A")</f>
        <v>N/A</v>
      </c>
      <c r="F158" s="53" t="str">
        <f>IF(Inicial!L158="SI",Inicial!F158,"N/A")</f>
        <v>N/A</v>
      </c>
      <c r="G158" s="53" t="str">
        <f>IF(Inicial!L158="SI",Inicial!G158,"N/A")</f>
        <v>N/A</v>
      </c>
      <c r="H158" s="53" t="str">
        <f>IF(Inicial!L158="SI",Inicial!H158,"N/A")</f>
        <v>N/A</v>
      </c>
      <c r="I158" s="55" t="str">
        <f>IF(Inicial!L158="SI",Inicial!I158,"N/A")</f>
        <v>N/A</v>
      </c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3" t="str" cm="1">
        <f t="array" ref="AF158">IF(OR(M158:AE158="NO"),"No aceptable","Aceptable")</f>
        <v>Aceptable</v>
      </c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4" t="str" cm="1">
        <f t="array" ref="BC158">IF(OR(AJ158:BB158="SI"),"Critico","No Critico")</f>
        <v>No Critico</v>
      </c>
    </row>
    <row r="159" spans="1:55">
      <c r="A159" s="52">
        <f>Inicial!A159</f>
        <v>0</v>
      </c>
      <c r="B159" s="53">
        <f>Inicial!B159</f>
        <v>0</v>
      </c>
      <c r="C159" s="53">
        <f>Inicial!C159</f>
        <v>0</v>
      </c>
      <c r="D159" s="54">
        <f>Inicial!D159</f>
        <v>0</v>
      </c>
      <c r="E159" s="52" t="str">
        <f>IF(Inicial!L159="SI",Inicial!E159,"N/A")</f>
        <v>N/A</v>
      </c>
      <c r="F159" s="53" t="str">
        <f>IF(Inicial!L159="SI",Inicial!F159,"N/A")</f>
        <v>N/A</v>
      </c>
      <c r="G159" s="53" t="str">
        <f>IF(Inicial!L159="SI",Inicial!G159,"N/A")</f>
        <v>N/A</v>
      </c>
      <c r="H159" s="53" t="str">
        <f>IF(Inicial!L159="SI",Inicial!H159,"N/A")</f>
        <v>N/A</v>
      </c>
      <c r="I159" s="55" t="str">
        <f>IF(Inicial!L159="SI",Inicial!I159,"N/A")</f>
        <v>N/A</v>
      </c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3" t="str" cm="1">
        <f t="array" ref="AF159">IF(OR(M159:AE159="NO"),"No aceptable","Aceptable")</f>
        <v>Aceptable</v>
      </c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4" t="str" cm="1">
        <f t="array" ref="BC159">IF(OR(AJ159:BB159="SI"),"Critico","No Critico")</f>
        <v>No Critico</v>
      </c>
    </row>
    <row r="160" spans="1:55">
      <c r="A160" s="52">
        <f>Inicial!A160</f>
        <v>0</v>
      </c>
      <c r="B160" s="53">
        <f>Inicial!B160</f>
        <v>0</v>
      </c>
      <c r="C160" s="53">
        <f>Inicial!C160</f>
        <v>0</v>
      </c>
      <c r="D160" s="54">
        <f>Inicial!D160</f>
        <v>0</v>
      </c>
      <c r="E160" s="52" t="str">
        <f>IF(Inicial!L160="SI",Inicial!E160,"N/A")</f>
        <v>N/A</v>
      </c>
      <c r="F160" s="53" t="str">
        <f>IF(Inicial!L160="SI",Inicial!F160,"N/A")</f>
        <v>N/A</v>
      </c>
      <c r="G160" s="53" t="str">
        <f>IF(Inicial!L160="SI",Inicial!G160,"N/A")</f>
        <v>N/A</v>
      </c>
      <c r="H160" s="53" t="str">
        <f>IF(Inicial!L160="SI",Inicial!H160,"N/A")</f>
        <v>N/A</v>
      </c>
      <c r="I160" s="55" t="str">
        <f>IF(Inicial!L160="SI",Inicial!I160,"N/A")</f>
        <v>N/A</v>
      </c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3" t="str" cm="1">
        <f t="array" ref="AF160">IF(OR(M160:AE160="NO"),"No aceptable","Aceptable")</f>
        <v>Aceptable</v>
      </c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4" t="str" cm="1">
        <f t="array" ref="BC160">IF(OR(AJ160:BB160="SI"),"Critico","No Critico")</f>
        <v>No Critico</v>
      </c>
    </row>
    <row r="161" spans="1:55">
      <c r="A161" s="52">
        <f>Inicial!A161</f>
        <v>0</v>
      </c>
      <c r="B161" s="53">
        <f>Inicial!B161</f>
        <v>0</v>
      </c>
      <c r="C161" s="53">
        <f>Inicial!C161</f>
        <v>0</v>
      </c>
      <c r="D161" s="54">
        <f>Inicial!D161</f>
        <v>0</v>
      </c>
      <c r="E161" s="52" t="str">
        <f>IF(Inicial!L161="SI",Inicial!E161,"N/A")</f>
        <v>N/A</v>
      </c>
      <c r="F161" s="53" t="str">
        <f>IF(Inicial!L161="SI",Inicial!F161,"N/A")</f>
        <v>N/A</v>
      </c>
      <c r="G161" s="53" t="str">
        <f>IF(Inicial!L161="SI",Inicial!G161,"N/A")</f>
        <v>N/A</v>
      </c>
      <c r="H161" s="53" t="str">
        <f>IF(Inicial!L161="SI",Inicial!H161,"N/A")</f>
        <v>N/A</v>
      </c>
      <c r="I161" s="55" t="str">
        <f>IF(Inicial!L161="SI",Inicial!I161,"N/A")</f>
        <v>N/A</v>
      </c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3" t="str" cm="1">
        <f t="array" ref="AF161">IF(OR(M161:AE161="NO"),"No aceptable","Aceptable")</f>
        <v>Aceptable</v>
      </c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4" t="str" cm="1">
        <f t="array" ref="BC161">IF(OR(AJ161:BB161="SI"),"Critico","No Critico")</f>
        <v>No Critico</v>
      </c>
    </row>
    <row r="162" spans="1:55">
      <c r="A162" s="52">
        <f>Inicial!A162</f>
        <v>0</v>
      </c>
      <c r="B162" s="53">
        <f>Inicial!B162</f>
        <v>0</v>
      </c>
      <c r="C162" s="53">
        <f>Inicial!C162</f>
        <v>0</v>
      </c>
      <c r="D162" s="54">
        <f>Inicial!D162</f>
        <v>0</v>
      </c>
      <c r="E162" s="52" t="str">
        <f>IF(Inicial!L162="SI",Inicial!E162,"N/A")</f>
        <v>N/A</v>
      </c>
      <c r="F162" s="53" t="str">
        <f>IF(Inicial!L162="SI",Inicial!F162,"N/A")</f>
        <v>N/A</v>
      </c>
      <c r="G162" s="53" t="str">
        <f>IF(Inicial!L162="SI",Inicial!G162,"N/A")</f>
        <v>N/A</v>
      </c>
      <c r="H162" s="53" t="str">
        <f>IF(Inicial!L162="SI",Inicial!H162,"N/A")</f>
        <v>N/A</v>
      </c>
      <c r="I162" s="55" t="str">
        <f>IF(Inicial!L162="SI",Inicial!I162,"N/A")</f>
        <v>N/A</v>
      </c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3" t="str" cm="1">
        <f t="array" ref="AF162">IF(OR(M162:AE162="NO"),"No aceptable","Aceptable")</f>
        <v>Aceptable</v>
      </c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4" t="str" cm="1">
        <f t="array" ref="BC162">IF(OR(AJ162:BB162="SI"),"Critico","No Critico")</f>
        <v>No Critico</v>
      </c>
    </row>
    <row r="163" spans="1:55">
      <c r="A163" s="52">
        <f>Inicial!A163</f>
        <v>0</v>
      </c>
      <c r="B163" s="53">
        <f>Inicial!B163</f>
        <v>0</v>
      </c>
      <c r="C163" s="53">
        <f>Inicial!C163</f>
        <v>0</v>
      </c>
      <c r="D163" s="54">
        <f>Inicial!D163</f>
        <v>0</v>
      </c>
      <c r="E163" s="52" t="str">
        <f>IF(Inicial!L163="SI",Inicial!E163,"N/A")</f>
        <v>N/A</v>
      </c>
      <c r="F163" s="53" t="str">
        <f>IF(Inicial!L163="SI",Inicial!F163,"N/A")</f>
        <v>N/A</v>
      </c>
      <c r="G163" s="53" t="str">
        <f>IF(Inicial!L163="SI",Inicial!G163,"N/A")</f>
        <v>N/A</v>
      </c>
      <c r="H163" s="53" t="str">
        <f>IF(Inicial!L163="SI",Inicial!H163,"N/A")</f>
        <v>N/A</v>
      </c>
      <c r="I163" s="55" t="str">
        <f>IF(Inicial!L163="SI",Inicial!I163,"N/A")</f>
        <v>N/A</v>
      </c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3" t="str" cm="1">
        <f t="array" ref="AF163">IF(OR(M163:AE163="NO"),"No aceptable","Aceptable")</f>
        <v>Aceptable</v>
      </c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4" t="str" cm="1">
        <f t="array" ref="BC163">IF(OR(AJ163:BB163="SI"),"Critico","No Critico")</f>
        <v>No Critico</v>
      </c>
    </row>
    <row r="164" spans="1:55">
      <c r="A164" s="52">
        <f>Inicial!A164</f>
        <v>0</v>
      </c>
      <c r="B164" s="53">
        <f>Inicial!B164</f>
        <v>0</v>
      </c>
      <c r="C164" s="53">
        <f>Inicial!C164</f>
        <v>0</v>
      </c>
      <c r="D164" s="54">
        <f>Inicial!D164</f>
        <v>0</v>
      </c>
      <c r="E164" s="52" t="str">
        <f>IF(Inicial!L164="SI",Inicial!E164,"N/A")</f>
        <v>N/A</v>
      </c>
      <c r="F164" s="53" t="str">
        <f>IF(Inicial!L164="SI",Inicial!F164,"N/A")</f>
        <v>N/A</v>
      </c>
      <c r="G164" s="53" t="str">
        <f>IF(Inicial!L164="SI",Inicial!G164,"N/A")</f>
        <v>N/A</v>
      </c>
      <c r="H164" s="53" t="str">
        <f>IF(Inicial!L164="SI",Inicial!H164,"N/A")</f>
        <v>N/A</v>
      </c>
      <c r="I164" s="55" t="str">
        <f>IF(Inicial!L164="SI",Inicial!I164,"N/A")</f>
        <v>N/A</v>
      </c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3" t="str" cm="1">
        <f t="array" ref="AF164">IF(OR(M164:AE164="NO"),"No aceptable","Aceptable")</f>
        <v>Aceptable</v>
      </c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4" t="str" cm="1">
        <f t="array" ref="BC164">IF(OR(AJ164:BB164="SI"),"Critico","No Critico")</f>
        <v>No Critico</v>
      </c>
    </row>
    <row r="165" spans="1:55">
      <c r="A165" s="52">
        <f>Inicial!A165</f>
        <v>0</v>
      </c>
      <c r="B165" s="53">
        <f>Inicial!B165</f>
        <v>0</v>
      </c>
      <c r="C165" s="53">
        <f>Inicial!C165</f>
        <v>0</v>
      </c>
      <c r="D165" s="54">
        <f>Inicial!D165</f>
        <v>0</v>
      </c>
      <c r="E165" s="52" t="str">
        <f>IF(Inicial!L165="SI",Inicial!E165,"N/A")</f>
        <v>N/A</v>
      </c>
      <c r="F165" s="53" t="str">
        <f>IF(Inicial!L165="SI",Inicial!F165,"N/A")</f>
        <v>N/A</v>
      </c>
      <c r="G165" s="53" t="str">
        <f>IF(Inicial!L165="SI",Inicial!G165,"N/A")</f>
        <v>N/A</v>
      </c>
      <c r="H165" s="53" t="str">
        <f>IF(Inicial!L165="SI",Inicial!H165,"N/A")</f>
        <v>N/A</v>
      </c>
      <c r="I165" s="55" t="str">
        <f>IF(Inicial!L165="SI",Inicial!I165,"N/A")</f>
        <v>N/A</v>
      </c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3" t="str" cm="1">
        <f t="array" ref="AF165">IF(OR(M165:AE165="NO"),"No aceptable","Aceptable")</f>
        <v>Aceptable</v>
      </c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4" t="str" cm="1">
        <f t="array" ref="BC165">IF(OR(AJ165:BB165="SI"),"Critico","No Critico")</f>
        <v>No Critico</v>
      </c>
    </row>
    <row r="166" spans="1:55">
      <c r="A166" s="52">
        <f>Inicial!A166</f>
        <v>0</v>
      </c>
      <c r="B166" s="53">
        <f>Inicial!B166</f>
        <v>0</v>
      </c>
      <c r="C166" s="53">
        <f>Inicial!C166</f>
        <v>0</v>
      </c>
      <c r="D166" s="54">
        <f>Inicial!D166</f>
        <v>0</v>
      </c>
      <c r="E166" s="52" t="str">
        <f>IF(Inicial!L166="SI",Inicial!E166,"N/A")</f>
        <v>N/A</v>
      </c>
      <c r="F166" s="53" t="str">
        <f>IF(Inicial!L166="SI",Inicial!F166,"N/A")</f>
        <v>N/A</v>
      </c>
      <c r="G166" s="53" t="str">
        <f>IF(Inicial!L166="SI",Inicial!G166,"N/A")</f>
        <v>N/A</v>
      </c>
      <c r="H166" s="53" t="str">
        <f>IF(Inicial!L166="SI",Inicial!H166,"N/A")</f>
        <v>N/A</v>
      </c>
      <c r="I166" s="55" t="str">
        <f>IF(Inicial!L166="SI",Inicial!I166,"N/A")</f>
        <v>N/A</v>
      </c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3" t="str" cm="1">
        <f t="array" ref="AF166">IF(OR(M166:AE166="NO"),"No aceptable","Aceptable")</f>
        <v>Aceptable</v>
      </c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4" t="str" cm="1">
        <f t="array" ref="BC166">IF(OR(AJ166:BB166="SI"),"Critico","No Critico")</f>
        <v>No Critico</v>
      </c>
    </row>
    <row r="167" spans="1:55">
      <c r="A167" s="52">
        <f>Inicial!A167</f>
        <v>0</v>
      </c>
      <c r="B167" s="53">
        <f>Inicial!B167</f>
        <v>0</v>
      </c>
      <c r="C167" s="53">
        <f>Inicial!C167</f>
        <v>0</v>
      </c>
      <c r="D167" s="54">
        <f>Inicial!D167</f>
        <v>0</v>
      </c>
      <c r="E167" s="52" t="str">
        <f>IF(Inicial!L167="SI",Inicial!E167,"N/A")</f>
        <v>N/A</v>
      </c>
      <c r="F167" s="53" t="str">
        <f>IF(Inicial!L167="SI",Inicial!F167,"N/A")</f>
        <v>N/A</v>
      </c>
      <c r="G167" s="53" t="str">
        <f>IF(Inicial!L167="SI",Inicial!G167,"N/A")</f>
        <v>N/A</v>
      </c>
      <c r="H167" s="53" t="str">
        <f>IF(Inicial!L167="SI",Inicial!H167,"N/A")</f>
        <v>N/A</v>
      </c>
      <c r="I167" s="55" t="str">
        <f>IF(Inicial!L167="SI",Inicial!I167,"N/A")</f>
        <v>N/A</v>
      </c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3" t="str" cm="1">
        <f t="array" ref="AF167">IF(OR(M167:AE167="NO"),"No aceptable","Aceptable")</f>
        <v>Aceptable</v>
      </c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4" t="str" cm="1">
        <f t="array" ref="BC167">IF(OR(AJ167:BB167="SI"),"Critico","No Critico")</f>
        <v>No Critico</v>
      </c>
    </row>
    <row r="168" spans="1:55">
      <c r="A168" s="52">
        <f>Inicial!A168</f>
        <v>0</v>
      </c>
      <c r="B168" s="53">
        <f>Inicial!B168</f>
        <v>0</v>
      </c>
      <c r="C168" s="53">
        <f>Inicial!C168</f>
        <v>0</v>
      </c>
      <c r="D168" s="54">
        <f>Inicial!D168</f>
        <v>0</v>
      </c>
      <c r="E168" s="52" t="str">
        <f>IF(Inicial!L168="SI",Inicial!E168,"N/A")</f>
        <v>N/A</v>
      </c>
      <c r="F168" s="53" t="str">
        <f>IF(Inicial!L168="SI",Inicial!F168,"N/A")</f>
        <v>N/A</v>
      </c>
      <c r="G168" s="53" t="str">
        <f>IF(Inicial!L168="SI",Inicial!G168,"N/A")</f>
        <v>N/A</v>
      </c>
      <c r="H168" s="53" t="str">
        <f>IF(Inicial!L168="SI",Inicial!H168,"N/A")</f>
        <v>N/A</v>
      </c>
      <c r="I168" s="55" t="str">
        <f>IF(Inicial!L168="SI",Inicial!I168,"N/A")</f>
        <v>N/A</v>
      </c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3" t="str" cm="1">
        <f t="array" ref="AF168">IF(OR(M168:AE168="NO"),"No aceptable","Aceptable")</f>
        <v>Aceptable</v>
      </c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4" t="str" cm="1">
        <f t="array" ref="BC168">IF(OR(AJ168:BB168="SI"),"Critico","No Critico")</f>
        <v>No Critico</v>
      </c>
    </row>
    <row r="169" spans="1:55">
      <c r="A169" s="52">
        <f>Inicial!A169</f>
        <v>0</v>
      </c>
      <c r="B169" s="53">
        <f>Inicial!B169</f>
        <v>0</v>
      </c>
      <c r="C169" s="53">
        <f>Inicial!C169</f>
        <v>0</v>
      </c>
      <c r="D169" s="54">
        <f>Inicial!D169</f>
        <v>0</v>
      </c>
      <c r="E169" s="52" t="str">
        <f>IF(Inicial!L169="SI",Inicial!E169,"N/A")</f>
        <v>N/A</v>
      </c>
      <c r="F169" s="53" t="str">
        <f>IF(Inicial!L169="SI",Inicial!F169,"N/A")</f>
        <v>N/A</v>
      </c>
      <c r="G169" s="53" t="str">
        <f>IF(Inicial!L169="SI",Inicial!G169,"N/A")</f>
        <v>N/A</v>
      </c>
      <c r="H169" s="53" t="str">
        <f>IF(Inicial!L169="SI",Inicial!H169,"N/A")</f>
        <v>N/A</v>
      </c>
      <c r="I169" s="55" t="str">
        <f>IF(Inicial!L169="SI",Inicial!I169,"N/A")</f>
        <v>N/A</v>
      </c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3" t="str" cm="1">
        <f t="array" ref="AF169">IF(OR(M169:AE169="NO"),"No aceptable","Aceptable")</f>
        <v>Aceptable</v>
      </c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4" t="str" cm="1">
        <f t="array" ref="BC169">IF(OR(AJ169:BB169="SI"),"Critico","No Critico")</f>
        <v>No Critico</v>
      </c>
    </row>
    <row r="170" spans="1:55">
      <c r="A170" s="52">
        <f>Inicial!A167</f>
        <v>0</v>
      </c>
      <c r="B170" s="53"/>
      <c r="C170" s="53"/>
      <c r="D170" s="54"/>
      <c r="E170" s="52"/>
      <c r="F170" s="53"/>
      <c r="G170" s="53"/>
      <c r="H170" s="53"/>
      <c r="I170" s="55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3" t="str" cm="1">
        <f t="array" ref="AF170">IF(OR(M170:AE170="NO"),"No aceptable","Aceptable")</f>
        <v>Aceptable</v>
      </c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4" t="str" cm="1">
        <f t="array" ref="BC170">IF(OR(AJ170:BB170="SI"),"Critico","No Critico")</f>
        <v>No Critico</v>
      </c>
    </row>
    <row r="171" spans="1:55">
      <c r="A171" s="52">
        <f>Inicial!A168</f>
        <v>0</v>
      </c>
      <c r="B171" s="53"/>
      <c r="C171" s="53"/>
      <c r="D171" s="54"/>
      <c r="E171" s="52"/>
      <c r="F171" s="53"/>
      <c r="G171" s="53"/>
      <c r="H171" s="53"/>
      <c r="I171" s="55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3" t="str" cm="1">
        <f t="array" ref="AF171">IF(OR(M171:AE171="NO"),"No aceptable","Aceptable")</f>
        <v>Aceptable</v>
      </c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4" t="str" cm="1">
        <f t="array" ref="BC171">IF(OR(AJ171:BB171="SI"),"Critico","No Critico")</f>
        <v>No Critico</v>
      </c>
    </row>
    <row r="172" spans="1:55">
      <c r="A172" s="52">
        <f>Inicial!A169</f>
        <v>0</v>
      </c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4" t="str" cm="1">
        <f t="array" ref="BC172">IF(OR(AJ172:BB172="SI"),"Critico","No Critico")</f>
        <v>No Critico</v>
      </c>
    </row>
    <row r="173" spans="1:55">
      <c r="A173" s="52">
        <f>Inicial!A170</f>
        <v>0</v>
      </c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4" t="str" cm="1">
        <f t="array" ref="BC173">IF(OR(AJ173:BB173="SI"),"Critico","No Critico")</f>
        <v>No Critico</v>
      </c>
    </row>
    <row r="174" spans="1:55">
      <c r="A174" s="52">
        <f>Inicial!A171</f>
        <v>0</v>
      </c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4" t="str" cm="1">
        <f t="array" ref="BC174">IF(OR(AJ174:BB174="SI"),"Critico","No Critico")</f>
        <v>No Critico</v>
      </c>
    </row>
    <row r="175" spans="1:55">
      <c r="A175" s="52">
        <f>Inicial!A172</f>
        <v>0</v>
      </c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4" t="str" cm="1">
        <f t="array" ref="BC175">IF(OR(AJ175:BB175="SI"),"Critico","No Critico")</f>
        <v>No Critico</v>
      </c>
    </row>
    <row r="176" spans="1:55"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</row>
    <row r="177" spans="33:54"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</row>
    <row r="178" spans="33:54"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</row>
    <row r="179" spans="33:54"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</row>
    <row r="180" spans="33:54"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</row>
    <row r="181" spans="33:54"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  <c r="AX181" s="102"/>
      <c r="AY181" s="102"/>
      <c r="AZ181" s="102"/>
      <c r="BA181" s="102"/>
      <c r="BB181" s="102"/>
    </row>
    <row r="182" spans="33:54"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</row>
    <row r="183" spans="33:54"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</row>
    <row r="184" spans="33:54"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</row>
    <row r="185" spans="33:54"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</row>
    <row r="186" spans="33:54"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</row>
    <row r="187" spans="33:54"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</row>
    <row r="188" spans="33:54"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2"/>
      <c r="BB188" s="102"/>
    </row>
    <row r="189" spans="33:54"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</row>
    <row r="190" spans="33:54"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</row>
    <row r="191" spans="33:54"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2"/>
      <c r="BB191" s="102"/>
    </row>
    <row r="192" spans="33:54"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2"/>
      <c r="BB192" s="102"/>
    </row>
    <row r="193" spans="33:54"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</row>
    <row r="194" spans="33:54"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2"/>
      <c r="BB194" s="102"/>
    </row>
    <row r="195" spans="33:54"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</row>
    <row r="196" spans="33:54"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</row>
    <row r="197" spans="33:54"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</row>
    <row r="198" spans="33:54"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</row>
    <row r="199" spans="33:54"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</row>
    <row r="200" spans="33:54"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</row>
    <row r="201" spans="33:54"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</row>
    <row r="202" spans="33:54"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</row>
    <row r="203" spans="33:54"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</row>
    <row r="204" spans="33:54"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</row>
    <row r="205" spans="33:54"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</row>
    <row r="206" spans="33:54"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</row>
    <row r="207" spans="33:54"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</row>
    <row r="208" spans="33:54"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</row>
    <row r="209" spans="33:54"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</row>
    <row r="210" spans="33:54"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2"/>
      <c r="BB210" s="102"/>
    </row>
    <row r="211" spans="33:54"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2"/>
      <c r="BB211" s="102"/>
    </row>
    <row r="212" spans="33:54"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</row>
    <row r="213" spans="33:54"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</row>
    <row r="214" spans="33:54"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</row>
    <row r="215" spans="33:54"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</row>
    <row r="216" spans="33:54"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</row>
    <row r="217" spans="33:54"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</row>
    <row r="218" spans="33:54"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</row>
    <row r="219" spans="33:54"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</row>
    <row r="220" spans="33:54"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</row>
    <row r="221" spans="33:54"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</row>
    <row r="222" spans="33:54"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</row>
    <row r="223" spans="33:54"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</row>
    <row r="224" spans="33:54"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</row>
    <row r="225" spans="33:54"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2"/>
      <c r="BB225" s="102"/>
    </row>
    <row r="226" spans="33:54"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2"/>
      <c r="BB226" s="102"/>
    </row>
    <row r="227" spans="33:54"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2"/>
      <c r="BB227" s="102"/>
    </row>
    <row r="228" spans="33:54"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2"/>
      <c r="BB228" s="102"/>
    </row>
    <row r="229" spans="33:54"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2"/>
      <c r="BB229" s="102"/>
    </row>
    <row r="230" spans="33:54"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2"/>
      <c r="BB230" s="102"/>
    </row>
    <row r="231" spans="33:54"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2"/>
      <c r="BB231" s="102"/>
    </row>
    <row r="232" spans="33:54"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2"/>
      <c r="BB232" s="102"/>
    </row>
    <row r="233" spans="33:54"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2"/>
      <c r="BB233" s="102"/>
    </row>
    <row r="234" spans="33:54"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</row>
    <row r="235" spans="33:54"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2"/>
      <c r="BB235" s="102"/>
    </row>
    <row r="236" spans="33:54"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2"/>
      <c r="BB236" s="102"/>
    </row>
    <row r="237" spans="33:54"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2"/>
      <c r="BB237" s="102"/>
    </row>
    <row r="238" spans="33:54"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2"/>
      <c r="BB238" s="102"/>
    </row>
    <row r="239" spans="33:54"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2"/>
      <c r="BB239" s="102"/>
    </row>
    <row r="240" spans="33:54"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2"/>
      <c r="BB240" s="102"/>
    </row>
    <row r="241" spans="33:54"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</row>
    <row r="242" spans="33:54"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</row>
    <row r="243" spans="33:54"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</row>
    <row r="244" spans="33:54"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</row>
    <row r="245" spans="33:54"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</row>
    <row r="246" spans="33:54"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</row>
    <row r="247" spans="33:54"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</row>
    <row r="248" spans="33:54"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</row>
    <row r="249" spans="33:54"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</row>
    <row r="250" spans="33:54"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</row>
    <row r="251" spans="33:54"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</row>
    <row r="252" spans="33:54"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</row>
    <row r="253" spans="33:54"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</row>
    <row r="254" spans="33:54"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</row>
    <row r="255" spans="33:54"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</row>
    <row r="256" spans="33:54"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</row>
    <row r="257" spans="33:54"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</row>
    <row r="258" spans="33:54"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</row>
    <row r="259" spans="33:54"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</row>
    <row r="260" spans="33:54"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</row>
    <row r="261" spans="33:54"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</row>
    <row r="262" spans="33:54"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</row>
    <row r="263" spans="33:54"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</row>
    <row r="264" spans="33:54"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</row>
    <row r="265" spans="33:54"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</row>
    <row r="266" spans="33:54"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</row>
    <row r="267" spans="33:54"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</row>
    <row r="268" spans="33:54"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</row>
    <row r="269" spans="33:54"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</row>
    <row r="270" spans="33:54"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</row>
    <row r="271" spans="33:54"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</row>
    <row r="272" spans="33:54"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</row>
    <row r="273" spans="33:54"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2"/>
      <c r="BB273" s="102"/>
    </row>
    <row r="274" spans="33:54"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2"/>
      <c r="BB274" s="102"/>
    </row>
    <row r="275" spans="33:54"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2"/>
      <c r="BB275" s="102"/>
    </row>
    <row r="276" spans="33:54"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2"/>
      <c r="BB276" s="102"/>
    </row>
    <row r="277" spans="33:54"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</row>
    <row r="278" spans="33:54"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2"/>
      <c r="BB278" s="102"/>
    </row>
    <row r="279" spans="33:54"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2"/>
      <c r="BB279" s="102"/>
    </row>
    <row r="280" spans="33:54"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2"/>
      <c r="BB280" s="102"/>
    </row>
    <row r="281" spans="33:54"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</row>
    <row r="282" spans="33:54"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</row>
    <row r="283" spans="33:54"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</row>
    <row r="284" spans="33:54"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</row>
    <row r="285" spans="33:54"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</row>
    <row r="286" spans="33:54"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</row>
    <row r="287" spans="33:54"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</row>
    <row r="288" spans="33:54"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</row>
    <row r="289" spans="33:54"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</row>
    <row r="290" spans="33:54"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</row>
    <row r="291" spans="33:54"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</row>
    <row r="292" spans="33:54"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</row>
    <row r="293" spans="33:54"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</row>
    <row r="294" spans="33:54"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</row>
    <row r="295" spans="33:54"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</row>
  </sheetData>
  <mergeCells count="15">
    <mergeCell ref="A1:E1"/>
    <mergeCell ref="BD1:BI1"/>
    <mergeCell ref="AO1:AU1"/>
    <mergeCell ref="AV1:AZ1"/>
    <mergeCell ref="BA1:BB1"/>
    <mergeCell ref="AG1:AI1"/>
    <mergeCell ref="AJ1:AM1"/>
    <mergeCell ref="U1:X1"/>
    <mergeCell ref="Z1:AB1"/>
    <mergeCell ref="AC1:AE1"/>
    <mergeCell ref="F1:G1"/>
    <mergeCell ref="H1:I1"/>
    <mergeCell ref="J1:L1"/>
    <mergeCell ref="M1:P1"/>
    <mergeCell ref="Q1:T1"/>
  </mergeCells>
  <conditionalFormatting sqref="J3:AE73 AD74:AE74 J75:AE92 J94:AE1048576">
    <cfRule type="cellIs" dxfId="47" priority="2" operator="equal">
      <formula>"N/A"</formula>
    </cfRule>
    <cfRule type="cellIs" dxfId="46" priority="9" operator="equal">
      <formula>"NO"</formula>
    </cfRule>
    <cfRule type="cellIs" dxfId="45" priority="10" operator="equal">
      <formula>"SI"</formula>
    </cfRule>
  </conditionalFormatting>
  <conditionalFormatting sqref="AF3:AF92 AF94:AF171">
    <cfRule type="cellIs" dxfId="44" priority="13" operator="equal">
      <formula>"No Aceptable"</formula>
    </cfRule>
    <cfRule type="cellIs" dxfId="43" priority="14" operator="equal">
      <formula>"Aceptable"</formula>
    </cfRule>
  </conditionalFormatting>
  <conditionalFormatting sqref="AG3:BB92 AG94:BB295">
    <cfRule type="cellIs" dxfId="42" priority="1" operator="equal">
      <formula>"N/A"</formula>
    </cfRule>
    <cfRule type="cellIs" dxfId="41" priority="7" operator="equal">
      <formula>"SI"</formula>
    </cfRule>
    <cfRule type="cellIs" dxfId="40" priority="8" operator="equal">
      <formula>"NO"</formula>
    </cfRule>
  </conditionalFormatting>
  <conditionalFormatting sqref="BC3:BC92 BC94:BC175">
    <cfRule type="cellIs" dxfId="39" priority="3" operator="equal">
      <formula>"Critico"</formula>
    </cfRule>
    <cfRule type="cellIs" dxfId="38" priority="4" operator="equal">
      <formula>"No critico"</formula>
    </cfRule>
  </conditionalFormatting>
  <dataValidations count="6">
    <dataValidation allowBlank="1" showInputMessage="1" showErrorMessage="1" prompt="Se debe declarar si es fija o variable, si existe pago de bonos individuales o colectivos por producción, por no ausentarse al trabajo, etc." sqref="AG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J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K2:AM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C2 AF1:AF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H2:AI2" xr:uid="{2290AC20-A7AC-4BD8-97E8-44453C94F657}"/>
    <dataValidation type="list" allowBlank="1" showInputMessage="1" showErrorMessage="1" sqref="J73:AC73 J3:AE72 AD73:AE74 J75:AE92 J94:AE173 AG3:BB92 AG94:BB295" xr:uid="{97D30316-9369-4F76-BA67-ABAAFD1B7974}">
      <formula1>"SI,NO,N/A"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dimension ref="A1:AT298"/>
  <sheetViews>
    <sheetView workbookViewId="0">
      <pane xSplit="9" ySplit="2" topLeftCell="J20" activePane="bottomRight" state="frozen"/>
      <selection pane="bottomRight" activeCell="M75" sqref="M75"/>
      <selection pane="bottomLeft" activeCell="A3" sqref="A3"/>
      <selection pane="topRight" activeCell="J1" sqref="J1"/>
    </sheetView>
  </sheetViews>
  <sheetFormatPr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6" width="18.28515625" customWidth="1"/>
    <col min="17" max="17" width="19.85546875" customWidth="1"/>
    <col min="18" max="18" width="45.28515625" customWidth="1"/>
    <col min="19" max="20" width="28.7109375" customWidth="1"/>
    <col min="21" max="21" width="19.42578125" customWidth="1"/>
    <col min="22" max="23" width="22" customWidth="1"/>
    <col min="24" max="24" width="30.140625" customWidth="1"/>
    <col min="25" max="25" width="14.7109375" customWidth="1"/>
    <col min="26" max="26" width="27.140625" customWidth="1"/>
    <col min="29" max="30" width="14.28515625" style="4" customWidth="1"/>
    <col min="31" max="31" width="11.5703125" style="4"/>
    <col min="32" max="32" width="20" style="4" customWidth="1"/>
    <col min="33" max="33" width="37.42578125" style="4" customWidth="1"/>
    <col min="34" max="34" width="33.140625" style="4" customWidth="1"/>
    <col min="35" max="35" width="34.7109375" customWidth="1"/>
    <col min="36" max="36" width="31.7109375" customWidth="1"/>
    <col min="37" max="37" width="30.85546875" customWidth="1"/>
    <col min="38" max="38" width="36" customWidth="1"/>
    <col min="39" max="39" width="19.7109375" customWidth="1"/>
    <col min="40" max="40" width="13.7109375" customWidth="1"/>
  </cols>
  <sheetData>
    <row r="1" spans="1:46" ht="60" customHeight="1">
      <c r="A1" s="164" t="s">
        <v>451</v>
      </c>
      <c r="B1" s="146"/>
      <c r="C1" s="146"/>
      <c r="D1" s="146"/>
      <c r="E1" s="146"/>
      <c r="F1" s="146" t="s">
        <v>321</v>
      </c>
      <c r="G1" s="146"/>
      <c r="H1" s="146" t="s">
        <v>322</v>
      </c>
      <c r="I1" s="146"/>
      <c r="J1" s="168" t="s">
        <v>452</v>
      </c>
      <c r="K1" s="169"/>
      <c r="L1" s="170"/>
      <c r="M1" s="168" t="s">
        <v>453</v>
      </c>
      <c r="N1" s="169"/>
      <c r="O1" s="169"/>
      <c r="P1" s="169"/>
      <c r="Q1" s="170"/>
      <c r="R1" s="17" t="s">
        <v>454</v>
      </c>
      <c r="S1" s="17" t="s">
        <v>455</v>
      </c>
      <c r="T1" s="17" t="s">
        <v>456</v>
      </c>
      <c r="U1" s="17" t="s">
        <v>457</v>
      </c>
      <c r="V1" s="17" t="s">
        <v>458</v>
      </c>
      <c r="W1" s="10" t="s">
        <v>403</v>
      </c>
      <c r="X1" s="168" t="s">
        <v>459</v>
      </c>
      <c r="Y1" s="169"/>
      <c r="Z1" s="169"/>
      <c r="AA1" s="169" t="s">
        <v>460</v>
      </c>
      <c r="AB1" s="169"/>
      <c r="AC1" s="169"/>
      <c r="AD1" s="169"/>
      <c r="AE1" s="170"/>
      <c r="AF1" s="15" t="s">
        <v>461</v>
      </c>
      <c r="AG1" s="17" t="s">
        <v>462</v>
      </c>
      <c r="AH1" s="17" t="s">
        <v>463</v>
      </c>
      <c r="AI1" s="17" t="s">
        <v>464</v>
      </c>
      <c r="AJ1" s="17" t="s">
        <v>465</v>
      </c>
      <c r="AK1" s="17" t="s">
        <v>466</v>
      </c>
      <c r="AL1" s="17" t="s">
        <v>467</v>
      </c>
      <c r="AM1" s="17" t="s">
        <v>467</v>
      </c>
      <c r="AN1" s="16" t="s">
        <v>403</v>
      </c>
      <c r="AO1" s="165" t="s">
        <v>325</v>
      </c>
      <c r="AP1" s="166"/>
      <c r="AQ1" s="166"/>
      <c r="AR1" s="166"/>
      <c r="AS1" s="166"/>
      <c r="AT1" s="167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326</v>
      </c>
      <c r="G2" s="9" t="s">
        <v>327</v>
      </c>
      <c r="H2" s="9" t="s">
        <v>328</v>
      </c>
      <c r="I2" s="9" t="s">
        <v>329</v>
      </c>
      <c r="J2" s="13" t="s">
        <v>410</v>
      </c>
      <c r="K2" s="13" t="s">
        <v>468</v>
      </c>
      <c r="L2" s="13" t="s">
        <v>469</v>
      </c>
      <c r="M2" s="13" t="s">
        <v>470</v>
      </c>
      <c r="N2" s="13" t="s">
        <v>471</v>
      </c>
      <c r="O2" s="13" t="s">
        <v>472</v>
      </c>
      <c r="P2" s="13" t="s">
        <v>473</v>
      </c>
      <c r="Q2" s="13" t="s">
        <v>474</v>
      </c>
      <c r="R2" s="13" t="s">
        <v>475</v>
      </c>
      <c r="S2" s="13" t="s">
        <v>476</v>
      </c>
      <c r="T2" s="13" t="s">
        <v>477</v>
      </c>
      <c r="U2" s="13" t="s">
        <v>478</v>
      </c>
      <c r="V2" s="13" t="s">
        <v>479</v>
      </c>
      <c r="W2" s="10" t="s">
        <v>336</v>
      </c>
      <c r="X2" s="13" t="s">
        <v>429</v>
      </c>
      <c r="Y2" s="13" t="s">
        <v>430</v>
      </c>
      <c r="Z2" s="13" t="s">
        <v>431</v>
      </c>
      <c r="AA2" s="13" t="s">
        <v>480</v>
      </c>
      <c r="AB2" s="13" t="s">
        <v>481</v>
      </c>
      <c r="AC2" s="13" t="s">
        <v>482</v>
      </c>
      <c r="AD2" s="13" t="s">
        <v>483</v>
      </c>
      <c r="AE2" s="13" t="s">
        <v>484</v>
      </c>
      <c r="AF2" s="13" t="s">
        <v>436</v>
      </c>
      <c r="AG2" s="13" t="s">
        <v>485</v>
      </c>
      <c r="AH2" s="13" t="s">
        <v>486</v>
      </c>
      <c r="AI2" s="13" t="s">
        <v>487</v>
      </c>
      <c r="AJ2" s="13" t="s">
        <v>488</v>
      </c>
      <c r="AK2" s="13" t="s">
        <v>489</v>
      </c>
      <c r="AL2" s="13" t="s">
        <v>490</v>
      </c>
      <c r="AM2" s="13" t="s">
        <v>491</v>
      </c>
      <c r="AN2" s="13" t="s">
        <v>343</v>
      </c>
      <c r="AO2" s="13" t="s">
        <v>344</v>
      </c>
      <c r="AP2" s="13" t="s">
        <v>345</v>
      </c>
      <c r="AQ2" s="13" t="s">
        <v>346</v>
      </c>
      <c r="AR2" s="13" t="s">
        <v>347</v>
      </c>
      <c r="AS2" s="13" t="s">
        <v>348</v>
      </c>
      <c r="AT2" s="13" t="s">
        <v>349</v>
      </c>
    </row>
    <row r="3" spans="1:46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IF(Inicial!M3="SI",Inicial!E3,"N/A")</f>
        <v>N/A</v>
      </c>
      <c r="F3" s="53" t="str">
        <f>IF(Inicial!M3="SI",Inicial!F3,"N/A")</f>
        <v>N/A</v>
      </c>
      <c r="G3" s="53" t="str">
        <f>IF(Inicial!M3="SI",Inicial!G3,"N/A")</f>
        <v>N/A</v>
      </c>
      <c r="H3" s="53" t="str">
        <f>IF(Inicial!M3="SI",Inicial!H3,"N/A")</f>
        <v>N/A</v>
      </c>
      <c r="I3" s="55" t="str">
        <f>IF(Inicial!M3="SI",Inicial!I3,"N/A")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 t="str" cm="1">
        <f t="array" ref="W3">IF(OR(M3:V3="NO"),"No aceptable","Aceptable")</f>
        <v>Aceptable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3" t="str" cm="1">
        <f t="array" ref="AN3">IF(OR(AA3:AM3="SI"),"Critico","No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IF(Inicial!M4="SI",Inicial!E4,"N/A")</f>
        <v>N/A</v>
      </c>
      <c r="F4" s="53" t="str">
        <f>IF(Inicial!M4="SI",Inicial!F4,"N/A")</f>
        <v>N/A</v>
      </c>
      <c r="G4" s="53" t="str">
        <f>IF(Inicial!M4="SI",Inicial!G4,"N/A")</f>
        <v>N/A</v>
      </c>
      <c r="H4" s="53" t="str">
        <f>IF(Inicial!M4="SI",Inicial!H4,"N/A")</f>
        <v>N/A</v>
      </c>
      <c r="I4" s="55" t="str">
        <f>IF(Inicial!M4="SI",Inicial!I4,"N/A")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 t="str" cm="1">
        <f t="array" ref="W4">IF(OR(M4:V4="NO"),"No aceptable","Aceptable")</f>
        <v>Aceptable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IF(Inicial!M5="SI",Inicial!E5,"N/A")</f>
        <v>N/A</v>
      </c>
      <c r="F5" s="53" t="str">
        <f>IF(Inicial!M5="SI",Inicial!F5,"N/A")</f>
        <v>N/A</v>
      </c>
      <c r="G5" s="53" t="str">
        <f>IF(Inicial!M5="SI",Inicial!G5,"N/A")</f>
        <v>N/A</v>
      </c>
      <c r="H5" s="53" t="str">
        <f>IF(Inicial!M5="SI",Inicial!H5,"N/A")</f>
        <v>N/A</v>
      </c>
      <c r="I5" s="55" t="str">
        <f>IF(Inicial!M5="SI",Inicial!I5,"N/A")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 t="str" cm="1">
        <f t="array" ref="W5">IF(OR(M5:V5="NO"),"No aceptable","Aceptable")</f>
        <v>Aceptable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IF(Inicial!M6="SI",Inicial!E6,"N/A")</f>
        <v>N/A</v>
      </c>
      <c r="F6" s="53" t="str">
        <f>IF(Inicial!M6="SI",Inicial!F6,"N/A")</f>
        <v>N/A</v>
      </c>
      <c r="G6" s="53" t="str">
        <f>IF(Inicial!M6="SI",Inicial!G6,"N/A")</f>
        <v>N/A</v>
      </c>
      <c r="H6" s="53" t="str">
        <f>IF(Inicial!M6="SI",Inicial!H6,"N/A")</f>
        <v>N/A</v>
      </c>
      <c r="I6" s="55" t="str">
        <f>IF(Inicial!M6="SI",Inicial!I6,"N/A")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 t="str" cm="1">
        <f t="array" ref="W6">IF(OR(M6:V6="NO"),"No aceptable","Aceptable")</f>
        <v>Aceptable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" t="str" cm="1">
        <f t="array" ref="AN6">IF(OR(AA6:AM6="SI"),"Critico","No Critico")</f>
        <v>No Critico</v>
      </c>
    </row>
    <row r="7" spans="1:46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IF(Inicial!M7="SI",Inicial!E7,"N/A")</f>
        <v>N/A</v>
      </c>
      <c r="F7" s="53" t="str">
        <f>IF(Inicial!M7="SI",Inicial!F7,"N/A")</f>
        <v>N/A</v>
      </c>
      <c r="G7" s="53" t="str">
        <f>IF(Inicial!M7="SI",Inicial!G7,"N/A")</f>
        <v>N/A</v>
      </c>
      <c r="H7" s="53" t="str">
        <f>IF(Inicial!M7="SI",Inicial!H7,"N/A")</f>
        <v>N/A</v>
      </c>
      <c r="I7" s="55" t="str">
        <f>IF(Inicial!M7="SI",Inicial!I7,"N/A")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 t="str" cm="1">
        <f t="array" ref="W7">IF(OR(M7:V7="NO"),"No aceptable","Aceptable")</f>
        <v>Aceptable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3" t="str" cm="1">
        <f t="array" ref="AN7">IF(OR(AA7:AM7="SI"),"Critico","No Critico")</f>
        <v>No Critico</v>
      </c>
    </row>
    <row r="8" spans="1:46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IF(Inicial!M8="SI",Inicial!E8,"N/A")</f>
        <v>N/A</v>
      </c>
      <c r="F8" s="53" t="str">
        <f>IF(Inicial!M8="SI",Inicial!F8,"N/A")</f>
        <v>N/A</v>
      </c>
      <c r="G8" s="53" t="str">
        <f>IF(Inicial!M8="SI",Inicial!G8,"N/A")</f>
        <v>N/A</v>
      </c>
      <c r="H8" s="53" t="str">
        <f>IF(Inicial!M8="SI",Inicial!H8,"N/A")</f>
        <v>N/A</v>
      </c>
      <c r="I8" s="55" t="str">
        <f>IF(Inicial!M8="SI",Inicial!I8,"N/A")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 t="str" cm="1">
        <f t="array" ref="W8">IF(OR(M8:V8="NO"),"No aceptable","Aceptable")</f>
        <v>Aceptable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 t="str" cm="1">
        <f t="array" ref="AN8">IF(OR(AA8:AM8="SI"),"Critico","No Critico")</f>
        <v>No Critico</v>
      </c>
    </row>
    <row r="9" spans="1:46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IF(Inicial!M9="SI",Inicial!E9,"N/A")</f>
        <v>N/A</v>
      </c>
      <c r="F9" s="53" t="str">
        <f>IF(Inicial!M9="SI",Inicial!F9,"N/A")</f>
        <v>N/A</v>
      </c>
      <c r="G9" s="53" t="str">
        <f>IF(Inicial!M9="SI",Inicial!G9,"N/A")</f>
        <v>N/A</v>
      </c>
      <c r="H9" s="53" t="str">
        <f>IF(Inicial!M9="SI",Inicial!H9,"N/A")</f>
        <v>N/A</v>
      </c>
      <c r="I9" s="55" t="str">
        <f>IF(Inicial!M9="SI",Inicial!I9,"N/A")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tr" cm="1">
        <f t="array" ref="W9">IF(OR(M9:V9="NO"),"No aceptable","Aceptable")</f>
        <v>Aceptable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 t="str" cm="1">
        <f t="array" ref="AN9">IF(OR(AA9:AM9="SI"),"Critico","No Critico")</f>
        <v>No Critico</v>
      </c>
    </row>
    <row r="10" spans="1:46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IF(Inicial!M10="SI",Inicial!E10,"N/A")</f>
        <v>N/A</v>
      </c>
      <c r="F10" s="53" t="str">
        <f>IF(Inicial!M10="SI",Inicial!F10,"N/A")</f>
        <v>N/A</v>
      </c>
      <c r="G10" s="53" t="str">
        <f>IF(Inicial!M10="SI",Inicial!G10,"N/A")</f>
        <v>N/A</v>
      </c>
      <c r="H10" s="53" t="str">
        <f>IF(Inicial!M10="SI",Inicial!H10,"N/A")</f>
        <v>N/A</v>
      </c>
      <c r="I10" s="55" t="str">
        <f>IF(Inicial!M10="SI",Inicial!I10,"N/A")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 t="str" cm="1">
        <f t="array" ref="W10">IF(OR(M10:V10="NO"),"No aceptable","Aceptable")</f>
        <v>Aceptable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 t="str" cm="1">
        <f t="array" ref="AN10">IF(OR(AA10:AM10="SI"),"Critico","No Critico")</f>
        <v>No Critico</v>
      </c>
    </row>
    <row r="11" spans="1:46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IF(Inicial!M11="SI",Inicial!E11,"N/A")</f>
        <v>N/A</v>
      </c>
      <c r="F11" s="53" t="str">
        <f>IF(Inicial!M11="SI",Inicial!F11,"N/A")</f>
        <v>N/A</v>
      </c>
      <c r="G11" s="53" t="str">
        <f>IF(Inicial!M11="SI",Inicial!G11,"N/A")</f>
        <v>N/A</v>
      </c>
      <c r="H11" s="53" t="str">
        <f>IF(Inicial!M11="SI",Inicial!H11,"N/A")</f>
        <v>N/A</v>
      </c>
      <c r="I11" s="55" t="str">
        <f>IF(Inicial!M11="SI",Inicial!I11,"N/A")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tr" cm="1">
        <f t="array" ref="W11">IF(OR(M11:V11="NO"),"No aceptable","Aceptable")</f>
        <v>Aceptable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 t="str" cm="1">
        <f t="array" ref="AN11">IF(OR(AA11:AM11="SI"),"Critico","No Critico")</f>
        <v>No Critico</v>
      </c>
    </row>
    <row r="12" spans="1:46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IF(Inicial!M12="SI",Inicial!E12,"N/A")</f>
        <v>N/A</v>
      </c>
      <c r="F12" s="53" t="str">
        <f>IF(Inicial!M12="SI",Inicial!F12,"N/A")</f>
        <v>N/A</v>
      </c>
      <c r="G12" s="53" t="str">
        <f>IF(Inicial!M12="SI",Inicial!G12,"N/A")</f>
        <v>N/A</v>
      </c>
      <c r="H12" s="53" t="str">
        <f>IF(Inicial!M12="SI",Inicial!H12,"N/A")</f>
        <v>N/A</v>
      </c>
      <c r="I12" s="55" t="str">
        <f>IF(Inicial!M12="SI",Inicial!I12,"N/A")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 t="str" cm="1">
        <f t="array" ref="W12">IF(OR(M12:V12="NO"),"No aceptable","Aceptable")</f>
        <v>Aceptable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 t="str" cm="1">
        <f t="array" ref="AN12">IF(OR(AA12:AM12="SI"),"Critico","No Critico")</f>
        <v>No Critico</v>
      </c>
    </row>
    <row r="13" spans="1:46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IF(Inicial!M13="SI",Inicial!E13,"N/A")</f>
        <v>N/A</v>
      </c>
      <c r="F13" s="53" t="str">
        <f>IF(Inicial!M13="SI",Inicial!F13,"N/A")</f>
        <v>N/A</v>
      </c>
      <c r="G13" s="53" t="str">
        <f>IF(Inicial!M13="SI",Inicial!G13,"N/A")</f>
        <v>N/A</v>
      </c>
      <c r="H13" s="53" t="str">
        <f>IF(Inicial!M13="SI",Inicial!H13,"N/A")</f>
        <v>N/A</v>
      </c>
      <c r="I13" s="55" t="str">
        <f>IF(Inicial!M13="SI",Inicial!I13,"N/A")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 t="str" cm="1">
        <f t="array" ref="W13">IF(OR(M13:V13="NO"),"No aceptable","Aceptable")</f>
        <v>Aceptable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 t="str" cm="1">
        <f t="array" ref="AN13">IF(OR(AA13:AM13="SI"),"Critico","No Critico")</f>
        <v>No Critico</v>
      </c>
    </row>
    <row r="14" spans="1:46" ht="38.2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IF(Inicial!M14="SI",Inicial!E14,"N/A")</f>
        <v>N/A</v>
      </c>
      <c r="F14" s="53" t="str">
        <f>IF(Inicial!M14="SI",Inicial!F14,"N/A")</f>
        <v>N/A</v>
      </c>
      <c r="G14" s="53" t="str">
        <f>IF(Inicial!M14="SI",Inicial!G14,"N/A")</f>
        <v>N/A</v>
      </c>
      <c r="H14" s="53" t="str">
        <f>IF(Inicial!M14="SI",Inicial!H14,"N/A")</f>
        <v>N/A</v>
      </c>
      <c r="I14" s="55" t="str">
        <f>IF(Inicial!M14="SI",Inicial!I14,"N/A")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 t="str" cm="1">
        <f t="array" ref="W14">IF(OR(M14:V14="NO"),"No aceptable","Aceptable")</f>
        <v>Aceptable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3" t="str" cm="1">
        <f t="array" ref="AN14">IF(OR(AA14:AM14="SI"),"Critico","No Critico")</f>
        <v>No Critico</v>
      </c>
    </row>
    <row r="15" spans="1:46" ht="38.2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IF(Inicial!M15="SI",Inicial!E15,"N/A")</f>
        <v>N/A</v>
      </c>
      <c r="F15" s="53" t="str">
        <f>IF(Inicial!M15="SI",Inicial!F15,"N/A")</f>
        <v>N/A</v>
      </c>
      <c r="G15" s="53" t="str">
        <f>IF(Inicial!M15="SI",Inicial!G15,"N/A")</f>
        <v>N/A</v>
      </c>
      <c r="H15" s="53" t="str">
        <f>IF(Inicial!M15="SI",Inicial!H15,"N/A")</f>
        <v>N/A</v>
      </c>
      <c r="I15" s="55" t="str">
        <f>IF(Inicial!M15="SI",Inicial!I15,"N/A")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 t="str" cm="1">
        <f t="array" ref="W15">IF(OR(M15:V15="NO"),"No aceptable","Aceptable")</f>
        <v>Aceptable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3" t="str" cm="1">
        <f t="array" ref="AN15">IF(OR(AA15:AM15="SI"),"Critico","No Critico")</f>
        <v>No Critico</v>
      </c>
    </row>
    <row r="16" spans="1:46" ht="38.2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IF(Inicial!M16="SI",Inicial!E16,"N/A")</f>
        <v>N/A</v>
      </c>
      <c r="F16" s="53" t="str">
        <f>IF(Inicial!M16="SI",Inicial!F16,"N/A")</f>
        <v>N/A</v>
      </c>
      <c r="G16" s="53" t="str">
        <f>IF(Inicial!M16="SI",Inicial!G16,"N/A")</f>
        <v>N/A</v>
      </c>
      <c r="H16" s="53" t="str">
        <f>IF(Inicial!M16="SI",Inicial!H16,"N/A")</f>
        <v>N/A</v>
      </c>
      <c r="I16" s="55" t="str">
        <f>IF(Inicial!M16="SI",Inicial!I16,"N/A")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 t="str" cm="1">
        <f t="array" ref="W16">IF(OR(M16:V16="NO"),"No aceptable","Aceptable")</f>
        <v>Aceptable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3" t="str" cm="1">
        <f t="array" ref="AN16">IF(OR(AA16:AM16="SI"),"Critico","No Critico")</f>
        <v>No Critico</v>
      </c>
    </row>
    <row r="17" spans="1:40" ht="38.2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IF(Inicial!M17="SI",Inicial!E17,"N/A")</f>
        <v>N/A</v>
      </c>
      <c r="F17" s="53" t="str">
        <f>IF(Inicial!M17="SI",Inicial!F17,"N/A")</f>
        <v>N/A</v>
      </c>
      <c r="G17" s="53" t="str">
        <f>IF(Inicial!M17="SI",Inicial!G17,"N/A")</f>
        <v>N/A</v>
      </c>
      <c r="H17" s="53" t="str">
        <f>IF(Inicial!M17="SI",Inicial!H17,"N/A")</f>
        <v>N/A</v>
      </c>
      <c r="I17" s="55" t="str">
        <f>IF(Inicial!M17="SI",Inicial!I17,"N/A")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 t="str" cm="1">
        <f t="array" ref="W17">IF(OR(M17:V17="NO"),"No aceptable","Aceptable")</f>
        <v>Aceptable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3" t="str" cm="1">
        <f t="array" ref="AN17">IF(OR(AA17:AM17="SI"),"Critico","No Critico")</f>
        <v>No Critico</v>
      </c>
    </row>
    <row r="18" spans="1:40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IF(Inicial!M18="SI",Inicial!E18,"N/A")</f>
        <v>Am 07:40 a 15:30       Pm 18:10 a 03:30</v>
      </c>
      <c r="F18" s="53">
        <f>IF(Inicial!M18="SI",Inicial!F18,"N/A")</f>
        <v>1</v>
      </c>
      <c r="G18" s="53">
        <f>IF(Inicial!M18="SI",Inicial!G18,"N/A")</f>
        <v>6</v>
      </c>
      <c r="H18" s="53">
        <f>IF(Inicial!M18="SI",Inicial!H18,"N/A")</f>
        <v>2</v>
      </c>
      <c r="I18" s="55">
        <f>IF(Inicial!M18="SI",Inicial!I18,"N/A")</f>
        <v>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 t="str" cm="1">
        <f t="array" ref="W18">IF(OR(M18:V18="NO"),"No aceptable","Aceptable")</f>
        <v>Aceptable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tr" cm="1">
        <f t="array" ref="AN18">IF(OR(AA18:AM18="SI"),"Critico","No Critico")</f>
        <v>No Critico</v>
      </c>
    </row>
    <row r="19" spans="1:40" ht="38.2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IF(Inicial!M19="SI",Inicial!E19,"N/A")</f>
        <v>Am 07:40 a 15:30       Pm 18:10 a 03:30</v>
      </c>
      <c r="F19" s="53">
        <f>IF(Inicial!M19="SI",Inicial!F19,"N/A")</f>
        <v>1</v>
      </c>
      <c r="G19" s="53">
        <f>IF(Inicial!M19="SI",Inicial!G19,"N/A")</f>
        <v>6</v>
      </c>
      <c r="H19" s="53">
        <f>IF(Inicial!M19="SI",Inicial!H19,"N/A")</f>
        <v>2</v>
      </c>
      <c r="I19" s="55">
        <f>IF(Inicial!M19="SI",Inicial!I19,"N/A")</f>
        <v>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 t="str" cm="1">
        <f t="array" ref="W19">IF(OR(M19:V19="NO"),"No aceptable","Aceptable")</f>
        <v>Aceptable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3" t="str" cm="1">
        <f t="array" ref="AN19">IF(OR(AA19:AM19="SI"),"Critico","No Critico")</f>
        <v>No Critico</v>
      </c>
    </row>
    <row r="20" spans="1:40" ht="38.2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IF(Inicial!M20="SI",Inicial!E20,"N/A")</f>
        <v>N/A</v>
      </c>
      <c r="F20" s="53" t="str">
        <f>IF(Inicial!M20="SI",Inicial!F20,"N/A")</f>
        <v>N/A</v>
      </c>
      <c r="G20" s="53" t="str">
        <f>IF(Inicial!M20="SI",Inicial!G20,"N/A")</f>
        <v>N/A</v>
      </c>
      <c r="H20" s="53" t="str">
        <f>IF(Inicial!M20="SI",Inicial!H20,"N/A")</f>
        <v>N/A</v>
      </c>
      <c r="I20" s="55" t="str">
        <f>IF(Inicial!M20="SI",Inicial!I20,"N/A")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 t="str" cm="1">
        <f t="array" ref="W20">IF(OR(M20:V20="NO"),"No aceptable","Aceptable")</f>
        <v>Aceptable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" t="str" cm="1">
        <f t="array" ref="AN20">IF(OR(AA20:AM20="SI"),"Critico","No Critico")</f>
        <v>No Critico</v>
      </c>
    </row>
    <row r="21" spans="1:40" ht="38.2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IF(Inicial!M21="SI",Inicial!E21,"N/A")</f>
        <v>N/A</v>
      </c>
      <c r="F21" s="53" t="str">
        <f>IF(Inicial!M21="SI",Inicial!F21,"N/A")</f>
        <v>N/A</v>
      </c>
      <c r="G21" s="53" t="str">
        <f>IF(Inicial!M21="SI",Inicial!G21,"N/A")</f>
        <v>N/A</v>
      </c>
      <c r="H21" s="53" t="str">
        <f>IF(Inicial!M21="SI",Inicial!H21,"N/A")</f>
        <v>N/A</v>
      </c>
      <c r="I21" s="55" t="str">
        <f>IF(Inicial!M21="SI",Inicial!I21,"N/A")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 t="str" cm="1">
        <f t="array" ref="W21">IF(OR(M21:V21="NO"),"No aceptable","Aceptable")</f>
        <v>Aceptable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3" t="str" cm="1">
        <f t="array" ref="AN21">IF(OR(AA21:AM21="SI"),"Critico","No Critico")</f>
        <v>No Critico</v>
      </c>
    </row>
    <row r="22" spans="1:40" ht="38.2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IF(Inicial!M22="SI",Inicial!E22,"N/A")</f>
        <v>N/A</v>
      </c>
      <c r="F22" s="53" t="str">
        <f>IF(Inicial!M22="SI",Inicial!F22,"N/A")</f>
        <v>N/A</v>
      </c>
      <c r="G22" s="53" t="str">
        <f>IF(Inicial!M22="SI",Inicial!G22,"N/A")</f>
        <v>N/A</v>
      </c>
      <c r="H22" s="53" t="str">
        <f>IF(Inicial!M22="SI",Inicial!H22,"N/A")</f>
        <v>N/A</v>
      </c>
      <c r="I22" s="55" t="str">
        <f>IF(Inicial!M22="SI",Inicial!I22,"N/A")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 t="str" cm="1">
        <f t="array" ref="W22">IF(OR(M22:V22="NO"),"No aceptable","Aceptable")</f>
        <v>Aceptable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" t="str" cm="1">
        <f t="array" ref="AN22">IF(OR(AA22:AM22="SI"),"Critico","No Critico")</f>
        <v>No Critico</v>
      </c>
    </row>
    <row r="23" spans="1:40" ht="38.2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IF(Inicial!M23="SI",Inicial!E23,"N/A")</f>
        <v>N/A</v>
      </c>
      <c r="F23" s="53" t="str">
        <f>IF(Inicial!M23="SI",Inicial!F23,"N/A")</f>
        <v>N/A</v>
      </c>
      <c r="G23" s="53" t="str">
        <f>IF(Inicial!M23="SI",Inicial!G23,"N/A")</f>
        <v>N/A</v>
      </c>
      <c r="H23" s="53" t="str">
        <f>IF(Inicial!M23="SI",Inicial!H23,"N/A")</f>
        <v>N/A</v>
      </c>
      <c r="I23" s="55" t="str">
        <f>IF(Inicial!M23="SI",Inicial!I23,"N/A")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 t="str" cm="1">
        <f t="array" ref="W23">IF(OR(M23:V23="NO"),"No aceptable","Aceptable")</f>
        <v>Aceptable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3" t="str" cm="1">
        <f t="array" ref="AN23">IF(OR(AA23:AM23="SI"),"Critico","No Critico")</f>
        <v>No Critico</v>
      </c>
    </row>
    <row r="24" spans="1:40" ht="38.2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IF(Inicial!M24="SI",Inicial!E24,"N/A")</f>
        <v>N/A</v>
      </c>
      <c r="F24" s="53" t="str">
        <f>IF(Inicial!M24="SI",Inicial!F24,"N/A")</f>
        <v>N/A</v>
      </c>
      <c r="G24" s="53" t="str">
        <f>IF(Inicial!M24="SI",Inicial!G24,"N/A")</f>
        <v>N/A</v>
      </c>
      <c r="H24" s="53" t="str">
        <f>IF(Inicial!M24="SI",Inicial!H24,"N/A")</f>
        <v>N/A</v>
      </c>
      <c r="I24" s="55" t="str">
        <f>IF(Inicial!M24="SI",Inicial!I24,"N/A")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 t="str" cm="1">
        <f t="array" ref="W24">IF(OR(M24:V24="NO"),"No aceptable","Aceptable")</f>
        <v>Aceptable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3" t="str" cm="1">
        <f t="array" ref="AN24">IF(OR(AA24:AM24="SI"),"Critico","No Critico")</f>
        <v>No Critico</v>
      </c>
    </row>
    <row r="25" spans="1:40" ht="38.2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IF(Inicial!M25="SI",Inicial!E25,"N/A")</f>
        <v>N/A</v>
      </c>
      <c r="F25" s="53" t="str">
        <f>IF(Inicial!M25="SI",Inicial!F25,"N/A")</f>
        <v>N/A</v>
      </c>
      <c r="G25" s="53" t="str">
        <f>IF(Inicial!M25="SI",Inicial!G25,"N/A")</f>
        <v>N/A</v>
      </c>
      <c r="H25" s="53" t="str">
        <f>IF(Inicial!M25="SI",Inicial!H25,"N/A")</f>
        <v>N/A</v>
      </c>
      <c r="I25" s="55" t="str">
        <f>IF(Inicial!M25="SI",Inicial!I25,"N/A")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 t="str" cm="1">
        <f t="array" ref="W25">IF(OR(M25:V25="NO"),"No aceptable","Aceptable")</f>
        <v>Aceptable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" t="str" cm="1">
        <f t="array" ref="AN25">IF(OR(AA25:AM25="SI"),"Critico","No Critico")</f>
        <v>No Critico</v>
      </c>
    </row>
    <row r="26" spans="1:40" ht="38.2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IF(Inicial!M26="SI",Inicial!E26,"N/A")</f>
        <v>N/A</v>
      </c>
      <c r="F26" s="53" t="str">
        <f>IF(Inicial!M26="SI",Inicial!F26,"N/A")</f>
        <v>N/A</v>
      </c>
      <c r="G26" s="53" t="str">
        <f>IF(Inicial!M26="SI",Inicial!G26,"N/A")</f>
        <v>N/A</v>
      </c>
      <c r="H26" s="53" t="str">
        <f>IF(Inicial!M26="SI",Inicial!H26,"N/A")</f>
        <v>N/A</v>
      </c>
      <c r="I26" s="55" t="str">
        <f>IF(Inicial!M26="SI",Inicial!I26,"N/A")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 t="str" cm="1">
        <f t="array" ref="W26">IF(OR(M26:V26="NO"),"No aceptable","Aceptable")</f>
        <v>Aceptable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3" t="str" cm="1">
        <f t="array" ref="AN26">IF(OR(AA26:AM26="SI"),"Critico","No Critico")</f>
        <v>No Critico</v>
      </c>
    </row>
    <row r="27" spans="1:40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IF(Inicial!M27="SI",Inicial!E27,"N/A")</f>
        <v>N/A</v>
      </c>
      <c r="F27" s="53" t="str">
        <f>IF(Inicial!M27="SI",Inicial!F27,"N/A")</f>
        <v>N/A</v>
      </c>
      <c r="G27" s="53" t="str">
        <f>IF(Inicial!M27="SI",Inicial!G27,"N/A")</f>
        <v>N/A</v>
      </c>
      <c r="H27" s="53" t="str">
        <f>IF(Inicial!M27="SI",Inicial!H27,"N/A")</f>
        <v>N/A</v>
      </c>
      <c r="I27" s="55" t="str">
        <f>IF(Inicial!M27="SI",Inicial!I27,"N/A")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 t="str" cm="1">
        <f t="array" ref="W27">IF(OR(M27:V27="NO"),"No aceptable","Aceptable")</f>
        <v>Aceptable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3" t="str" cm="1">
        <f t="array" ref="AN27">IF(OR(AA27:AM27="SI"),"Critico","No Critico")</f>
        <v>No Critico</v>
      </c>
    </row>
    <row r="28" spans="1:40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IF(Inicial!M28="SI",Inicial!E28,"N/A")</f>
        <v>N/A</v>
      </c>
      <c r="F28" s="53" t="str">
        <f>IF(Inicial!M28="SI",Inicial!F28,"N/A")</f>
        <v>N/A</v>
      </c>
      <c r="G28" s="53" t="str">
        <f>IF(Inicial!M28="SI",Inicial!G28,"N/A")</f>
        <v>N/A</v>
      </c>
      <c r="H28" s="53" t="str">
        <f>IF(Inicial!M28="SI",Inicial!H28,"N/A")</f>
        <v>N/A</v>
      </c>
      <c r="I28" s="55" t="str">
        <f>IF(Inicial!M28="SI",Inicial!I28,"N/A")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 t="str" cm="1">
        <f t="array" ref="W28">IF(OR(M28:V28="NO"),"No aceptable","Aceptable")</f>
        <v>Aceptable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3" t="str" cm="1">
        <f t="array" ref="AN28">IF(OR(AA28:AM28="SI"),"Critico","No Critico")</f>
        <v>No Critico</v>
      </c>
    </row>
    <row r="29" spans="1:40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IF(Inicial!M29="SI",Inicial!E29,"N/A")</f>
        <v>N/A</v>
      </c>
      <c r="F29" s="53" t="str">
        <f>IF(Inicial!M29="SI",Inicial!F29,"N/A")</f>
        <v>N/A</v>
      </c>
      <c r="G29" s="53" t="str">
        <f>IF(Inicial!M29="SI",Inicial!G29,"N/A")</f>
        <v>N/A</v>
      </c>
      <c r="H29" s="53" t="str">
        <f>IF(Inicial!M29="SI",Inicial!H29,"N/A")</f>
        <v>N/A</v>
      </c>
      <c r="I29" s="55" t="str">
        <f>IF(Inicial!M29="SI",Inicial!I29,"N/A")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 t="str" cm="1">
        <f t="array" ref="W29">IF(OR(M29:V29="NO"),"No aceptable","Aceptable")</f>
        <v>Aceptable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" t="str" cm="1">
        <f t="array" ref="AN29">IF(OR(AA29:AM29="SI"),"Critico","No Critico")</f>
        <v>No Critico</v>
      </c>
    </row>
    <row r="30" spans="1:40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IF(Inicial!M30="SI",Inicial!E30,"N/A")</f>
        <v>N/A</v>
      </c>
      <c r="F30" s="53" t="str">
        <f>IF(Inicial!M30="SI",Inicial!F30,"N/A")</f>
        <v>N/A</v>
      </c>
      <c r="G30" s="53" t="str">
        <f>IF(Inicial!M30="SI",Inicial!G30,"N/A")</f>
        <v>N/A</v>
      </c>
      <c r="H30" s="53" t="str">
        <f>IF(Inicial!M30="SI",Inicial!H30,"N/A")</f>
        <v>N/A</v>
      </c>
      <c r="I30" s="55" t="str">
        <f>IF(Inicial!M30="SI",Inicial!I30,"N/A")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 t="str" cm="1">
        <f t="array" ref="W30">IF(OR(M30:V30="NO"),"No aceptable","Aceptable")</f>
        <v>Aceptable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3" t="str" cm="1">
        <f t="array" ref="AN30">IF(OR(AA30:AM30="SI"),"Critico","No Critico")</f>
        <v>No Critico</v>
      </c>
    </row>
    <row r="31" spans="1:40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IF(Inicial!M31="SI",Inicial!E31,"N/A")</f>
        <v>N/A</v>
      </c>
      <c r="F31" s="53" t="str">
        <f>IF(Inicial!M31="SI",Inicial!F31,"N/A")</f>
        <v>N/A</v>
      </c>
      <c r="G31" s="53" t="str">
        <f>IF(Inicial!M31="SI",Inicial!G31,"N/A")</f>
        <v>N/A</v>
      </c>
      <c r="H31" s="53" t="str">
        <f>IF(Inicial!M31="SI",Inicial!H31,"N/A")</f>
        <v>N/A</v>
      </c>
      <c r="I31" s="55" t="str">
        <f>IF(Inicial!M31="SI",Inicial!I31,"N/A")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 t="str" cm="1">
        <f t="array" ref="W31">IF(OR(M31:V31="NO"),"No aceptable","Aceptable")</f>
        <v>Aceptable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3" t="str" cm="1">
        <f t="array" ref="AN31">IF(OR(AA31:AM31="SI"),"Critico","No Critico")</f>
        <v>No Critico</v>
      </c>
    </row>
    <row r="32" spans="1:40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IF(Inicial!M32="SI",Inicial!E32,"N/A")</f>
        <v>N/A</v>
      </c>
      <c r="F32" s="53" t="str">
        <f>IF(Inicial!M32="SI",Inicial!F32,"N/A")</f>
        <v>N/A</v>
      </c>
      <c r="G32" s="53" t="str">
        <f>IF(Inicial!M32="SI",Inicial!G32,"N/A")</f>
        <v>N/A</v>
      </c>
      <c r="H32" s="53" t="str">
        <f>IF(Inicial!M32="SI",Inicial!H32,"N/A")</f>
        <v>N/A</v>
      </c>
      <c r="I32" s="55" t="str">
        <f>IF(Inicial!M32="SI",Inicial!I32,"N/A")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 t="str" cm="1">
        <f t="array" ref="W32">IF(OR(M32:V32="NO"),"No aceptable","Aceptable")</f>
        <v>Aceptable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 t="str" cm="1">
        <f t="array" ref="AN32">IF(OR(AA32:AM32="SI"),"Critico","No Critico")</f>
        <v>No Critico</v>
      </c>
    </row>
    <row r="33" spans="1:40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IF(Inicial!M33="SI",Inicial!E33,"N/A")</f>
        <v>N/A</v>
      </c>
      <c r="F33" s="53" t="str">
        <f>IF(Inicial!M33="SI",Inicial!F33,"N/A")</f>
        <v>N/A</v>
      </c>
      <c r="G33" s="53" t="str">
        <f>IF(Inicial!M33="SI",Inicial!G33,"N/A")</f>
        <v>N/A</v>
      </c>
      <c r="H33" s="53" t="str">
        <f>IF(Inicial!M33="SI",Inicial!H33,"N/A")</f>
        <v>N/A</v>
      </c>
      <c r="I33" s="55" t="str">
        <f>IF(Inicial!M33="SI",Inicial!I33,"N/A")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 t="str" cm="1">
        <f t="array" ref="W33">IF(OR(M33:V33="NO"),"No aceptable","Aceptable")</f>
        <v>Aceptable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 t="str" cm="1">
        <f t="array" ref="AN33">IF(OR(AA33:AM33="SI"),"Critico","No Critico")</f>
        <v>No Critico</v>
      </c>
    </row>
    <row r="34" spans="1:40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IF(Inicial!M34="SI",Inicial!E34,"N/A")</f>
        <v>N/A</v>
      </c>
      <c r="F34" s="53" t="str">
        <f>IF(Inicial!M34="SI",Inicial!F34,"N/A")</f>
        <v>N/A</v>
      </c>
      <c r="G34" s="53" t="str">
        <f>IF(Inicial!M34="SI",Inicial!G34,"N/A")</f>
        <v>N/A</v>
      </c>
      <c r="H34" s="53" t="str">
        <f>IF(Inicial!M34="SI",Inicial!H34,"N/A")</f>
        <v>N/A</v>
      </c>
      <c r="I34" s="55" t="str">
        <f>IF(Inicial!M34="SI",Inicial!I34,"N/A")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 t="str" cm="1">
        <f t="array" ref="W34">IF(OR(M34:V34="NO"),"No aceptable","Aceptable")</f>
        <v>Aceptable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 t="str" cm="1">
        <f t="array" ref="AN34">IF(OR(AA34:AM34="SI"),"Critico","No Critico")</f>
        <v>No Critico</v>
      </c>
    </row>
    <row r="35" spans="1:40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IF(Inicial!M35="SI",Inicial!E35,"N/A")</f>
        <v>N/A</v>
      </c>
      <c r="F35" s="53" t="str">
        <f>IF(Inicial!M35="SI",Inicial!F35,"N/A")</f>
        <v>N/A</v>
      </c>
      <c r="G35" s="53" t="str">
        <f>IF(Inicial!M35="SI",Inicial!G35,"N/A")</f>
        <v>N/A</v>
      </c>
      <c r="H35" s="53" t="str">
        <f>IF(Inicial!M35="SI",Inicial!H35,"N/A")</f>
        <v>N/A</v>
      </c>
      <c r="I35" s="55" t="str">
        <f>IF(Inicial!M35="SI",Inicial!I35,"N/A")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 t="str" cm="1">
        <f t="array" ref="W35">IF(OR(M35:V35="NO"),"No aceptable","Aceptable")</f>
        <v>Aceptable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3" t="str" cm="1">
        <f t="array" ref="AN35">IF(OR(AA35:AM35="SI"),"Critico","No Critico")</f>
        <v>No Critico</v>
      </c>
    </row>
    <row r="36" spans="1:40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IF(Inicial!M36="SI",Inicial!E36,"N/A")</f>
        <v>N/A</v>
      </c>
      <c r="F36" s="53" t="str">
        <f>IF(Inicial!M36="SI",Inicial!F36,"N/A")</f>
        <v>N/A</v>
      </c>
      <c r="G36" s="53" t="str">
        <f>IF(Inicial!M36="SI",Inicial!G36,"N/A")</f>
        <v>N/A</v>
      </c>
      <c r="H36" s="53" t="str">
        <f>IF(Inicial!M36="SI",Inicial!H36,"N/A")</f>
        <v>N/A</v>
      </c>
      <c r="I36" s="55" t="str">
        <f>IF(Inicial!M36="SI",Inicial!I36,"N/A")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 t="str" cm="1">
        <f t="array" ref="W36">IF(OR(M36:V36="NO"),"No aceptable","Aceptable")</f>
        <v>Aceptable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" t="str" cm="1">
        <f t="array" ref="AN36">IF(OR(AA36:AM36="SI"),"Critico","No Critico")</f>
        <v>No Critico</v>
      </c>
    </row>
    <row r="37" spans="1:40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IF(Inicial!M37="SI",Inicial!E37,"N/A")</f>
        <v>N/A</v>
      </c>
      <c r="F37" s="53" t="str">
        <f>IF(Inicial!M37="SI",Inicial!F37,"N/A")</f>
        <v>N/A</v>
      </c>
      <c r="G37" s="53" t="str">
        <f>IF(Inicial!M37="SI",Inicial!G37,"N/A")</f>
        <v>N/A</v>
      </c>
      <c r="H37" s="53" t="str">
        <f>IF(Inicial!M37="SI",Inicial!H37,"N/A")</f>
        <v>N/A</v>
      </c>
      <c r="I37" s="55" t="str">
        <f>IF(Inicial!M37="SI",Inicial!I37,"N/A")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 t="str" cm="1">
        <f t="array" ref="W37">IF(OR(M37:V37="NO"),"No aceptable","Aceptable")</f>
        <v>Aceptable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3" t="str" cm="1">
        <f t="array" ref="AN37">IF(OR(AA37:AM37="SI"),"Critico","No Critico")</f>
        <v>No Critico</v>
      </c>
    </row>
    <row r="38" spans="1:40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IF(Inicial!M38="SI",Inicial!E38,"N/A")</f>
        <v>N/A</v>
      </c>
      <c r="F38" s="53" t="str">
        <f>IF(Inicial!M38="SI",Inicial!F38,"N/A")</f>
        <v>N/A</v>
      </c>
      <c r="G38" s="53" t="str">
        <f>IF(Inicial!M38="SI",Inicial!G38,"N/A")</f>
        <v>N/A</v>
      </c>
      <c r="H38" s="53" t="str">
        <f>IF(Inicial!M38="SI",Inicial!H38,"N/A")</f>
        <v>N/A</v>
      </c>
      <c r="I38" s="55" t="str">
        <f>IF(Inicial!M38="SI",Inicial!I38,"N/A")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 t="str" cm="1">
        <f t="array" ref="W38">IF(OR(M38:V38="NO"),"No aceptable","Aceptable")</f>
        <v>Aceptable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3" t="str" cm="1">
        <f t="array" ref="AN38">IF(OR(AA38:AM38="SI"),"Critico","No Critico")</f>
        <v>No Critico</v>
      </c>
    </row>
    <row r="39" spans="1:40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IF(Inicial!M39="SI",Inicial!E39,"N/A")</f>
        <v>06:30 14:50 / 17:30 a 02:50</v>
      </c>
      <c r="F39" s="53">
        <f>IF(Inicial!M39="SI",Inicial!F39,"N/A")</f>
        <v>1</v>
      </c>
      <c r="G39" s="53">
        <f>IF(Inicial!M39="SI",Inicial!G39,"N/A")</f>
        <v>6</v>
      </c>
      <c r="H39" s="53">
        <f>IF(Inicial!M39="SI",Inicial!H39,"N/A")</f>
        <v>0</v>
      </c>
      <c r="I39" s="55">
        <f>IF(Inicial!M39="SI",Inicial!I39,"N/A")</f>
        <v>50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 t="str" cm="1">
        <f t="array" ref="W39">IF(OR(M39:V39="NO"),"No aceptable","Aceptable")</f>
        <v>Aceptable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 t="str" cm="1">
        <f t="array" ref="AN39">IF(OR(AA39:AM39="SI"),"Critico","No Critico")</f>
        <v>No Critico</v>
      </c>
    </row>
    <row r="40" spans="1:40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IF(Inicial!M40="SI",Inicial!E40,"N/A")</f>
        <v>N/A</v>
      </c>
      <c r="F40" s="53" t="str">
        <f>IF(Inicial!M40="SI",Inicial!F40,"N/A")</f>
        <v>N/A</v>
      </c>
      <c r="G40" s="53" t="str">
        <f>IF(Inicial!M40="SI",Inicial!G40,"N/A")</f>
        <v>N/A</v>
      </c>
      <c r="H40" s="53" t="str">
        <f>IF(Inicial!M40="SI",Inicial!H40,"N/A")</f>
        <v>N/A</v>
      </c>
      <c r="I40" s="55" t="str">
        <f>IF(Inicial!M40="SI",Inicial!I40,"N/A")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2" t="str" cm="1">
        <f t="array" ref="W40">IF(OR(M40:V40="NO"),"No aceptable","Aceptable")</f>
        <v>Aceptable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 t="str" cm="1">
        <f t="array" ref="AN40">IF(OR(AA40:AM40="SI"),"Critico","No Critico")</f>
        <v>No Critico</v>
      </c>
    </row>
    <row r="41" spans="1:40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IF(Inicial!M41="SI",Inicial!E41,"N/A")</f>
        <v>N/A</v>
      </c>
      <c r="F41" s="53" t="str">
        <f>IF(Inicial!M41="SI",Inicial!F41,"N/A")</f>
        <v>N/A</v>
      </c>
      <c r="G41" s="53" t="str">
        <f>IF(Inicial!M41="SI",Inicial!G41,"N/A")</f>
        <v>N/A</v>
      </c>
      <c r="H41" s="53" t="str">
        <f>IF(Inicial!M41="SI",Inicial!H41,"N/A")</f>
        <v>N/A</v>
      </c>
      <c r="I41" s="55" t="str">
        <f>IF(Inicial!M41="SI",Inicial!I41,"N/A")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 t="str" cm="1">
        <f t="array" ref="W41">IF(OR(M41:V41="NO"),"No aceptable","Aceptable")</f>
        <v>Aceptable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 t="str" cm="1">
        <f t="array" ref="AN41">IF(OR(AA41:AM41="SI"),"Critico","No Critico")</f>
        <v>No Critico</v>
      </c>
    </row>
    <row r="42" spans="1:40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IF(Inicial!M42="SI",Inicial!E42,"N/A")</f>
        <v>N/A</v>
      </c>
      <c r="F42" s="53" t="str">
        <f>IF(Inicial!M42="SI",Inicial!F42,"N/A")</f>
        <v>N/A</v>
      </c>
      <c r="G42" s="53" t="str">
        <f>IF(Inicial!M42="SI",Inicial!G42,"N/A")</f>
        <v>N/A</v>
      </c>
      <c r="H42" s="53" t="str">
        <f>IF(Inicial!M42="SI",Inicial!H42,"N/A")</f>
        <v>N/A</v>
      </c>
      <c r="I42" s="55" t="str">
        <f>IF(Inicial!M42="SI",Inicial!I42,"N/A")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 t="str" cm="1">
        <f t="array" ref="W42">IF(OR(M42:V42="NO"),"No aceptable","Aceptable")</f>
        <v>Aceptable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3" t="str" cm="1">
        <f t="array" ref="AN42">IF(OR(AA42:AM42="SI"),"Critico","No Critico")</f>
        <v>No Critico</v>
      </c>
    </row>
    <row r="43" spans="1:40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IF(Inicial!M43="SI",Inicial!E43,"N/A")</f>
        <v>N/A</v>
      </c>
      <c r="F43" s="53" t="str">
        <f>IF(Inicial!M43="SI",Inicial!F43,"N/A")</f>
        <v>N/A</v>
      </c>
      <c r="G43" s="53" t="str">
        <f>IF(Inicial!M43="SI",Inicial!G43,"N/A")</f>
        <v>N/A</v>
      </c>
      <c r="H43" s="53" t="str">
        <f>IF(Inicial!M43="SI",Inicial!H43,"N/A")</f>
        <v>N/A</v>
      </c>
      <c r="I43" s="55" t="str">
        <f>IF(Inicial!M43="SI",Inicial!I43,"N/A")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 t="str" cm="1">
        <f t="array" ref="W43">IF(OR(M43:V43="NO"),"No aceptable","Aceptable")</f>
        <v>Aceptable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 t="str" cm="1">
        <f t="array" ref="AN43">IF(OR(AA43:AM43="SI"),"Critico","No Critico")</f>
        <v>No Critico</v>
      </c>
    </row>
    <row r="44" spans="1:40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IF(Inicial!M44="SI",Inicial!E44,"N/A")</f>
        <v>N/A</v>
      </c>
      <c r="F44" s="53" t="str">
        <f>IF(Inicial!M44="SI",Inicial!F44,"N/A")</f>
        <v>N/A</v>
      </c>
      <c r="G44" s="53" t="str">
        <f>IF(Inicial!M44="SI",Inicial!G44,"N/A")</f>
        <v>N/A</v>
      </c>
      <c r="H44" s="53" t="str">
        <f>IF(Inicial!M44="SI",Inicial!H44,"N/A")</f>
        <v>N/A</v>
      </c>
      <c r="I44" s="55" t="str">
        <f>IF(Inicial!M44="SI",Inicial!I44,"N/A")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 t="str" cm="1">
        <f t="array" ref="W44">IF(OR(M44:V44="NO"),"No aceptable","Aceptable")</f>
        <v>Aceptable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 t="str" cm="1">
        <f t="array" ref="AN44">IF(OR(AA44:AM44="SI"),"Critico","No Critico")</f>
        <v>No Critico</v>
      </c>
    </row>
    <row r="45" spans="1:40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IF(Inicial!M45="SI",Inicial!E45,"N/A")</f>
        <v>N/A</v>
      </c>
      <c r="F45" s="53" t="str">
        <f>IF(Inicial!M45="SI",Inicial!F45,"N/A")</f>
        <v>N/A</v>
      </c>
      <c r="G45" s="53" t="str">
        <f>IF(Inicial!M45="SI",Inicial!G45,"N/A")</f>
        <v>N/A</v>
      </c>
      <c r="H45" s="53" t="str">
        <f>IF(Inicial!M45="SI",Inicial!H45,"N/A")</f>
        <v>N/A</v>
      </c>
      <c r="I45" s="55" t="str">
        <f>IF(Inicial!M45="SI",Inicial!I45,"N/A")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 t="str" cm="1">
        <f t="array" ref="W45">IF(OR(M45:V45="NO"),"No aceptable","Aceptable")</f>
        <v>Aceptable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 t="str" cm="1">
        <f t="array" ref="AN45">IF(OR(AA45:AM45="SI"),"Critico","No Critico")</f>
        <v>No Critico</v>
      </c>
    </row>
    <row r="46" spans="1:40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IF(Inicial!M46="SI",Inicial!E46,"N/A")</f>
        <v>N/A</v>
      </c>
      <c r="F46" s="53" t="str">
        <f>IF(Inicial!M46="SI",Inicial!F46,"N/A")</f>
        <v>N/A</v>
      </c>
      <c r="G46" s="53" t="str">
        <f>IF(Inicial!M46="SI",Inicial!G46,"N/A")</f>
        <v>N/A</v>
      </c>
      <c r="H46" s="53" t="str">
        <f>IF(Inicial!M46="SI",Inicial!H46,"N/A")</f>
        <v>N/A</v>
      </c>
      <c r="I46" s="55" t="str">
        <f>IF(Inicial!M46="SI",Inicial!I46,"N/A")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 t="str" cm="1">
        <f t="array" ref="W46">IF(OR(M46:V46="NO"),"No aceptable","Aceptable")</f>
        <v>Aceptable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 t="str" cm="1">
        <f t="array" ref="AN46">IF(OR(AA46:AM46="SI"),"Critico","No Critico")</f>
        <v>No Critico</v>
      </c>
    </row>
    <row r="47" spans="1:40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IF(Inicial!M47="SI",Inicial!E47,"N/A")</f>
        <v>N/A</v>
      </c>
      <c r="F47" s="53" t="str">
        <f>IF(Inicial!M47="SI",Inicial!F47,"N/A")</f>
        <v>N/A</v>
      </c>
      <c r="G47" s="53" t="str">
        <f>IF(Inicial!M47="SI",Inicial!G47,"N/A")</f>
        <v>N/A</v>
      </c>
      <c r="H47" s="53" t="str">
        <f>IF(Inicial!M47="SI",Inicial!H47,"N/A")</f>
        <v>N/A</v>
      </c>
      <c r="I47" s="55" t="str">
        <f>IF(Inicial!M47="SI",Inicial!I47,"N/A")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 t="str" cm="1">
        <f t="array" ref="W47">IF(OR(M47:V47="NO"),"No aceptable","Aceptable")</f>
        <v>Aceptable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3" t="str" cm="1">
        <f t="array" ref="AN47">IF(OR(AA47:AM47="SI"),"Critico","No Critico")</f>
        <v>No Critico</v>
      </c>
    </row>
    <row r="48" spans="1:40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IF(Inicial!M48="SI",Inicial!E48,"N/A")</f>
        <v>N/A</v>
      </c>
      <c r="F48" s="53" t="str">
        <f>IF(Inicial!M48="SI",Inicial!F48,"N/A")</f>
        <v>N/A</v>
      </c>
      <c r="G48" s="53" t="str">
        <f>IF(Inicial!M48="SI",Inicial!G48,"N/A")</f>
        <v>N/A</v>
      </c>
      <c r="H48" s="53" t="str">
        <f>IF(Inicial!M48="SI",Inicial!H48,"N/A")</f>
        <v>N/A</v>
      </c>
      <c r="I48" s="55" t="str">
        <f>IF(Inicial!M48="SI",Inicial!I48,"N/A")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 t="str" cm="1">
        <f t="array" ref="W48">IF(OR(M48:V48="NO"),"No aceptable","Aceptable")</f>
        <v>Aceptable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3" t="str" cm="1">
        <f t="array" ref="AN48">IF(OR(AA48:AM48="SI"),"Critico","No Critico")</f>
        <v>No Critico</v>
      </c>
    </row>
    <row r="49" spans="1:40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IF(Inicial!M49="SI",Inicial!E49,"N/A")</f>
        <v>N/A</v>
      </c>
      <c r="F49" s="53" t="str">
        <f>IF(Inicial!M49="SI",Inicial!F49,"N/A")</f>
        <v>N/A</v>
      </c>
      <c r="G49" s="53" t="str">
        <f>IF(Inicial!M49="SI",Inicial!G49,"N/A")</f>
        <v>N/A</v>
      </c>
      <c r="H49" s="53" t="str">
        <f>IF(Inicial!M49="SI",Inicial!H49,"N/A")</f>
        <v>N/A</v>
      </c>
      <c r="I49" s="55" t="str">
        <f>IF(Inicial!M49="SI",Inicial!I49,"N/A")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 t="str" cm="1">
        <f t="array" ref="W49">IF(OR(M49:V49="NO"),"No aceptable","Aceptable")</f>
        <v>Aceptable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3" t="str" cm="1">
        <f t="array" ref="AN49">IF(OR(AA49:AM49="SI"),"Critico","No Critico")</f>
        <v>No Critico</v>
      </c>
    </row>
    <row r="50" spans="1:40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IF(Inicial!M50="SI",Inicial!E50,"N/A")</f>
        <v>N/A</v>
      </c>
      <c r="F50" s="53" t="str">
        <f>IF(Inicial!M50="SI",Inicial!F50,"N/A")</f>
        <v>N/A</v>
      </c>
      <c r="G50" s="53" t="str">
        <f>IF(Inicial!M50="SI",Inicial!G50,"N/A")</f>
        <v>N/A</v>
      </c>
      <c r="H50" s="53" t="str">
        <f>IF(Inicial!M50="SI",Inicial!H50,"N/A")</f>
        <v>N/A</v>
      </c>
      <c r="I50" s="55" t="str">
        <f>IF(Inicial!M50="SI",Inicial!I50,"N/A")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2" t="str" cm="1">
        <f t="array" ref="W50">IF(OR(M50:V50="NO"),"No aceptable","Aceptable")</f>
        <v>Aceptable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3" t="str" cm="1">
        <f t="array" ref="AN50">IF(OR(AA50:AM50="SI"),"Critico","No Critico")</f>
        <v>No Critico</v>
      </c>
    </row>
    <row r="51" spans="1:40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IF(Inicial!M51="SI",Inicial!E51,"N/A")</f>
        <v>N/A</v>
      </c>
      <c r="F51" s="53" t="str">
        <f>IF(Inicial!M51="SI",Inicial!F51,"N/A")</f>
        <v>N/A</v>
      </c>
      <c r="G51" s="53" t="str">
        <f>IF(Inicial!M51="SI",Inicial!G51,"N/A")</f>
        <v>N/A</v>
      </c>
      <c r="H51" s="53" t="str">
        <f>IF(Inicial!M51="SI",Inicial!H51,"N/A")</f>
        <v>N/A</v>
      </c>
      <c r="I51" s="55" t="str">
        <f>IF(Inicial!M51="SI",Inicial!I51,"N/A")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2" t="str" cm="1">
        <f t="array" ref="W51">IF(OR(M51:V51="NO"),"No aceptable","Aceptable")</f>
        <v>Aceptable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3" t="str" cm="1">
        <f t="array" ref="AN51">IF(OR(AA51:AM51="SI"),"Critico","No Critico")</f>
        <v>No Critico</v>
      </c>
    </row>
    <row r="52" spans="1:40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IF(Inicial!M52="SI",Inicial!E52,"N/A")</f>
        <v>N/A</v>
      </c>
      <c r="F52" s="53" t="str">
        <f>IF(Inicial!M52="SI",Inicial!F52,"N/A")</f>
        <v>N/A</v>
      </c>
      <c r="G52" s="53" t="str">
        <f>IF(Inicial!M52="SI",Inicial!G52,"N/A")</f>
        <v>N/A</v>
      </c>
      <c r="H52" s="53" t="str">
        <f>IF(Inicial!M52="SI",Inicial!H52,"N/A")</f>
        <v>N/A</v>
      </c>
      <c r="I52" s="55" t="str">
        <f>IF(Inicial!M52="SI",Inicial!I52,"N/A")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 t="str" cm="1">
        <f t="array" ref="W52">IF(OR(M52:V52="NO"),"No aceptable","Aceptable")</f>
        <v>Aceptable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3" t="str" cm="1">
        <f t="array" ref="AN52">IF(OR(AA52:AM52="SI"),"Critico","No Critico")</f>
        <v>No Critico</v>
      </c>
    </row>
    <row r="53" spans="1:40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IF(Inicial!M53="SI",Inicial!E53,"N/A")</f>
        <v>N/A</v>
      </c>
      <c r="F53" s="53" t="str">
        <f>IF(Inicial!M53="SI",Inicial!F53,"N/A")</f>
        <v>N/A</v>
      </c>
      <c r="G53" s="53" t="str">
        <f>IF(Inicial!M53="SI",Inicial!G53,"N/A")</f>
        <v>N/A</v>
      </c>
      <c r="H53" s="53" t="str">
        <f>IF(Inicial!M53="SI",Inicial!H53,"N/A")</f>
        <v>N/A</v>
      </c>
      <c r="I53" s="55" t="str">
        <f>IF(Inicial!M53="SI",Inicial!I53,"N/A")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 t="str" cm="1">
        <f t="array" ref="W53">IF(OR(M53:V53="NO"),"No aceptable","Aceptable")</f>
        <v>Aceptable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3" t="str" cm="1">
        <f t="array" ref="AN53">IF(OR(AA53:AM53="SI"),"Critico","No Critico")</f>
        <v>No Critico</v>
      </c>
    </row>
    <row r="54" spans="1:40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IF(Inicial!M54="SI",Inicial!E54,"N/A")</f>
        <v>N/A</v>
      </c>
      <c r="F54" s="53" t="str">
        <f>IF(Inicial!M54="SI",Inicial!F54,"N/A")</f>
        <v>N/A</v>
      </c>
      <c r="G54" s="53" t="str">
        <f>IF(Inicial!M54="SI",Inicial!G54,"N/A")</f>
        <v>N/A</v>
      </c>
      <c r="H54" s="53" t="str">
        <f>IF(Inicial!M54="SI",Inicial!H54,"N/A")</f>
        <v>N/A</v>
      </c>
      <c r="I54" s="55" t="str">
        <f>IF(Inicial!M54="SI",Inicial!I54,"N/A")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2" t="str" cm="1">
        <f t="array" ref="W54">IF(OR(M54:V54="NO"),"No aceptable","Aceptable")</f>
        <v>Aceptable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3" t="str" cm="1">
        <f t="array" ref="AN54">IF(OR(AA54:AM54="SI"),"Critico","No Critico")</f>
        <v>No Critico</v>
      </c>
    </row>
    <row r="55" spans="1:40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IF(Inicial!M55="SI",Inicial!E55,"N/A")</f>
        <v>N/A</v>
      </c>
      <c r="F55" s="53" t="str">
        <f>IF(Inicial!M55="SI",Inicial!F55,"N/A")</f>
        <v>N/A</v>
      </c>
      <c r="G55" s="53" t="str">
        <f>IF(Inicial!M55="SI",Inicial!G55,"N/A")</f>
        <v>N/A</v>
      </c>
      <c r="H55" s="53" t="str">
        <f>IF(Inicial!M55="SI",Inicial!H55,"N/A")</f>
        <v>N/A</v>
      </c>
      <c r="I55" s="55" t="str">
        <f>IF(Inicial!M55="SI",Inicial!I55,"N/A")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 t="str" cm="1">
        <f t="array" ref="W55">IF(OR(M55:V55="NO"),"No aceptable","Aceptable")</f>
        <v>Aceptable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3" t="str" cm="1">
        <f t="array" ref="AN55">IF(OR(AA55:AM55="SI"),"Critico","No Critico")</f>
        <v>No Critico</v>
      </c>
    </row>
    <row r="56" spans="1:40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55" t="e">
        <f>IF(Inicial!#REF!="SI",Inicial!#REF!,"N/A")</f>
        <v>#REF!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 t="str" cm="1">
        <f t="array" ref="W56">IF(OR(M56:V56="NO"),"No aceptable","Aceptable")</f>
        <v>Aceptable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3" t="str" cm="1">
        <f t="array" ref="AN56">IF(OR(AA56:AM56="SI"),"Critico","No Critico")</f>
        <v>No Critico</v>
      </c>
    </row>
    <row r="57" spans="1:40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IF(Inicial!M56="SI",Inicial!E56,"N/A")</f>
        <v>N/A</v>
      </c>
      <c r="F57" s="53" t="str">
        <f>IF(Inicial!M56="SI",Inicial!F56,"N/A")</f>
        <v>N/A</v>
      </c>
      <c r="G57" s="53" t="str">
        <f>IF(Inicial!M56="SI",Inicial!G56,"N/A")</f>
        <v>N/A</v>
      </c>
      <c r="H57" s="53" t="str">
        <f>IF(Inicial!M56="SI",Inicial!H56,"N/A")</f>
        <v>N/A</v>
      </c>
      <c r="I57" s="55" t="str">
        <f>IF(Inicial!M56="SI",Inicial!I56,"N/A")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 t="str" cm="1">
        <f t="array" ref="W57">IF(OR(M57:V57="NO"),"No aceptable","Aceptable")</f>
        <v>Aceptable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3" t="str" cm="1">
        <f t="array" ref="AN57">IF(OR(AA57:AM57="SI"),"Critico","No Critico")</f>
        <v>No Critico</v>
      </c>
    </row>
    <row r="58" spans="1:40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IF(Inicial!M57="SI",Inicial!E57,"N/A")</f>
        <v>N/A</v>
      </c>
      <c r="F58" s="53" t="str">
        <f>IF(Inicial!M57="SI",Inicial!F57,"N/A")</f>
        <v>N/A</v>
      </c>
      <c r="G58" s="53" t="str">
        <f>IF(Inicial!M57="SI",Inicial!G57,"N/A")</f>
        <v>N/A</v>
      </c>
      <c r="H58" s="53" t="str">
        <f>IF(Inicial!M57="SI",Inicial!H57,"N/A")</f>
        <v>N/A</v>
      </c>
      <c r="I58" s="55" t="str">
        <f>IF(Inicial!M57="SI",Inicial!I57,"N/A")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 t="str" cm="1">
        <f t="array" ref="W58">IF(OR(M58:V58="NO"),"No aceptable","Aceptable")</f>
        <v>Aceptable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3" t="str" cm="1">
        <f t="array" ref="AN58">IF(OR(AA58:AM58="SI"),"Critico","No Critico")</f>
        <v>No Critico</v>
      </c>
    </row>
    <row r="59" spans="1:40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IF(Inicial!M58="SI",Inicial!E58,"N/A")</f>
        <v>N/A</v>
      </c>
      <c r="F59" s="53" t="str">
        <f>IF(Inicial!M58="SI",Inicial!F58,"N/A")</f>
        <v>N/A</v>
      </c>
      <c r="G59" s="53" t="str">
        <f>IF(Inicial!M58="SI",Inicial!G58,"N/A")</f>
        <v>N/A</v>
      </c>
      <c r="H59" s="53" t="str">
        <f>IF(Inicial!M58="SI",Inicial!H58,"N/A")</f>
        <v>N/A</v>
      </c>
      <c r="I59" s="55" t="str">
        <f>IF(Inicial!M58="SI",Inicial!I58,"N/A")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 t="str" cm="1">
        <f t="array" ref="W59">IF(OR(M59:V59="NO"),"No aceptable","Aceptable")</f>
        <v>Aceptable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3" t="str" cm="1">
        <f t="array" ref="AN59">IF(OR(AA59:AM59="SI"),"Critico","No Critico")</f>
        <v>No Critico</v>
      </c>
    </row>
    <row r="60" spans="1:40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IF(Inicial!M59="SI",Inicial!E59,"N/A")</f>
        <v>N/A</v>
      </c>
      <c r="F60" s="53" t="str">
        <f>IF(Inicial!M59="SI",Inicial!F59,"N/A")</f>
        <v>N/A</v>
      </c>
      <c r="G60" s="53" t="str">
        <f>IF(Inicial!M59="SI",Inicial!G59,"N/A")</f>
        <v>N/A</v>
      </c>
      <c r="H60" s="53" t="str">
        <f>IF(Inicial!M59="SI",Inicial!H59,"N/A")</f>
        <v>N/A</v>
      </c>
      <c r="I60" s="55" t="str">
        <f>IF(Inicial!M59="SI",Inicial!I59,"N/A")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 t="str" cm="1">
        <f t="array" ref="W60">IF(OR(M60:V60="NO"),"No aceptable","Aceptable")</f>
        <v>Aceptable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3" t="str" cm="1">
        <f t="array" ref="AN60">IF(OR(AA60:AM60="SI"),"Critico","No Critico")</f>
        <v>No Critico</v>
      </c>
    </row>
    <row r="61" spans="1:40">
      <c r="A61" s="52" t="e">
        <f>Inicial!#REF!</f>
        <v>#REF!</v>
      </c>
      <c r="B61" s="53" t="e">
        <f>Inicial!#REF!</f>
        <v>#REF!</v>
      </c>
      <c r="C61" s="53" t="e">
        <f>Inicial!#REF!</f>
        <v>#REF!</v>
      </c>
      <c r="D61" s="54" t="e">
        <f>Inicial!#REF!</f>
        <v>#REF!</v>
      </c>
      <c r="E61" s="52" t="e">
        <f>IF(Inicial!#REF!="SI",Inicial!#REF!,"N/A")</f>
        <v>#REF!</v>
      </c>
      <c r="F61" s="53" t="e">
        <f>IF(Inicial!#REF!="SI",Inicial!#REF!,"N/A")</f>
        <v>#REF!</v>
      </c>
      <c r="G61" s="53" t="e">
        <f>IF(Inicial!#REF!="SI",Inicial!#REF!,"N/A")</f>
        <v>#REF!</v>
      </c>
      <c r="H61" s="53" t="e">
        <f>IF(Inicial!#REF!="SI",Inicial!#REF!,"N/A")</f>
        <v>#REF!</v>
      </c>
      <c r="I61" s="55" t="e">
        <f>IF(Inicial!#REF!="SI",Inicial!#REF!,"N/A")</f>
        <v>#REF!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 t="str" cm="1">
        <f t="array" ref="W61">IF(OR(M61:V61="NO"),"No aceptable","Aceptable")</f>
        <v>Aceptable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3" t="str" cm="1">
        <f t="array" ref="AN61">IF(OR(AA61:AM61="SI"),"Critico","No Critico")</f>
        <v>No Critico</v>
      </c>
    </row>
    <row r="62" spans="1:40">
      <c r="A62" s="52" t="e">
        <f>Inicial!#REF!</f>
        <v>#REF!</v>
      </c>
      <c r="B62" s="53" t="e">
        <f>Inicial!#REF!</f>
        <v>#REF!</v>
      </c>
      <c r="C62" s="53" t="e">
        <f>Inicial!#REF!</f>
        <v>#REF!</v>
      </c>
      <c r="D62" s="54" t="e">
        <f>Inicial!#REF!</f>
        <v>#REF!</v>
      </c>
      <c r="E62" s="52" t="e">
        <f>IF(Inicial!#REF!="SI",Inicial!#REF!,"N/A")</f>
        <v>#REF!</v>
      </c>
      <c r="F62" s="53" t="e">
        <f>IF(Inicial!#REF!="SI",Inicial!#REF!,"N/A")</f>
        <v>#REF!</v>
      </c>
      <c r="G62" s="53" t="e">
        <f>IF(Inicial!#REF!="SI",Inicial!#REF!,"N/A")</f>
        <v>#REF!</v>
      </c>
      <c r="H62" s="53" t="e">
        <f>IF(Inicial!#REF!="SI",Inicial!#REF!,"N/A")</f>
        <v>#REF!</v>
      </c>
      <c r="I62" s="55" t="e">
        <f>IF(Inicial!#REF!="SI",Inicial!#REF!,"N/A")</f>
        <v>#REF!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 t="str" cm="1">
        <f t="array" ref="W62">IF(OR(M62:V62="NO"),"No aceptable","Aceptable")</f>
        <v>Aceptable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3" t="str" cm="1">
        <f t="array" ref="AN62">IF(OR(AA62:AM62="SI"),"Critico","No Critico")</f>
        <v>No Critico</v>
      </c>
    </row>
    <row r="63" spans="1:40" ht="25.5">
      <c r="A63" s="52">
        <f>Inicial!A60</f>
        <v>58</v>
      </c>
      <c r="B63" s="53" t="str">
        <f>Inicial!B60</f>
        <v>Desposte</v>
      </c>
      <c r="C63" s="53" t="str">
        <f>Inicial!C60</f>
        <v>Operador Línea Costillar</v>
      </c>
      <c r="D63" s="54" t="str">
        <f>Inicial!D60</f>
        <v xml:space="preserve">Cuadrar panceta </v>
      </c>
      <c r="E63" s="52" t="str">
        <f>IF(Inicial!M60="SI",Inicial!E60,"N/A")</f>
        <v>N/A</v>
      </c>
      <c r="F63" s="53" t="str">
        <f>IF(Inicial!M60="SI",Inicial!F60,"N/A")</f>
        <v>N/A</v>
      </c>
      <c r="G63" s="53" t="str">
        <f>IF(Inicial!M60="SI",Inicial!G60,"N/A")</f>
        <v>N/A</v>
      </c>
      <c r="H63" s="53" t="str">
        <f>IF(Inicial!M60="SI",Inicial!H60,"N/A")</f>
        <v>N/A</v>
      </c>
      <c r="I63" s="55" t="str">
        <f>IF(Inicial!M60="SI",Inicial!I60,"N/A")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 t="str" cm="1">
        <f t="array" ref="W63">IF(OR(M63:V63="NO"),"No aceptable","Aceptable")</f>
        <v>Aceptable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3" t="str" cm="1">
        <f t="array" ref="AN63">IF(OR(AA63:AM63="SI"),"Critico","No Critico")</f>
        <v>No Critico</v>
      </c>
    </row>
    <row r="64" spans="1:40" ht="25.5">
      <c r="A64" s="52">
        <f>Inicial!A61</f>
        <v>59</v>
      </c>
      <c r="B64" s="53" t="str">
        <f>Inicial!B61</f>
        <v>Desposte</v>
      </c>
      <c r="C64" s="53" t="str">
        <f>Inicial!C61</f>
        <v>Operador Línea Costillar</v>
      </c>
      <c r="D64" s="54" t="str">
        <f>Inicial!D61</f>
        <v>Despunte Producto</v>
      </c>
      <c r="E64" s="52" t="str">
        <f>IF(Inicial!M61="SI",Inicial!E61,"N/A")</f>
        <v>N/A</v>
      </c>
      <c r="F64" s="53" t="str">
        <f>IF(Inicial!M61="SI",Inicial!F61,"N/A")</f>
        <v>N/A</v>
      </c>
      <c r="G64" s="53" t="str">
        <f>IF(Inicial!M61="SI",Inicial!G61,"N/A")</f>
        <v>N/A</v>
      </c>
      <c r="H64" s="53" t="str">
        <f>IF(Inicial!M61="SI",Inicial!H61,"N/A")</f>
        <v>N/A</v>
      </c>
      <c r="I64" s="55" t="str">
        <f>IF(Inicial!M61="SI",Inicial!I61,"N/A")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 t="str" cm="1">
        <f t="array" ref="W64">IF(OR(M64:V64="NO"),"No aceptable","Aceptable")</f>
        <v>Aceptable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3" t="str" cm="1">
        <f t="array" ref="AN64">IF(OR(AA64:AM64="SI"),"Critico","No Critico")</f>
        <v>No Critico</v>
      </c>
    </row>
    <row r="65" spans="1:40" ht="25.5">
      <c r="A65" s="52">
        <f>Inicial!A62</f>
        <v>60</v>
      </c>
      <c r="B65" s="53" t="str">
        <f>Inicial!B62</f>
        <v>Desposte</v>
      </c>
      <c r="C65" s="53" t="str">
        <f>Inicial!C62</f>
        <v>Operador Línea Costillar</v>
      </c>
      <c r="D65" s="54" t="str">
        <f>Inicial!D62</f>
        <v>Prolijado Whizard (grasa)</v>
      </c>
      <c r="E65" s="52" t="str">
        <f>IF(Inicial!M62="SI",Inicial!E62,"N/A")</f>
        <v>N/A</v>
      </c>
      <c r="F65" s="53" t="str">
        <f>IF(Inicial!M62="SI",Inicial!F62,"N/A")</f>
        <v>N/A</v>
      </c>
      <c r="G65" s="53" t="str">
        <f>IF(Inicial!M62="SI",Inicial!G62,"N/A")</f>
        <v>N/A</v>
      </c>
      <c r="H65" s="53" t="str">
        <f>IF(Inicial!M62="SI",Inicial!H62,"N/A")</f>
        <v>N/A</v>
      </c>
      <c r="I65" s="55" t="str">
        <f>IF(Inicial!M62="SI",Inicial!I62,"N/A")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 t="str" cm="1">
        <f t="array" ref="W65">IF(OR(M65:V65="NO"),"No aceptable","Aceptable")</f>
        <v>Aceptable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3" t="str" cm="1">
        <f t="array" ref="AN65">IF(OR(AA65:AM65="SI"),"Critico","No Critico")</f>
        <v>No Critico</v>
      </c>
    </row>
    <row r="66" spans="1:40" ht="25.5">
      <c r="A66" s="52">
        <f>Inicial!A63</f>
        <v>61</v>
      </c>
      <c r="B66" s="53" t="str">
        <f>Inicial!B63</f>
        <v>Desposte</v>
      </c>
      <c r="C66" s="53" t="str">
        <f>Inicial!C63</f>
        <v>Operador Línea Costillar</v>
      </c>
      <c r="D66" s="54" t="str">
        <f>Inicial!D63</f>
        <v>Calibrado</v>
      </c>
      <c r="E66" s="52" t="str">
        <f>IF(Inicial!M63="SI",Inicial!E63,"N/A")</f>
        <v>N/A</v>
      </c>
      <c r="F66" s="53" t="str">
        <f>IF(Inicial!M63="SI",Inicial!F63,"N/A")</f>
        <v>N/A</v>
      </c>
      <c r="G66" s="53" t="str">
        <f>IF(Inicial!M63="SI",Inicial!G63,"N/A")</f>
        <v>N/A</v>
      </c>
      <c r="H66" s="53" t="str">
        <f>IF(Inicial!M63="SI",Inicial!H63,"N/A")</f>
        <v>N/A</v>
      </c>
      <c r="I66" s="55" t="str">
        <f>IF(Inicial!M63="SI",Inicial!I63,"N/A")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 t="str" cm="1">
        <f t="array" ref="W66">IF(OR(M66:V66="NO"),"No aceptable","Aceptable")</f>
        <v>Aceptable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3" t="str" cm="1">
        <f t="array" ref="AN66">IF(OR(AA66:AM66="SI"),"Critico","No Critico")</f>
        <v>No Critico</v>
      </c>
    </row>
    <row r="67" spans="1:40" ht="25.5">
      <c r="A67" s="52">
        <f>Inicial!A64</f>
        <v>62</v>
      </c>
      <c r="B67" s="53" t="str">
        <f>Inicial!B64</f>
        <v>Desposte</v>
      </c>
      <c r="C67" s="53" t="str">
        <f>Inicial!C64</f>
        <v>Operador Línea Costillar</v>
      </c>
      <c r="D67" s="54" t="str">
        <f>Inicial!D64</f>
        <v>Cortado de Costillar</v>
      </c>
      <c r="E67" s="52" t="str">
        <f>IF(Inicial!M64="SI",Inicial!E64,"N/A")</f>
        <v>N/A</v>
      </c>
      <c r="F67" s="53" t="str">
        <f>IF(Inicial!M64="SI",Inicial!F64,"N/A")</f>
        <v>N/A</v>
      </c>
      <c r="G67" s="53" t="str">
        <f>IF(Inicial!M64="SI",Inicial!G64,"N/A")</f>
        <v>N/A</v>
      </c>
      <c r="H67" s="53" t="str">
        <f>IF(Inicial!M64="SI",Inicial!H64,"N/A")</f>
        <v>N/A</v>
      </c>
      <c r="I67" s="55" t="str">
        <f>IF(Inicial!M64="SI",Inicial!I64,"N/A")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 t="str" cm="1">
        <f t="array" ref="W67">IF(OR(M67:V67="NO"),"No aceptable","Aceptable")</f>
        <v>Aceptable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3" t="str" cm="1">
        <f t="array" ref="AN67">IF(OR(AA67:AM67="SI"),"Critico","No Critico")</f>
        <v>No Critico</v>
      </c>
    </row>
    <row r="68" spans="1:40" ht="25.5">
      <c r="A68" s="52">
        <f>Inicial!A65</f>
        <v>63</v>
      </c>
      <c r="B68" s="53" t="str">
        <f>Inicial!B65</f>
        <v>Desposte</v>
      </c>
      <c r="C68" s="53" t="str">
        <f>Inicial!C65</f>
        <v>Operador Línea Costillar</v>
      </c>
      <c r="D68" s="54" t="str">
        <f>Inicial!D65</f>
        <v xml:space="preserve">Abastecer Línea </v>
      </c>
      <c r="E68" s="52" t="str">
        <f>IF(Inicial!M65="SI",Inicial!E65,"N/A")</f>
        <v>N/A</v>
      </c>
      <c r="F68" s="53" t="str">
        <f>IF(Inicial!M65="SI",Inicial!F65,"N/A")</f>
        <v>N/A</v>
      </c>
      <c r="G68" s="53" t="str">
        <f>IF(Inicial!M65="SI",Inicial!G65,"N/A")</f>
        <v>N/A</v>
      </c>
      <c r="H68" s="53" t="str">
        <f>IF(Inicial!M65="SI",Inicial!H65,"N/A")</f>
        <v>N/A</v>
      </c>
      <c r="I68" s="55" t="str">
        <f>IF(Inicial!M65="SI",Inicial!I65,"N/A")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 t="str" cm="1">
        <f t="array" ref="W68">IF(OR(M68:V68="NO"),"No aceptable","Aceptable")</f>
        <v>Aceptable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3" t="str" cm="1">
        <f t="array" ref="AN68">IF(OR(AA68:AM68="SI"),"Critico","No Critico")</f>
        <v>No Critico</v>
      </c>
    </row>
    <row r="69" spans="1:40" ht="25.5">
      <c r="A69" s="52">
        <f>Inicial!A66</f>
        <v>64</v>
      </c>
      <c r="B69" s="53" t="str">
        <f>Inicial!B66</f>
        <v>Desposte</v>
      </c>
      <c r="C69" s="53" t="str">
        <f>Inicial!C66</f>
        <v>Operador Línea paleta</v>
      </c>
      <c r="D69" s="54" t="str">
        <f>Inicial!D66</f>
        <v>Separación de Vetado</v>
      </c>
      <c r="E69" s="52" t="str">
        <f>IF(Inicial!M66="SI",Inicial!E66,"N/A")</f>
        <v>N/A</v>
      </c>
      <c r="F69" s="53" t="str">
        <f>IF(Inicial!M66="SI",Inicial!F66,"N/A")</f>
        <v>N/A</v>
      </c>
      <c r="G69" s="53" t="str">
        <f>IF(Inicial!M66="SI",Inicial!G66,"N/A")</f>
        <v>N/A</v>
      </c>
      <c r="H69" s="53" t="str">
        <f>IF(Inicial!M66="SI",Inicial!H66,"N/A")</f>
        <v>N/A</v>
      </c>
      <c r="I69" s="55" t="str">
        <f>IF(Inicial!M66="SI",Inicial!I66,"N/A")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 t="str" cm="1">
        <f t="array" ref="W69">IF(OR(M69:V69="NO"),"No aceptable","Aceptable")</f>
        <v>Aceptable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3" t="str" cm="1">
        <f t="array" ref="AN69">IF(OR(AA69:AM69="SI"),"Critico","No Critico")</f>
        <v>No Critico</v>
      </c>
    </row>
    <row r="70" spans="1:40" ht="25.5">
      <c r="A70" s="52">
        <f>Inicial!A67</f>
        <v>65</v>
      </c>
      <c r="B70" s="53" t="str">
        <f>Inicial!B67</f>
        <v>Desposte</v>
      </c>
      <c r="C70" s="53" t="str">
        <f>Inicial!C67</f>
        <v>Operador Línea paleta</v>
      </c>
      <c r="D70" s="54" t="str">
        <f>Inicial!D67</f>
        <v>Segrega Producto</v>
      </c>
      <c r="E70" s="52" t="str">
        <f>IF(Inicial!M67="SI",Inicial!E67,"N/A")</f>
        <v>N/A</v>
      </c>
      <c r="F70" s="53" t="str">
        <f>IF(Inicial!M67="SI",Inicial!F67,"N/A")</f>
        <v>N/A</v>
      </c>
      <c r="G70" s="53" t="str">
        <f>IF(Inicial!M67="SI",Inicial!G67,"N/A")</f>
        <v>N/A</v>
      </c>
      <c r="H70" s="53" t="str">
        <f>IF(Inicial!M67="SI",Inicial!H67,"N/A")</f>
        <v>N/A</v>
      </c>
      <c r="I70" s="55" t="str">
        <f>IF(Inicial!M67="SI",Inicial!I67,"N/A")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 t="str" cm="1">
        <f t="array" ref="W70">IF(OR(M70:V70="NO"),"No aceptable","Aceptable")</f>
        <v>Aceptable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3" t="str" cm="1">
        <f t="array" ref="AN70">IF(OR(AA70:AM70="SI"),"Critico","No Critico")</f>
        <v>No Critico</v>
      </c>
    </row>
    <row r="71" spans="1:40" ht="25.5">
      <c r="A71" s="52">
        <f>Inicial!A68</f>
        <v>66</v>
      </c>
      <c r="B71" s="53" t="str">
        <f>Inicial!B68</f>
        <v>Desposte</v>
      </c>
      <c r="C71" s="53" t="str">
        <f>Inicial!C68</f>
        <v>Operador Línea paleta</v>
      </c>
      <c r="D71" s="54" t="str">
        <f>Inicial!D68</f>
        <v>Papada</v>
      </c>
      <c r="E71" s="52" t="str">
        <f>IF(Inicial!M68="SI",Inicial!E68,"N/A")</f>
        <v>N/A</v>
      </c>
      <c r="F71" s="53" t="str">
        <f>IF(Inicial!M68="SI",Inicial!F68,"N/A")</f>
        <v>N/A</v>
      </c>
      <c r="G71" s="53" t="str">
        <f>IF(Inicial!M68="SI",Inicial!G68,"N/A")</f>
        <v>N/A</v>
      </c>
      <c r="H71" s="53" t="str">
        <f>IF(Inicial!M68="SI",Inicial!H68,"N/A")</f>
        <v>N/A</v>
      </c>
      <c r="I71" s="55" t="str">
        <f>IF(Inicial!M68="SI",Inicial!I68,"N/A")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 t="str" cm="1">
        <f t="array" ref="W71">IF(OR(M71:V71="NO"),"No aceptable","Aceptable")</f>
        <v>Aceptable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3" t="str" cm="1">
        <f t="array" ref="AN71">IF(OR(AA71:AM71="SI"),"Critico","No Critico")</f>
        <v>No Critico</v>
      </c>
    </row>
    <row r="72" spans="1:40" ht="25.5">
      <c r="A72" s="52">
        <f>Inicial!A69</f>
        <v>67</v>
      </c>
      <c r="B72" s="53" t="str">
        <f>Inicial!B69</f>
        <v>Desposte</v>
      </c>
      <c r="C72" s="53" t="str">
        <f>Inicial!C69</f>
        <v>Operador Línea paleta</v>
      </c>
      <c r="D72" s="54" t="str">
        <f>Inicial!D69</f>
        <v>Forrero</v>
      </c>
      <c r="E72" s="52" t="str">
        <f>IF(Inicial!M69="SI",Inicial!E69,"N/A")</f>
        <v>N/A</v>
      </c>
      <c r="F72" s="53" t="str">
        <f>IF(Inicial!M69="SI",Inicial!F69,"N/A")</f>
        <v>N/A</v>
      </c>
      <c r="G72" s="53" t="str">
        <f>IF(Inicial!M69="SI",Inicial!G69,"N/A")</f>
        <v>N/A</v>
      </c>
      <c r="H72" s="53" t="str">
        <f>IF(Inicial!M69="SI",Inicial!H69,"N/A")</f>
        <v>N/A</v>
      </c>
      <c r="I72" s="55" t="str">
        <f>IF(Inicial!M69="SI",Inicial!I69,"N/A")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 t="str" cm="1">
        <f t="array" ref="W72">IF(OR(M72:V72="NO"),"No aceptable","Aceptable")</f>
        <v>Aceptable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3" t="str" cm="1">
        <f t="array" ref="AN72">IF(OR(AA72:AM72="SI"),"Critico","No Critico")</f>
        <v>No Critico</v>
      </c>
    </row>
    <row r="73" spans="1:40" ht="25.5">
      <c r="A73" s="52">
        <f>Inicial!A70</f>
        <v>68</v>
      </c>
      <c r="B73" s="53" t="str">
        <f>Inicial!B70</f>
        <v>Desposte</v>
      </c>
      <c r="C73" s="53" t="str">
        <f>Inicial!C70</f>
        <v>Operador Línea paleta</v>
      </c>
      <c r="D73" s="54" t="str">
        <f>Inicial!D70</f>
        <v>Rayado</v>
      </c>
      <c r="E73" s="52" t="str">
        <f>IF(Inicial!M70="SI",Inicial!E70,"N/A")</f>
        <v>N/A</v>
      </c>
      <c r="F73" s="53" t="str">
        <f>IF(Inicial!M70="SI",Inicial!F70,"N/A")</f>
        <v>N/A</v>
      </c>
      <c r="G73" s="53" t="str">
        <f>IF(Inicial!M70="SI",Inicial!G70,"N/A")</f>
        <v>N/A</v>
      </c>
      <c r="H73" s="53" t="str">
        <f>IF(Inicial!M70="SI",Inicial!H70,"N/A")</f>
        <v>N/A</v>
      </c>
      <c r="I73" s="55" t="str">
        <f>IF(Inicial!M70="SI",Inicial!I70,"N/A")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 t="str" cm="1">
        <f t="array" ref="W73">IF(OR(M73:V73="NO"),"No aceptable","Aceptable")</f>
        <v>Aceptable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3" t="str" cm="1">
        <f t="array" ref="AN73">IF(OR(AA73:AM73="SI"),"Critico","No Critico")</f>
        <v>No Critico</v>
      </c>
    </row>
    <row r="74" spans="1:40" ht="25.5">
      <c r="A74" s="52">
        <f>Inicial!A71</f>
        <v>69</v>
      </c>
      <c r="B74" s="53" t="str">
        <f>Inicial!B71</f>
        <v>Desposte</v>
      </c>
      <c r="C74" s="53" t="str">
        <f>Inicial!C71</f>
        <v>Operador Línea paleta</v>
      </c>
      <c r="D74" s="54" t="str">
        <f>Inicial!D71</f>
        <v>Cortar Plateada</v>
      </c>
      <c r="E74" s="52" t="str">
        <f>IF(Inicial!M71="SI",Inicial!E71,"N/A")</f>
        <v>N/A</v>
      </c>
      <c r="F74" s="53" t="str">
        <f>IF(Inicial!M71="SI",Inicial!F71,"N/A")</f>
        <v>N/A</v>
      </c>
      <c r="G74" s="53" t="str">
        <f>IF(Inicial!M71="SI",Inicial!G71,"N/A")</f>
        <v>N/A</v>
      </c>
      <c r="H74" s="53" t="str">
        <f>IF(Inicial!M71="SI",Inicial!H71,"N/A")</f>
        <v>N/A</v>
      </c>
      <c r="I74" s="55" t="str">
        <f>IF(Inicial!M71="SI",Inicial!I71,"N/A")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 t="str" cm="1">
        <f t="array" ref="W74">IF(OR(M74:V74="NO"),"No aceptable","Aceptable")</f>
        <v>Aceptable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3" t="str" cm="1">
        <f t="array" ref="AN74">IF(OR(AA74:AM74="SI"),"Critico","No Critico")</f>
        <v>No Critico</v>
      </c>
    </row>
    <row r="75" spans="1:40" ht="25.5">
      <c r="A75" s="52">
        <f>Inicial!A72</f>
        <v>70</v>
      </c>
      <c r="B75" s="53" t="str">
        <f>Inicial!B72</f>
        <v>Desposte</v>
      </c>
      <c r="C75" s="53" t="str">
        <f>Inicial!C72</f>
        <v>Operador Línea paleta</v>
      </c>
      <c r="D75" s="54" t="str">
        <f>Inicial!D72</f>
        <v>Pistola Escapula</v>
      </c>
      <c r="E75" s="52" t="str">
        <f>IF(Inicial!M72="SI",Inicial!E72,"N/A")</f>
        <v>N/A</v>
      </c>
      <c r="F75" s="53" t="str">
        <f>IF(Inicial!M72="SI",Inicial!F72,"N/A")</f>
        <v>N/A</v>
      </c>
      <c r="G75" s="53" t="str">
        <f>IF(Inicial!M72="SI",Inicial!G72,"N/A")</f>
        <v>N/A</v>
      </c>
      <c r="H75" s="53" t="str">
        <f>IF(Inicial!M72="SI",Inicial!H72,"N/A")</f>
        <v>N/A</v>
      </c>
      <c r="I75" s="55" t="str">
        <f>IF(Inicial!M72="SI",Inicial!I72,"N/A")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 t="str" cm="1">
        <f t="array" ref="W75">IF(OR(M75:V75="NO"),"No aceptable","Aceptable")</f>
        <v>Aceptable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3" t="str" cm="1">
        <f t="array" ref="AN75">IF(OR(AA75:AM75="SI"),"Critico","No Critico")</f>
        <v>No Critico</v>
      </c>
    </row>
    <row r="76" spans="1:40" ht="25.5">
      <c r="A76" s="52">
        <f>Inicial!A73</f>
        <v>71</v>
      </c>
      <c r="B76" s="53" t="str">
        <f>Inicial!B73</f>
        <v>Desposte</v>
      </c>
      <c r="C76" s="53" t="str">
        <f>Inicial!C73</f>
        <v>Operador Línea paleta</v>
      </c>
      <c r="D76" s="54" t="str">
        <f>Inicial!D73</f>
        <v>Deshuesado Escapula</v>
      </c>
      <c r="E76" s="52" t="str">
        <f>IF(Inicial!M73="SI",Inicial!E73,"N/A")</f>
        <v>06:30 14:50 / 17:30 a 02:50</v>
      </c>
      <c r="F76" s="53">
        <f>IF(Inicial!M73="SI",Inicial!F73,"N/A")</f>
        <v>1</v>
      </c>
      <c r="G76" s="53">
        <f>IF(Inicial!M73="SI",Inicial!G73,"N/A")</f>
        <v>6</v>
      </c>
      <c r="H76" s="53">
        <f>IF(Inicial!M73="SI",Inicial!H73,"N/A")</f>
        <v>32</v>
      </c>
      <c r="I76" s="55">
        <f>IF(Inicial!M73="SI",Inicial!I73,"N/A")</f>
        <v>0</v>
      </c>
      <c r="J76" s="11" t="s">
        <v>64</v>
      </c>
      <c r="K76" s="11" t="s">
        <v>63</v>
      </c>
      <c r="L76" s="11" t="s">
        <v>63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 t="str" cm="1">
        <f t="array" ref="W76">IF(OR(M76:V76="NO"),"No aceptable","Aceptable")</f>
        <v>Aceptable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 t="s">
        <v>64</v>
      </c>
      <c r="AM76" s="11" t="s">
        <v>64</v>
      </c>
      <c r="AN76" s="3" t="str" cm="1">
        <f t="array" ref="AN76">IF(OR(AA76:AM76="SI"),"Critico","No Critico")</f>
        <v>No Critico</v>
      </c>
    </row>
    <row r="77" spans="1:40" ht="25.5">
      <c r="A77" s="52">
        <f>Inicial!A74</f>
        <v>72</v>
      </c>
      <c r="B77" s="53" t="str">
        <f>Inicial!B74</f>
        <v>Desposte</v>
      </c>
      <c r="C77" s="53" t="str">
        <f>Inicial!C74</f>
        <v>Operador Línea paleta</v>
      </c>
      <c r="D77" s="54" t="str">
        <f>Inicial!D74</f>
        <v>Deshuesado Humero</v>
      </c>
      <c r="E77" s="52" t="str">
        <f>IF(Inicial!M74="SI",Inicial!E74,"N/A")</f>
        <v>N/A</v>
      </c>
      <c r="F77" s="53" t="str">
        <f>IF(Inicial!M74="SI",Inicial!F74,"N/A")</f>
        <v>N/A</v>
      </c>
      <c r="G77" s="53" t="str">
        <f>IF(Inicial!M74="SI",Inicial!G74,"N/A")</f>
        <v>N/A</v>
      </c>
      <c r="H77" s="53" t="str">
        <f>IF(Inicial!M74="SI",Inicial!H74,"N/A")</f>
        <v>N/A</v>
      </c>
      <c r="I77" s="55" t="str">
        <f>IF(Inicial!M74="SI",Inicial!I74,"N/A")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 t="str" cm="1">
        <f t="array" ref="W77">IF(OR(M77:V77="NO"),"No aceptable","Aceptable")</f>
        <v>Aceptable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3" t="str" cm="1">
        <f t="array" ref="AN77">IF(OR(AA77:AM77="SI"),"Critico","No Critico")</f>
        <v>No Critico</v>
      </c>
    </row>
    <row r="78" spans="1:40" ht="25.5">
      <c r="A78" s="52">
        <f>Inicial!A75</f>
        <v>73</v>
      </c>
      <c r="B78" s="53" t="str">
        <f>Inicial!B75</f>
        <v>Desposte</v>
      </c>
      <c r="C78" s="53" t="str">
        <f>Inicial!C75</f>
        <v>Operador Línea paleta</v>
      </c>
      <c r="D78" s="54" t="str">
        <f>Inicial!D75</f>
        <v>Embolsado</v>
      </c>
      <c r="E78" s="52" t="str">
        <f>IF(Inicial!M75="SI",Inicial!E75,"N/A")</f>
        <v>N/A</v>
      </c>
      <c r="F78" s="53" t="str">
        <f>IF(Inicial!M75="SI",Inicial!F75,"N/A")</f>
        <v>N/A</v>
      </c>
      <c r="G78" s="53" t="str">
        <f>IF(Inicial!M75="SI",Inicial!G75,"N/A")</f>
        <v>N/A</v>
      </c>
      <c r="H78" s="53" t="str">
        <f>IF(Inicial!M75="SI",Inicial!H75,"N/A")</f>
        <v>N/A</v>
      </c>
      <c r="I78" s="55" t="str">
        <f>IF(Inicial!M75="SI",Inicial!I75,"N/A")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 t="str" cm="1">
        <f t="array" ref="W78">IF(OR(M78:V78="NO"),"No aceptable","Aceptable")</f>
        <v>Aceptable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3" t="str" cm="1">
        <f t="array" ref="AN78">IF(OR(AA78:AM78="SI"),"Critico","No Critico")</f>
        <v>No Critico</v>
      </c>
    </row>
    <row r="79" spans="1:40" ht="25.5">
      <c r="A79" s="52">
        <f>Inicial!A76</f>
        <v>74</v>
      </c>
      <c r="B79" s="53" t="str">
        <f>Inicial!B76</f>
        <v>Desposte</v>
      </c>
      <c r="C79" s="53" t="str">
        <f>Inicial!C76</f>
        <v>Operador Línea paleta</v>
      </c>
      <c r="D79" s="54" t="str">
        <f>Inicial!D76</f>
        <v>Prolijado</v>
      </c>
      <c r="E79" s="52" t="str">
        <f>IF(Inicial!M76="SI",Inicial!E76,"N/A")</f>
        <v>N/A</v>
      </c>
      <c r="F79" s="53" t="str">
        <f>IF(Inicial!M76="SI",Inicial!F76,"N/A")</f>
        <v>N/A</v>
      </c>
      <c r="G79" s="53" t="str">
        <f>IF(Inicial!M76="SI",Inicial!G76,"N/A")</f>
        <v>N/A</v>
      </c>
      <c r="H79" s="53" t="str">
        <f>IF(Inicial!M76="SI",Inicial!H76,"N/A")</f>
        <v>N/A</v>
      </c>
      <c r="I79" s="55" t="str">
        <f>IF(Inicial!M76="SI",Inicial!I76,"N/A")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 t="str" cm="1">
        <f t="array" ref="W79">IF(OR(M79:V79="NO"),"No aceptable","Aceptable")</f>
        <v>Aceptable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3" t="str" cm="1">
        <f t="array" ref="AN79">IF(OR(AA79:AM79="SI"),"Critico","No Critico")</f>
        <v>No Critico</v>
      </c>
    </row>
    <row r="80" spans="1:40" ht="25.5">
      <c r="A80" s="52">
        <f>Inicial!A77</f>
        <v>75</v>
      </c>
      <c r="B80" s="53" t="str">
        <f>Inicial!B77</f>
        <v>Desposte</v>
      </c>
      <c r="C80" s="53" t="str">
        <f>Inicial!C77</f>
        <v>Operador LíneaVetado</v>
      </c>
      <c r="D80" s="54" t="str">
        <f>Inicial!D77</f>
        <v xml:space="preserve">Abastecer máquina </v>
      </c>
      <c r="E80" s="52" t="str">
        <f>IF(Inicial!M77="SI",Inicial!E77,"N/A")</f>
        <v>N/A</v>
      </c>
      <c r="F80" s="53" t="str">
        <f>IF(Inicial!M77="SI",Inicial!F77,"N/A")</f>
        <v>N/A</v>
      </c>
      <c r="G80" s="53" t="str">
        <f>IF(Inicial!M77="SI",Inicial!G77,"N/A")</f>
        <v>N/A</v>
      </c>
      <c r="H80" s="53" t="str">
        <f>IF(Inicial!M77="SI",Inicial!H77,"N/A")</f>
        <v>N/A</v>
      </c>
      <c r="I80" s="55" t="str">
        <f>IF(Inicial!M77="SI",Inicial!I77,"N/A")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 t="str" cm="1">
        <f t="array" ref="W80">IF(OR(M80:V80="NO"),"No aceptable","Aceptable")</f>
        <v>Aceptable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3" t="str" cm="1">
        <f t="array" ref="AN80">IF(OR(AA80:AM80="SI"),"Critico","No Critico")</f>
        <v>No Critico</v>
      </c>
    </row>
    <row r="81" spans="1:40" ht="25.5">
      <c r="A81" s="52">
        <f>Inicial!A78</f>
        <v>76</v>
      </c>
      <c r="B81" s="53" t="str">
        <f>Inicial!B78</f>
        <v>Desposte</v>
      </c>
      <c r="C81" s="53" t="str">
        <f>Inicial!C78</f>
        <v>Operador LíneaVetado</v>
      </c>
      <c r="D81" s="54" t="str">
        <f>Inicial!D78</f>
        <v>Punta Costilla</v>
      </c>
      <c r="E81" s="52" t="str">
        <f>IF(Inicial!M78="SI",Inicial!E78,"N/A")</f>
        <v>N/A</v>
      </c>
      <c r="F81" s="53" t="str">
        <f>IF(Inicial!M78="SI",Inicial!F78,"N/A")</f>
        <v>N/A</v>
      </c>
      <c r="G81" s="53" t="str">
        <f>IF(Inicial!M78="SI",Inicial!G78,"N/A")</f>
        <v>N/A</v>
      </c>
      <c r="H81" s="53" t="str">
        <f>IF(Inicial!M78="SI",Inicial!H78,"N/A")</f>
        <v>N/A</v>
      </c>
      <c r="I81" s="55" t="str">
        <f>IF(Inicial!M78="SI",Inicial!I78,"N/A")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 t="str" cm="1">
        <f t="array" ref="W81">IF(OR(M81:V81="NO"),"No aceptable","Aceptable")</f>
        <v>Aceptable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3" t="str" cm="1">
        <f t="array" ref="AN81">IF(OR(AA81:AM81="SI"),"Critico","No Critico")</f>
        <v>No Critico</v>
      </c>
    </row>
    <row r="82" spans="1:40" ht="25.5">
      <c r="A82" s="52">
        <f>Inicial!A79</f>
        <v>77</v>
      </c>
      <c r="B82" s="53" t="str">
        <f>Inicial!B79</f>
        <v>Desposte</v>
      </c>
      <c r="C82" s="53" t="str">
        <f>Inicial!C79</f>
        <v>Operador LíneaVetado</v>
      </c>
      <c r="D82" s="54" t="str">
        <f>Inicial!D79</f>
        <v xml:space="preserve">Hueso Externón </v>
      </c>
      <c r="E82" s="52" t="str">
        <f>IF(Inicial!M79="SI",Inicial!E79,"N/A")</f>
        <v>N/A</v>
      </c>
      <c r="F82" s="53" t="str">
        <f>IF(Inicial!M79="SI",Inicial!F79,"N/A")</f>
        <v>N/A</v>
      </c>
      <c r="G82" s="53" t="str">
        <f>IF(Inicial!M79="SI",Inicial!G79,"N/A")</f>
        <v>N/A</v>
      </c>
      <c r="H82" s="53" t="str">
        <f>IF(Inicial!M79="SI",Inicial!H79,"N/A")</f>
        <v>N/A</v>
      </c>
      <c r="I82" s="55" t="str">
        <f>IF(Inicial!M79="SI",Inicial!I79,"N/A")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 t="str" cm="1">
        <f t="array" ref="W82">IF(OR(M82:V82="NO"),"No aceptable","Aceptable")</f>
        <v>Aceptable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3" t="str" cm="1">
        <f t="array" ref="AN82">IF(OR(AA82:AM82="SI"),"Critico","No Critico")</f>
        <v>No Critico</v>
      </c>
    </row>
    <row r="83" spans="1:40" ht="25.5">
      <c r="A83" s="52">
        <f>Inicial!A80</f>
        <v>78</v>
      </c>
      <c r="B83" s="53" t="str">
        <f>Inicial!B80</f>
        <v>Desposte</v>
      </c>
      <c r="C83" s="53" t="str">
        <f>Inicial!C80</f>
        <v>Operador LíneaVetado</v>
      </c>
      <c r="D83" s="54" t="str">
        <f>Inicial!D80</f>
        <v>Costillita</v>
      </c>
      <c r="E83" s="52" t="str">
        <f>IF(Inicial!M80="SI",Inicial!E80,"N/A")</f>
        <v>N/A</v>
      </c>
      <c r="F83" s="53" t="str">
        <f>IF(Inicial!M80="SI",Inicial!F80,"N/A")</f>
        <v>N/A</v>
      </c>
      <c r="G83" s="53" t="str">
        <f>IF(Inicial!M80="SI",Inicial!G80,"N/A")</f>
        <v>N/A</v>
      </c>
      <c r="H83" s="53" t="str">
        <f>IF(Inicial!M80="SI",Inicial!H80,"N/A")</f>
        <v>N/A</v>
      </c>
      <c r="I83" s="55" t="str">
        <f>IF(Inicial!M80="SI",Inicial!I80,"N/A")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 t="str" cm="1">
        <f t="array" ref="W83">IF(OR(M83:V83="NO"),"No aceptable","Aceptable")</f>
        <v>Aceptable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3" t="str" cm="1">
        <f t="array" ref="AN83">IF(OR(AA83:AM83="SI"),"Critico","No Critico")</f>
        <v>No Critico</v>
      </c>
    </row>
    <row r="84" spans="1:40" ht="25.5">
      <c r="A84" s="52">
        <f>Inicial!A81</f>
        <v>79</v>
      </c>
      <c r="B84" s="53" t="str">
        <f>Inicial!B81</f>
        <v>Desposte</v>
      </c>
      <c r="C84" s="53" t="str">
        <f>Inicial!C81</f>
        <v>Operador LíneaVetado</v>
      </c>
      <c r="D84" s="54" t="str">
        <f>Inicial!D81</f>
        <v>Prolijado de Papada</v>
      </c>
      <c r="E84" s="52" t="str">
        <f>IF(Inicial!M81="SI",Inicial!E81,"N/A")</f>
        <v>N/A</v>
      </c>
      <c r="F84" s="53" t="str">
        <f>IF(Inicial!M81="SI",Inicial!F81,"N/A")</f>
        <v>N/A</v>
      </c>
      <c r="G84" s="53" t="str">
        <f>IF(Inicial!M81="SI",Inicial!G81,"N/A")</f>
        <v>N/A</v>
      </c>
      <c r="H84" s="53" t="str">
        <f>IF(Inicial!M81="SI",Inicial!H81,"N/A")</f>
        <v>N/A</v>
      </c>
      <c r="I84" s="55" t="str">
        <f>IF(Inicial!M81="SI",Inicial!I81,"N/A")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 t="str" cm="1">
        <f t="array" ref="W84">IF(OR(M84:V84="NO"),"No aceptable","Aceptable")</f>
        <v>Aceptable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3" t="str" cm="1">
        <f t="array" ref="AN84">IF(OR(AA84:AM84="SI"),"Critico","No Critico")</f>
        <v>No Critico</v>
      </c>
    </row>
    <row r="85" spans="1:40" ht="25.5">
      <c r="A85" s="52">
        <f>Inicial!A82</f>
        <v>80</v>
      </c>
      <c r="B85" s="53" t="str">
        <f>Inicial!B82</f>
        <v>Desposte</v>
      </c>
      <c r="C85" s="53" t="str">
        <f>Inicial!C82</f>
        <v>Operador LíneaVetado</v>
      </c>
      <c r="D85" s="54" t="str">
        <f>Inicial!D82</f>
        <v>Ganglios</v>
      </c>
      <c r="E85" s="52" t="str">
        <f>IF(Inicial!M82="SI",Inicial!E82,"N/A")</f>
        <v>N/A</v>
      </c>
      <c r="F85" s="53" t="str">
        <f>IF(Inicial!M82="SI",Inicial!F82,"N/A")</f>
        <v>N/A</v>
      </c>
      <c r="G85" s="53" t="str">
        <f>IF(Inicial!M82="SI",Inicial!G82,"N/A")</f>
        <v>N/A</v>
      </c>
      <c r="H85" s="53" t="str">
        <f>IF(Inicial!M82="SI",Inicial!H82,"N/A")</f>
        <v>N/A</v>
      </c>
      <c r="I85" s="55" t="str">
        <f>IF(Inicial!M82="SI",Inicial!I82,"N/A")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 t="str" cm="1">
        <f t="array" ref="W85">IF(OR(M85:V85="NO"),"No aceptable","Aceptable")</f>
        <v>Aceptable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3" t="str" cm="1">
        <f t="array" ref="AN85">IF(OR(AA85:AM85="SI"),"Critico","No Critico")</f>
        <v>No Critico</v>
      </c>
    </row>
    <row r="86" spans="1:40" ht="25.5">
      <c r="A86" s="52">
        <f>Inicial!A83</f>
        <v>81</v>
      </c>
      <c r="B86" s="53" t="str">
        <f>Inicial!B83</f>
        <v>Desposte</v>
      </c>
      <c r="C86" s="53" t="str">
        <f>Inicial!C83</f>
        <v>Operador LíneaVetado</v>
      </c>
      <c r="D86" s="54" t="str">
        <f>Inicial!D83</f>
        <v>Deshuesado de Chuleta</v>
      </c>
      <c r="E86" s="52" t="str">
        <f>IF(Inicial!M83="SI",Inicial!E83,"N/A")</f>
        <v>N/A</v>
      </c>
      <c r="F86" s="53" t="str">
        <f>IF(Inicial!M83="SI",Inicial!F83,"N/A")</f>
        <v>N/A</v>
      </c>
      <c r="G86" s="53" t="str">
        <f>IF(Inicial!M83="SI",Inicial!G83,"N/A")</f>
        <v>N/A</v>
      </c>
      <c r="H86" s="53" t="str">
        <f>IF(Inicial!M83="SI",Inicial!H83,"N/A")</f>
        <v>N/A</v>
      </c>
      <c r="I86" s="55" t="str">
        <f>IF(Inicial!M83="SI",Inicial!I83,"N/A")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 t="str" cm="1">
        <f t="array" ref="W86">IF(OR(M86:V86="NO"),"No aceptable","Aceptable")</f>
        <v>Aceptable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3" t="str" cm="1">
        <f t="array" ref="AN86">IF(OR(AA86:AM86="SI"),"Critico","No Critico")</f>
        <v>No Critico</v>
      </c>
    </row>
    <row r="87" spans="1:40" ht="25.5">
      <c r="A87" s="52">
        <f>Inicial!A84</f>
        <v>82</v>
      </c>
      <c r="B87" s="53" t="str">
        <f>Inicial!B84</f>
        <v>Desposte</v>
      </c>
      <c r="C87" s="53" t="str">
        <f>Inicial!C84</f>
        <v>Operador LíneaVetado</v>
      </c>
      <c r="D87" s="54" t="str">
        <f>Inicial!D84</f>
        <v>Embalado de hueso</v>
      </c>
      <c r="E87" s="52" t="str">
        <f>IF(Inicial!M84="SI",Inicial!E84,"N/A")</f>
        <v>N/A</v>
      </c>
      <c r="F87" s="53" t="str">
        <f>IF(Inicial!M84="SI",Inicial!F84,"N/A")</f>
        <v>N/A</v>
      </c>
      <c r="G87" s="53" t="str">
        <f>IF(Inicial!M84="SI",Inicial!G84,"N/A")</f>
        <v>N/A</v>
      </c>
      <c r="H87" s="53" t="str">
        <f>IF(Inicial!M84="SI",Inicial!H84,"N/A")</f>
        <v>N/A</v>
      </c>
      <c r="I87" s="55" t="str">
        <f>IF(Inicial!M84="SI",Inicial!I84,"N/A")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 t="str" cm="1">
        <f t="array" ref="W87">IF(OR(M87:V87="NO"),"No aceptable","Aceptable")</f>
        <v>Aceptable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3" t="str" cm="1">
        <f t="array" ref="AN87">IF(OR(AA87:AM87="SI"),"Critico","No Critico")</f>
        <v>No Critico</v>
      </c>
    </row>
    <row r="88" spans="1:40" ht="25.5">
      <c r="A88" s="52">
        <f>Inicial!A85</f>
        <v>83</v>
      </c>
      <c r="B88" s="53" t="str">
        <f>Inicial!B85</f>
        <v>Desposte</v>
      </c>
      <c r="C88" s="53" t="str">
        <f>Inicial!C85</f>
        <v>Operador LíneaVetado</v>
      </c>
      <c r="D88" s="54" t="str">
        <f>Inicial!D85</f>
        <v xml:space="preserve">extracción Cinta de Despunte </v>
      </c>
      <c r="E88" s="52" t="str">
        <f>IF(Inicial!M85="SI",Inicial!E85,"N/A")</f>
        <v>N/A</v>
      </c>
      <c r="F88" s="53" t="str">
        <f>IF(Inicial!M85="SI",Inicial!F85,"N/A")</f>
        <v>N/A</v>
      </c>
      <c r="G88" s="53" t="str">
        <f>IF(Inicial!M85="SI",Inicial!G85,"N/A")</f>
        <v>N/A</v>
      </c>
      <c r="H88" s="53" t="str">
        <f>IF(Inicial!M85="SI",Inicial!H85,"N/A")</f>
        <v>N/A</v>
      </c>
      <c r="I88" s="55" t="str">
        <f>IF(Inicial!M85="SI",Inicial!I85,"N/A")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 t="str" cm="1">
        <f t="array" ref="W88">IF(OR(M88:V88="NO"),"No aceptable","Aceptable")</f>
        <v>Aceptable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3" t="str" cm="1">
        <f t="array" ref="AN88">IF(OR(AA88:AM88="SI"),"Critico","No Critico")</f>
        <v>No Critico</v>
      </c>
    </row>
    <row r="89" spans="1:40" ht="25.5">
      <c r="A89" s="52">
        <f>Inicial!A86</f>
        <v>84</v>
      </c>
      <c r="B89" s="53" t="str">
        <f>Inicial!B86</f>
        <v>Desposte</v>
      </c>
      <c r="C89" s="53" t="str">
        <f>Inicial!C86</f>
        <v>Operador LíneaVetado</v>
      </c>
      <c r="D89" s="54" t="str">
        <f>Inicial!D86</f>
        <v>Prolijado Cartilago Hueso</v>
      </c>
      <c r="E89" s="52" t="str">
        <f>IF(Inicial!M86="SI",Inicial!E86,"N/A")</f>
        <v>N/A</v>
      </c>
      <c r="F89" s="53" t="str">
        <f>IF(Inicial!M86="SI",Inicial!F86,"N/A")</f>
        <v>N/A</v>
      </c>
      <c r="G89" s="53" t="str">
        <f>IF(Inicial!M86="SI",Inicial!G86,"N/A")</f>
        <v>N/A</v>
      </c>
      <c r="H89" s="53" t="str">
        <f>IF(Inicial!M86="SI",Inicial!H86,"N/A")</f>
        <v>N/A</v>
      </c>
      <c r="I89" s="55" t="str">
        <f>IF(Inicial!M86="SI",Inicial!I86,"N/A")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 t="str" cm="1">
        <f t="array" ref="W89">IF(OR(M89:V89="NO"),"No aceptable","Aceptable")</f>
        <v>Aceptable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3" t="str" cm="1">
        <f t="array" ref="AN89">IF(OR(AA89:AM89="SI"),"Critico","No Critico")</f>
        <v>No Critico</v>
      </c>
    </row>
    <row r="90" spans="1:40" ht="25.5">
      <c r="A90" s="52">
        <f>Inicial!A87</f>
        <v>85</v>
      </c>
      <c r="B90" s="53" t="str">
        <f>Inicial!B87</f>
        <v>Desposte</v>
      </c>
      <c r="C90" s="53" t="str">
        <f>Inicial!C87</f>
        <v>Operador LíneaVetado</v>
      </c>
      <c r="D90" s="54" t="str">
        <f>Inicial!D87</f>
        <v>Prolijado Carne Longaniza</v>
      </c>
      <c r="E90" s="52" t="str">
        <f>IF(Inicial!M87="SI",Inicial!E87,"N/A")</f>
        <v>N/A</v>
      </c>
      <c r="F90" s="53" t="str">
        <f>IF(Inicial!M87="SI",Inicial!F87,"N/A")</f>
        <v>N/A</v>
      </c>
      <c r="G90" s="53" t="str">
        <f>IF(Inicial!M87="SI",Inicial!G87,"N/A")</f>
        <v>N/A</v>
      </c>
      <c r="H90" s="53" t="str">
        <f>IF(Inicial!M87="SI",Inicial!H87,"N/A")</f>
        <v>N/A</v>
      </c>
      <c r="I90" s="55" t="str">
        <f>IF(Inicial!M87="SI",Inicial!I87,"N/A")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 t="str" cm="1">
        <f t="array" ref="W90">IF(OR(M90:V90="NO"),"No aceptable","Aceptable")</f>
        <v>Aceptable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3" t="str" cm="1">
        <f t="array" ref="AN90">IF(OR(AA90:AM90="SI"),"Critico","No Critico")</f>
        <v>No Critico</v>
      </c>
    </row>
    <row r="91" spans="1:40" ht="25.5">
      <c r="A91" s="52">
        <f>Inicial!A88</f>
        <v>86</v>
      </c>
      <c r="B91" s="53" t="str">
        <f>Inicial!B88</f>
        <v>Desposte</v>
      </c>
      <c r="C91" s="53" t="str">
        <f>Inicial!C88</f>
        <v>Operador LíneaVetado</v>
      </c>
      <c r="D91" s="54" t="str">
        <f>Inicial!D88</f>
        <v xml:space="preserve">Prolijado Lomo Vetado </v>
      </c>
      <c r="E91" s="52" t="str">
        <f>IF(Inicial!M88="SI",Inicial!E88,"N/A")</f>
        <v>N/A</v>
      </c>
      <c r="F91" s="53" t="str">
        <f>IF(Inicial!M88="SI",Inicial!F88,"N/A")</f>
        <v>N/A</v>
      </c>
      <c r="G91" s="53" t="str">
        <f>IF(Inicial!M88="SI",Inicial!G88,"N/A")</f>
        <v>N/A</v>
      </c>
      <c r="H91" s="53" t="str">
        <f>IF(Inicial!M88="SI",Inicial!H88,"N/A")</f>
        <v>N/A</v>
      </c>
      <c r="I91" s="55" t="str">
        <f>IF(Inicial!M88="SI",Inicial!I88,"N/A")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 t="str" cm="1">
        <f t="array" ref="W91">IF(OR(M91:V91="NO"),"No aceptable","Aceptable")</f>
        <v>Aceptable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3" t="str" cm="1">
        <f t="array" ref="AN91">IF(OR(AA91:AM91="SI"),"Critico","No Critico")</f>
        <v>No Critico</v>
      </c>
    </row>
    <row r="92" spans="1:40" ht="25.5">
      <c r="A92" s="52">
        <f>Inicial!A89</f>
        <v>87</v>
      </c>
      <c r="B92" s="53" t="str">
        <f>Inicial!B89</f>
        <v>Desposte</v>
      </c>
      <c r="C92" s="53" t="str">
        <f>Inicial!C89</f>
        <v>Operador LíneaVetado</v>
      </c>
      <c r="D92" s="54" t="str">
        <f>Inicial!D89</f>
        <v>Calibrado</v>
      </c>
      <c r="E92" s="52" t="str">
        <f>IF(Inicial!M89="SI",Inicial!E89,"N/A")</f>
        <v>N/A</v>
      </c>
      <c r="F92" s="53" t="str">
        <f>IF(Inicial!M89="SI",Inicial!F89,"N/A")</f>
        <v>N/A</v>
      </c>
      <c r="G92" s="53" t="str">
        <f>IF(Inicial!M89="SI",Inicial!G89,"N/A")</f>
        <v>N/A</v>
      </c>
      <c r="H92" s="53" t="str">
        <f>IF(Inicial!M89="SI",Inicial!H89,"N/A")</f>
        <v>N/A</v>
      </c>
      <c r="I92" s="55" t="str">
        <f>IF(Inicial!M89="SI",Inicial!I89,"N/A")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 t="str" cm="1">
        <f t="array" ref="W92">IF(OR(M92:V92="NO"),"No aceptable","Aceptable")</f>
        <v>Aceptable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3" t="str" cm="1">
        <f t="array" ref="AN92">IF(OR(AA92:AM92="SI"),"Critico","No Critico")</f>
        <v>No Critico</v>
      </c>
    </row>
    <row r="93" spans="1:40">
      <c r="A93" s="52" t="e">
        <f>Inicial!#REF!</f>
        <v>#REF!</v>
      </c>
      <c r="B93" s="53" t="e">
        <f>Inicial!#REF!</f>
        <v>#REF!</v>
      </c>
      <c r="C93" s="53" t="e">
        <f>Inicial!#REF!</f>
        <v>#REF!</v>
      </c>
      <c r="D93" s="54" t="e">
        <f>Inicial!#REF!</f>
        <v>#REF!</v>
      </c>
      <c r="E93" s="52" t="e">
        <f>IF(Inicial!#REF!="SI",Inicial!#REF!,"N/A")</f>
        <v>#REF!</v>
      </c>
      <c r="F93" s="53" t="e">
        <f>IF(Inicial!#REF!="SI",Inicial!#REF!,"N/A")</f>
        <v>#REF!</v>
      </c>
      <c r="G93" s="53" t="e">
        <f>IF(Inicial!#REF!="SI",Inicial!#REF!,"N/A")</f>
        <v>#REF!</v>
      </c>
      <c r="H93" s="53" t="e">
        <f>IF(Inicial!#REF!="SI",Inicial!#REF!,"N/A")</f>
        <v>#REF!</v>
      </c>
      <c r="I93" s="55" t="e">
        <f>IF(Inicial!#REF!="SI",Inicial!#REF!,"N/A")</f>
        <v>#REF!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 t="str" cm="1">
        <f t="array" ref="W93">IF(OR(M93:V93="NO"),"No aceptable","Aceptable")</f>
        <v>Aceptable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3" t="str" cm="1">
        <f t="array" ref="AN93">IF(OR(AA93:AM93="SI"),"Critico","No Critico")</f>
        <v>No Critico</v>
      </c>
    </row>
    <row r="94" spans="1:40" ht="25.5">
      <c r="A94" s="52">
        <f>Inicial!A90</f>
        <v>88</v>
      </c>
      <c r="B94" s="53" t="str">
        <f>Inicial!B90</f>
        <v>Desposte</v>
      </c>
      <c r="C94" s="53" t="str">
        <f>Inicial!C90</f>
        <v>Operador Linea Piernas</v>
      </c>
      <c r="D94" s="54" t="str">
        <f>Inicial!D90</f>
        <v>Extraer Cola-Cazuela</v>
      </c>
      <c r="E94" s="52" t="str">
        <f>IF(Inicial!M90="SI",Inicial!E90,"N/A")</f>
        <v>N/A</v>
      </c>
      <c r="F94" s="53" t="str">
        <f>IF(Inicial!M90="SI",Inicial!F90,"N/A")</f>
        <v>N/A</v>
      </c>
      <c r="G94" s="53" t="str">
        <f>IF(Inicial!M90="SI",Inicial!G90,"N/A")</f>
        <v>N/A</v>
      </c>
      <c r="H94" s="53" t="str">
        <f>IF(Inicial!M90="SI",Inicial!H90,"N/A")</f>
        <v>N/A</v>
      </c>
      <c r="I94" s="55" t="str">
        <f>IF(Inicial!M90="SI",Inicial!I90,"N/A")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 t="str" cm="1">
        <f t="array" ref="W94">IF(OR(M94:V94="NO"),"No aceptable","Aceptable")</f>
        <v>Aceptable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3" t="str" cm="1">
        <f t="array" ref="AN94">IF(OR(AA94:AM94="SI"),"Critico","No Critico")</f>
        <v>No Critico</v>
      </c>
    </row>
    <row r="95" spans="1:40" ht="25.5">
      <c r="A95" s="52">
        <f>Inicial!A91</f>
        <v>89</v>
      </c>
      <c r="B95" s="53" t="str">
        <f>Inicial!B91</f>
        <v>Desposte</v>
      </c>
      <c r="C95" s="53" t="str">
        <f>Inicial!C91</f>
        <v>Operador Linea Piernas</v>
      </c>
      <c r="D95" s="54" t="str">
        <f>Inicial!D91</f>
        <v>Exraer Pernil</v>
      </c>
      <c r="E95" s="52" t="str">
        <f>IF(Inicial!M91="SI",Inicial!E91,"N/A")</f>
        <v>N/A</v>
      </c>
      <c r="F95" s="53" t="str">
        <f>IF(Inicial!M91="SI",Inicial!F91,"N/A")</f>
        <v>N/A</v>
      </c>
      <c r="G95" s="53" t="str">
        <f>IF(Inicial!M91="SI",Inicial!G91,"N/A")</f>
        <v>N/A</v>
      </c>
      <c r="H95" s="53" t="str">
        <f>IF(Inicial!M91="SI",Inicial!H91,"N/A")</f>
        <v>N/A</v>
      </c>
      <c r="I95" s="55" t="str">
        <f>IF(Inicial!M91="SI",Inicial!I91,"N/A")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 t="str" cm="1">
        <f t="array" ref="W95">IF(OR(M95:V95="NO"),"No aceptable","Aceptable")</f>
        <v>Aceptable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3" t="str" cm="1">
        <f t="array" ref="AN95">IF(OR(AA95:AM95="SI"),"Critico","No Critico")</f>
        <v>No Critico</v>
      </c>
    </row>
    <row r="96" spans="1:40" ht="25.5">
      <c r="A96" s="52">
        <f>Inicial!A92</f>
        <v>90</v>
      </c>
      <c r="B96" s="53" t="str">
        <f>Inicial!B92</f>
        <v>Desposte</v>
      </c>
      <c r="C96" s="53" t="str">
        <f>Inicial!C92</f>
        <v>Operador Linea Piernas</v>
      </c>
      <c r="D96" s="54" t="str">
        <f>Inicial!D92</f>
        <v xml:space="preserve">Evacuar Bandejas </v>
      </c>
      <c r="E96" s="52" t="str">
        <f>IF(Inicial!M92="SI",Inicial!E92,"N/A")</f>
        <v>N/A</v>
      </c>
      <c r="F96" s="53" t="str">
        <f>IF(Inicial!M92="SI",Inicial!F92,"N/A")</f>
        <v>N/A</v>
      </c>
      <c r="G96" s="53" t="str">
        <f>IF(Inicial!M92="SI",Inicial!G92,"N/A")</f>
        <v>N/A</v>
      </c>
      <c r="H96" s="53" t="str">
        <f>IF(Inicial!M92="SI",Inicial!H92,"N/A")</f>
        <v>N/A</v>
      </c>
      <c r="I96" s="55" t="str">
        <f>IF(Inicial!M92="SI",Inicial!I92,"N/A")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 t="str" cm="1">
        <f t="array" ref="W96">IF(OR(M96:V96="NO"),"No aceptable","Aceptable")</f>
        <v>Aceptable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3" t="str" cm="1">
        <f t="array" ref="AN96">IF(OR(AA96:AM96="SI"),"Critico","No Critico")</f>
        <v>No Critico</v>
      </c>
    </row>
    <row r="97" spans="1:40">
      <c r="A97" s="52" t="e">
        <f>Inicial!#REF!</f>
        <v>#REF!</v>
      </c>
      <c r="B97" s="53" t="e">
        <f>Inicial!#REF!</f>
        <v>#REF!</v>
      </c>
      <c r="C97" s="53" t="e">
        <f>Inicial!#REF!</f>
        <v>#REF!</v>
      </c>
      <c r="D97" s="54" t="e">
        <f>Inicial!#REF!</f>
        <v>#REF!</v>
      </c>
      <c r="E97" s="52" t="e">
        <f>IF(Inicial!#REF!="SI",Inicial!#REF!,"N/A")</f>
        <v>#REF!</v>
      </c>
      <c r="F97" s="53" t="e">
        <f>IF(Inicial!#REF!="SI",Inicial!#REF!,"N/A")</f>
        <v>#REF!</v>
      </c>
      <c r="G97" s="53" t="e">
        <f>IF(Inicial!#REF!="SI",Inicial!#REF!,"N/A")</f>
        <v>#REF!</v>
      </c>
      <c r="H97" s="53" t="e">
        <f>IF(Inicial!#REF!="SI",Inicial!#REF!,"N/A")</f>
        <v>#REF!</v>
      </c>
      <c r="I97" s="55" t="e">
        <f>IF(Inicial!#REF!="SI",Inicial!#REF!,"N/A")</f>
        <v>#REF!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 t="str" cm="1">
        <f t="array" ref="W97">IF(OR(M97:V97="NO"),"No aceptable","Aceptable")</f>
        <v>Aceptable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3" t="str" cm="1">
        <f t="array" ref="AN97">IF(OR(AA97:AM97="SI"),"Critico","No Critico")</f>
        <v>No Critico</v>
      </c>
    </row>
    <row r="98" spans="1:40">
      <c r="A98" s="52" t="e">
        <f>Inicial!#REF!</f>
        <v>#REF!</v>
      </c>
      <c r="B98" s="53" t="e">
        <f>Inicial!#REF!</f>
        <v>#REF!</v>
      </c>
      <c r="C98" s="53" t="e">
        <f>Inicial!#REF!</f>
        <v>#REF!</v>
      </c>
      <c r="D98" s="54" t="e">
        <f>Inicial!#REF!</f>
        <v>#REF!</v>
      </c>
      <c r="E98" s="52" t="e">
        <f>IF(Inicial!#REF!="SI",Inicial!#REF!,"N/A")</f>
        <v>#REF!</v>
      </c>
      <c r="F98" s="53" t="e">
        <f>IF(Inicial!#REF!="SI",Inicial!#REF!,"N/A")</f>
        <v>#REF!</v>
      </c>
      <c r="G98" s="53" t="e">
        <f>IF(Inicial!#REF!="SI",Inicial!#REF!,"N/A")</f>
        <v>#REF!</v>
      </c>
      <c r="H98" s="53" t="e">
        <f>IF(Inicial!#REF!="SI",Inicial!#REF!,"N/A")</f>
        <v>#REF!</v>
      </c>
      <c r="I98" s="55" t="e">
        <f>IF(Inicial!#REF!="SI",Inicial!#REF!,"N/A")</f>
        <v>#REF!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 t="str" cm="1">
        <f t="array" ref="W98">IF(OR(M98:V98="NO"),"No aceptable","Aceptable")</f>
        <v>Aceptable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3" t="str" cm="1">
        <f t="array" ref="AN98">IF(OR(AA98:AM98="SI"),"Critico","No Critico")</f>
        <v>No Critico</v>
      </c>
    </row>
    <row r="99" spans="1:40" ht="25.5">
      <c r="A99" s="52">
        <f>Inicial!A93</f>
        <v>91</v>
      </c>
      <c r="B99" s="53" t="str">
        <f>Inicial!B93</f>
        <v>Desposte</v>
      </c>
      <c r="C99" s="53" t="str">
        <f>Inicial!C93</f>
        <v>Operador Linea Piernas</v>
      </c>
      <c r="D99" s="54" t="str">
        <f>Inicial!D93</f>
        <v>Peladora Maja</v>
      </c>
      <c r="E99" s="52" t="str">
        <f>IF(Inicial!M93="SI",Inicial!E93,"N/A")</f>
        <v>N/A</v>
      </c>
      <c r="F99" s="53" t="str">
        <f>IF(Inicial!M93="SI",Inicial!F93,"N/A")</f>
        <v>N/A</v>
      </c>
      <c r="G99" s="53" t="str">
        <f>IF(Inicial!M93="SI",Inicial!G93,"N/A")</f>
        <v>N/A</v>
      </c>
      <c r="H99" s="53" t="str">
        <f>IF(Inicial!M93="SI",Inicial!H93,"N/A")</f>
        <v>N/A</v>
      </c>
      <c r="I99" s="55" t="str">
        <f>IF(Inicial!M93="SI",Inicial!I93,"N/A")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 t="str" cm="1">
        <f t="array" ref="W99">IF(OR(M99:V99="NO"),"No aceptable","Aceptable")</f>
        <v>Aceptable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3" t="str" cm="1">
        <f t="array" ref="AN99">IF(OR(AA99:AM99="SI"),"Critico","No Critico")</f>
        <v>No Critico</v>
      </c>
    </row>
    <row r="100" spans="1:40" ht="25.5">
      <c r="A100" s="52">
        <f>Inicial!A94</f>
        <v>92</v>
      </c>
      <c r="B100" s="53" t="str">
        <f>Inicial!B94</f>
        <v>Desposte</v>
      </c>
      <c r="C100" s="53" t="str">
        <f>Inicial!C94</f>
        <v>Operador Linea Piernas</v>
      </c>
      <c r="D100" s="54" t="str">
        <f>Inicial!D94</f>
        <v>Whizard</v>
      </c>
      <c r="E100" s="52" t="str">
        <f>IF(Inicial!M94="SI",Inicial!E94,"N/A")</f>
        <v>N/A</v>
      </c>
      <c r="F100" s="53" t="str">
        <f>IF(Inicial!M94="SI",Inicial!F94,"N/A")</f>
        <v>N/A</v>
      </c>
      <c r="G100" s="53" t="str">
        <f>IF(Inicial!M94="SI",Inicial!G94,"N/A")</f>
        <v>N/A</v>
      </c>
      <c r="H100" s="53" t="str">
        <f>IF(Inicial!M94="SI",Inicial!H94,"N/A")</f>
        <v>N/A</v>
      </c>
      <c r="I100" s="55" t="str">
        <f>IF(Inicial!M94="SI",Inicial!I94,"N/A")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 t="str" cm="1">
        <f t="array" ref="W100">IF(OR(M100:V100="NO"),"No aceptable","Aceptable")</f>
        <v>Aceptable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3" t="str" cm="1">
        <f t="array" ref="AN100">IF(OR(AA100:AM100="SI"),"Critico","No Critico")</f>
        <v>No Critico</v>
      </c>
    </row>
    <row r="101" spans="1:40" ht="25.5">
      <c r="A101" s="52">
        <f>Inicial!A95</f>
        <v>93</v>
      </c>
      <c r="B101" s="53" t="str">
        <f>Inicial!B95</f>
        <v>Desposte</v>
      </c>
      <c r="C101" s="53" t="str">
        <f>Inicial!C95</f>
        <v>Operador Linea Piernas</v>
      </c>
      <c r="D101" s="54" t="str">
        <f>Inicial!D95</f>
        <v>Deshuesado Coxal</v>
      </c>
      <c r="E101" s="52" t="str">
        <f>IF(Inicial!M95="SI",Inicial!E95,"N/A")</f>
        <v>N/A</v>
      </c>
      <c r="F101" s="53" t="str">
        <f>IF(Inicial!M95="SI",Inicial!F95,"N/A")</f>
        <v>N/A</v>
      </c>
      <c r="G101" s="53" t="str">
        <f>IF(Inicial!M95="SI",Inicial!G95,"N/A")</f>
        <v>N/A</v>
      </c>
      <c r="H101" s="53" t="str">
        <f>IF(Inicial!M95="SI",Inicial!H95,"N/A")</f>
        <v>N/A</v>
      </c>
      <c r="I101" s="55" t="str">
        <f>IF(Inicial!M95="SI",Inicial!I95,"N/A")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 t="str" cm="1">
        <f t="array" ref="W101">IF(OR(M101:V101="NO"),"No aceptable","Aceptable")</f>
        <v>Aceptable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3" t="str" cm="1">
        <f t="array" ref="AN101">IF(OR(AA101:AM101="SI"),"Critico","No Critico")</f>
        <v>No Critico</v>
      </c>
    </row>
    <row r="102" spans="1:40" ht="25.5">
      <c r="A102" s="52">
        <f>Inicial!A96</f>
        <v>94</v>
      </c>
      <c r="B102" s="53" t="str">
        <f>Inicial!B96</f>
        <v>Desposte</v>
      </c>
      <c r="C102" s="53" t="str">
        <f>Inicial!C96</f>
        <v>Operador Linea Piernas</v>
      </c>
      <c r="D102" s="54" t="str">
        <f>Inicial!D96</f>
        <v xml:space="preserve">Deshuesadores Femur </v>
      </c>
      <c r="E102" s="52" t="str">
        <f>IF(Inicial!M96="SI",Inicial!E96,"N/A")</f>
        <v>N/A</v>
      </c>
      <c r="F102" s="53" t="str">
        <f>IF(Inicial!M96="SI",Inicial!F96,"N/A")</f>
        <v>N/A</v>
      </c>
      <c r="G102" s="53" t="str">
        <f>IF(Inicial!M96="SI",Inicial!G96,"N/A")</f>
        <v>N/A</v>
      </c>
      <c r="H102" s="53" t="str">
        <f>IF(Inicial!M96="SI",Inicial!H96,"N/A")</f>
        <v>N/A</v>
      </c>
      <c r="I102" s="55" t="str">
        <f>IF(Inicial!M96="SI",Inicial!I96,"N/A")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 t="str" cm="1">
        <f t="array" ref="W102">IF(OR(M102:V102="NO"),"No aceptable","Aceptable")</f>
        <v>Aceptable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3" t="str" cm="1">
        <f t="array" ref="AN102">IF(OR(AA102:AM102="SI"),"Critico","No Critico")</f>
        <v>No Critico</v>
      </c>
    </row>
    <row r="103" spans="1:40" ht="25.5">
      <c r="A103" s="52">
        <f>Inicial!A97</f>
        <v>95</v>
      </c>
      <c r="B103" s="53" t="str">
        <f>Inicial!B97</f>
        <v>Desposte</v>
      </c>
      <c r="C103" s="53" t="str">
        <f>Inicial!C97</f>
        <v>Operador Linea Piernas</v>
      </c>
      <c r="D103" s="54" t="str">
        <f>Inicial!D97</f>
        <v>Prolijadores</v>
      </c>
      <c r="E103" s="52" t="str">
        <f>IF(Inicial!M97="SI",Inicial!E97,"N/A")</f>
        <v>N/A</v>
      </c>
      <c r="F103" s="53" t="str">
        <f>IF(Inicial!M97="SI",Inicial!F97,"N/A")</f>
        <v>N/A</v>
      </c>
      <c r="G103" s="53" t="str">
        <f>IF(Inicial!M97="SI",Inicial!G97,"N/A")</f>
        <v>N/A</v>
      </c>
      <c r="H103" s="53" t="str">
        <f>IF(Inicial!M97="SI",Inicial!H97,"N/A")</f>
        <v>N/A</v>
      </c>
      <c r="I103" s="55" t="str">
        <f>IF(Inicial!M97="SI",Inicial!I97,"N/A")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 t="str" cm="1">
        <f t="array" ref="W103">IF(OR(M103:V103="NO"),"No aceptable","Aceptable")</f>
        <v>Aceptable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3" t="str" cm="1">
        <f t="array" ref="AN103">IF(OR(AA103:AM103="SI"),"Critico","No Critico")</f>
        <v>No Critico</v>
      </c>
    </row>
    <row r="104" spans="1:40" ht="25.5">
      <c r="A104" s="52">
        <f>Inicial!A98</f>
        <v>96</v>
      </c>
      <c r="B104" s="53" t="str">
        <f>Inicial!B98</f>
        <v>Desposte</v>
      </c>
      <c r="C104" s="53" t="str">
        <f>Inicial!C98</f>
        <v>Operador Linea Piernas</v>
      </c>
      <c r="D104" s="54" t="str">
        <f>Inicial!D98</f>
        <v xml:space="preserve">Calibrado </v>
      </c>
      <c r="E104" s="52" t="str">
        <f>IF(Inicial!M98="SI",Inicial!E98,"N/A")</f>
        <v>N/A</v>
      </c>
      <c r="F104" s="53" t="str">
        <f>IF(Inicial!M98="SI",Inicial!F98,"N/A")</f>
        <v>N/A</v>
      </c>
      <c r="G104" s="53" t="str">
        <f>IF(Inicial!M98="SI",Inicial!G98,"N/A")</f>
        <v>N/A</v>
      </c>
      <c r="H104" s="53" t="str">
        <f>IF(Inicial!M98="SI",Inicial!H98,"N/A")</f>
        <v>N/A</v>
      </c>
      <c r="I104" s="55" t="str">
        <f>IF(Inicial!M98="SI",Inicial!I98,"N/A")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 t="str" cm="1">
        <f t="array" ref="W104">IF(OR(M104:V104="NO"),"No aceptable","Aceptable")</f>
        <v>Aceptable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3" t="str" cm="1">
        <f t="array" ref="AN104">IF(OR(AA104:AM104="SI"),"Critico","No Critico")</f>
        <v>No Critico</v>
      </c>
    </row>
    <row r="105" spans="1:40" ht="25.5">
      <c r="A105" s="52">
        <f>Inicial!A99</f>
        <v>97</v>
      </c>
      <c r="B105" s="53" t="str">
        <f>Inicial!B99</f>
        <v>Desposte</v>
      </c>
      <c r="C105" s="53" t="str">
        <f>Inicial!C99</f>
        <v>Operador Linea Piernas</v>
      </c>
      <c r="D105" s="54" t="str">
        <f>Inicial!D99</f>
        <v>Peladora Maja</v>
      </c>
      <c r="E105" s="52" t="str">
        <f>IF(Inicial!M99="SI",Inicial!E99,"N/A")</f>
        <v>N/A</v>
      </c>
      <c r="F105" s="53" t="str">
        <f>IF(Inicial!M99="SI",Inicial!F99,"N/A")</f>
        <v>N/A</v>
      </c>
      <c r="G105" s="53" t="str">
        <f>IF(Inicial!M99="SI",Inicial!G99,"N/A")</f>
        <v>N/A</v>
      </c>
      <c r="H105" s="53" t="str">
        <f>IF(Inicial!M99="SI",Inicial!H99,"N/A")</f>
        <v>N/A</v>
      </c>
      <c r="I105" s="55" t="str">
        <f>IF(Inicial!M99="SI",Inicial!I99,"N/A")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 t="str" cm="1">
        <f t="array" ref="W105">IF(OR(M105:V105="NO"),"No aceptable","Aceptable")</f>
        <v>Aceptable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3" t="str" cm="1">
        <f t="array" ref="AN105">IF(OR(AA105:AM105="SI"),"Critico","No Critico")</f>
        <v>No Critico</v>
      </c>
    </row>
    <row r="106" spans="1:40" ht="25.5">
      <c r="A106" s="52">
        <f>Inicial!A100</f>
        <v>98</v>
      </c>
      <c r="B106" s="53" t="str">
        <f>Inicial!B100</f>
        <v>Desposte</v>
      </c>
      <c r="C106" s="53" t="str">
        <f>Inicial!C100</f>
        <v>Operador Linea Piernas</v>
      </c>
      <c r="D106" s="54" t="str">
        <f>Inicial!D100</f>
        <v>Abastecer Varivac</v>
      </c>
      <c r="E106" s="52" t="str">
        <f>IF(Inicial!M100="SI",Inicial!E100,"N/A")</f>
        <v>N/A</v>
      </c>
      <c r="F106" s="53" t="str">
        <f>IF(Inicial!M100="SI",Inicial!F100,"N/A")</f>
        <v>N/A</v>
      </c>
      <c r="G106" s="53" t="str">
        <f>IF(Inicial!M100="SI",Inicial!G100,"N/A")</f>
        <v>N/A</v>
      </c>
      <c r="H106" s="53" t="str">
        <f>IF(Inicial!M100="SI",Inicial!H100,"N/A")</f>
        <v>N/A</v>
      </c>
      <c r="I106" s="55" t="str">
        <f>IF(Inicial!M100="SI",Inicial!I100,"N/A")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 t="str" cm="1">
        <f t="array" ref="W106">IF(OR(M106:V106="NO"),"No aceptable","Aceptable")</f>
        <v>Aceptable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3" t="str" cm="1">
        <f t="array" ref="AN106">IF(OR(AA106:AM106="SI"),"Critico","No Critico")</f>
        <v>No Critico</v>
      </c>
    </row>
    <row r="107" spans="1:40" ht="25.5">
      <c r="A107" s="52">
        <f>Inicial!A101</f>
        <v>99</v>
      </c>
      <c r="B107" s="53" t="str">
        <f>Inicial!B101</f>
        <v>Desposte</v>
      </c>
      <c r="C107" s="53" t="str">
        <f>Inicial!C101</f>
        <v>Operador Linea Piernas</v>
      </c>
      <c r="D107" s="54" t="str">
        <f>Inicial!D101</f>
        <v>Recibir producto</v>
      </c>
      <c r="E107" s="52" t="str">
        <f>IF(Inicial!M101="SI",Inicial!E101,"N/A")</f>
        <v>N/A</v>
      </c>
      <c r="F107" s="53" t="str">
        <f>IF(Inicial!M101="SI",Inicial!F101,"N/A")</f>
        <v>N/A</v>
      </c>
      <c r="G107" s="53" t="str">
        <f>IF(Inicial!M101="SI",Inicial!G101,"N/A")</f>
        <v>N/A</v>
      </c>
      <c r="H107" s="53" t="str">
        <f>IF(Inicial!M101="SI",Inicial!H101,"N/A")</f>
        <v>N/A</v>
      </c>
      <c r="I107" s="55" t="str">
        <f>IF(Inicial!M101="SI",Inicial!I101,"N/A")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 t="str" cm="1">
        <f t="array" ref="W107">IF(OR(M107:V107="NO"),"No aceptable","Aceptable")</f>
        <v>Aceptable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3" t="str" cm="1">
        <f t="array" ref="AN107">IF(OR(AA107:AM107="SI"),"Critico","No Critico")</f>
        <v>No Critico</v>
      </c>
    </row>
    <row r="108" spans="1:40" ht="25.5">
      <c r="A108" s="52">
        <f>Inicial!A102</f>
        <v>100</v>
      </c>
      <c r="B108" s="53" t="str">
        <f>Inicial!B102</f>
        <v>Desposte</v>
      </c>
      <c r="C108" s="53" t="str">
        <f>Inicial!C102</f>
        <v>Operador Linea Piernas</v>
      </c>
      <c r="D108" s="54" t="str">
        <f>Inicial!D102</f>
        <v>Pegar etiqueta</v>
      </c>
      <c r="E108" s="52" t="str">
        <f>IF(Inicial!M102="SI",Inicial!E102,"N/A")</f>
        <v>N/A</v>
      </c>
      <c r="F108" s="53" t="str">
        <f>IF(Inicial!M102="SI",Inicial!F102,"N/A")</f>
        <v>N/A</v>
      </c>
      <c r="G108" s="53" t="str">
        <f>IF(Inicial!M102="SI",Inicial!G102,"N/A")</f>
        <v>N/A</v>
      </c>
      <c r="H108" s="53" t="str">
        <f>IF(Inicial!M102="SI",Inicial!H102,"N/A")</f>
        <v>N/A</v>
      </c>
      <c r="I108" s="55" t="str">
        <f>IF(Inicial!M102="SI",Inicial!I102,"N/A")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 t="str" cm="1">
        <f t="array" ref="W108">IF(OR(M108:V108="NO"),"No aceptable","Aceptable")</f>
        <v>Aceptable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3" t="str" cm="1">
        <f t="array" ref="AN108">IF(OR(AA108:AM108="SI"),"Critico","No Critico")</f>
        <v>No Critico</v>
      </c>
    </row>
    <row r="109" spans="1:40" ht="25.5">
      <c r="A109" s="52">
        <f>Inicial!A103</f>
        <v>101</v>
      </c>
      <c r="B109" s="53" t="str">
        <f>Inicial!B103</f>
        <v>Desposte</v>
      </c>
      <c r="C109" s="53" t="str">
        <f>Inicial!C103</f>
        <v>Operador Linea Piernas</v>
      </c>
      <c r="D109" s="54" t="str">
        <f>Inicial!D103</f>
        <v>evacuar bandeja</v>
      </c>
      <c r="E109" s="52" t="str">
        <f>IF(Inicial!M103="SI",Inicial!E103,"N/A")</f>
        <v>N/A</v>
      </c>
      <c r="F109" s="53" t="str">
        <f>IF(Inicial!M103="SI",Inicial!F103,"N/A")</f>
        <v>N/A</v>
      </c>
      <c r="G109" s="53" t="str">
        <f>IF(Inicial!M103="SI",Inicial!G103,"N/A")</f>
        <v>N/A</v>
      </c>
      <c r="H109" s="53" t="str">
        <f>IF(Inicial!M103="SI",Inicial!H103,"N/A")</f>
        <v>N/A</v>
      </c>
      <c r="I109" s="55" t="str">
        <f>IF(Inicial!M103="SI",Inicial!I103,"N/A")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 t="str" cm="1">
        <f t="array" ref="W109">IF(OR(M109:V109="NO"),"No aceptable","Aceptable")</f>
        <v>Aceptable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3" t="str" cm="1">
        <f t="array" ref="AN109">IF(OR(AA109:AM109="SI"),"Critico","No Critico")</f>
        <v>No Critico</v>
      </c>
    </row>
    <row r="110" spans="1:40" ht="38.25">
      <c r="A110" s="52">
        <f>Inicial!A104</f>
        <v>102</v>
      </c>
      <c r="B110" s="53" t="str">
        <f>Inicial!B104</f>
        <v>Desposte</v>
      </c>
      <c r="C110" s="53" t="str">
        <f>Inicial!C104</f>
        <v xml:space="preserve">Operador Línea Empaque </v>
      </c>
      <c r="D110" s="54" t="str">
        <f>Inicial!D104</f>
        <v>Palletizado</v>
      </c>
      <c r="E110" s="52" t="str">
        <f>IF(Inicial!M104="SI",Inicial!E104,"N/A")</f>
        <v>N/A</v>
      </c>
      <c r="F110" s="53" t="str">
        <f>IF(Inicial!M104="SI",Inicial!F104,"N/A")</f>
        <v>N/A</v>
      </c>
      <c r="G110" s="53" t="str">
        <f>IF(Inicial!M104="SI",Inicial!G104,"N/A")</f>
        <v>N/A</v>
      </c>
      <c r="H110" s="53" t="str">
        <f>IF(Inicial!M104="SI",Inicial!H104,"N/A")</f>
        <v>N/A</v>
      </c>
      <c r="I110" s="55" t="str">
        <f>IF(Inicial!M104="SI",Inicial!I104,"N/A")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 t="str" cm="1">
        <f t="array" ref="W110">IF(OR(M110:V110="NO"),"No aceptable","Aceptable")</f>
        <v>Aceptable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3" t="str" cm="1">
        <f t="array" ref="AN110">IF(OR(AA110:AM110="SI"),"Critico","No Critico")</f>
        <v>No Critico</v>
      </c>
    </row>
    <row r="111" spans="1:40" ht="38.25">
      <c r="A111" s="52">
        <f>Inicial!A105</f>
        <v>103</v>
      </c>
      <c r="B111" s="53" t="str">
        <f>Inicial!B105</f>
        <v>Desposte</v>
      </c>
      <c r="C111" s="53" t="str">
        <f>Inicial!C105</f>
        <v xml:space="preserve">Operador Línea Empaque </v>
      </c>
      <c r="D111" s="54" t="str">
        <f>Inicial!D105</f>
        <v xml:space="preserve">Calibrado </v>
      </c>
      <c r="E111" s="52" t="str">
        <f>IF(Inicial!M105="SI",Inicial!E105,"N/A")</f>
        <v>N/A</v>
      </c>
      <c r="F111" s="53" t="str">
        <f>IF(Inicial!M105="SI",Inicial!F105,"N/A")</f>
        <v>N/A</v>
      </c>
      <c r="G111" s="53" t="str">
        <f>IF(Inicial!M105="SI",Inicial!G105,"N/A")</f>
        <v>N/A</v>
      </c>
      <c r="H111" s="53" t="str">
        <f>IF(Inicial!M105="SI",Inicial!H105,"N/A")</f>
        <v>N/A</v>
      </c>
      <c r="I111" s="55" t="str">
        <f>IF(Inicial!M105="SI",Inicial!I105,"N/A")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 t="str" cm="1">
        <f t="array" ref="W111">IF(OR(M111:V111="NO"),"No aceptable","Aceptable")</f>
        <v>Aceptable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3" t="str" cm="1">
        <f t="array" ref="AN111">IF(OR(AA111:AM111="SI"),"Critico","No Critico")</f>
        <v>No Critico</v>
      </c>
    </row>
    <row r="112" spans="1:40" ht="38.25">
      <c r="A112" s="52">
        <f>Inicial!A106</f>
        <v>104</v>
      </c>
      <c r="B112" s="53" t="str">
        <f>Inicial!B106</f>
        <v>Desposte</v>
      </c>
      <c r="C112" s="53" t="str">
        <f>Inicial!C106</f>
        <v xml:space="preserve">Operador Línea Empaque </v>
      </c>
      <c r="D112" s="54" t="str">
        <f>Inicial!D106</f>
        <v xml:space="preserve"> Volteador 500</v>
      </c>
      <c r="E112" s="52" t="str">
        <f>IF(Inicial!M106="SI",Inicial!E106,"N/A")</f>
        <v>N/A</v>
      </c>
      <c r="F112" s="53" t="str">
        <f>IF(Inicial!M106="SI",Inicial!F106,"N/A")</f>
        <v>N/A</v>
      </c>
      <c r="G112" s="53" t="str">
        <f>IF(Inicial!M106="SI",Inicial!G106,"N/A")</f>
        <v>N/A</v>
      </c>
      <c r="H112" s="53" t="str">
        <f>IF(Inicial!M106="SI",Inicial!H106,"N/A")</f>
        <v>N/A</v>
      </c>
      <c r="I112" s="55" t="str">
        <f>IF(Inicial!M106="SI",Inicial!I106,"N/A")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 t="str" cm="1">
        <f t="array" ref="W112">IF(OR(M112:V112="NO"),"No aceptable","Aceptable")</f>
        <v>Aceptable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3" t="str" cm="1">
        <f t="array" ref="AN112">IF(OR(AA112:AM112="SI"),"Critico","No Critico")</f>
        <v>No Critico</v>
      </c>
    </row>
    <row r="113" spans="1:40" ht="38.25">
      <c r="A113" s="52">
        <f>Inicial!A107</f>
        <v>105</v>
      </c>
      <c r="B113" s="53" t="str">
        <f>Inicial!B107</f>
        <v>Desposte</v>
      </c>
      <c r="C113" s="53" t="str">
        <f>Inicial!C107</f>
        <v xml:space="preserve">Operador Línea Empaque </v>
      </c>
      <c r="D113" s="54" t="str">
        <f>Inicial!D107</f>
        <v>Direccionado</v>
      </c>
      <c r="E113" s="52" t="str">
        <f>IF(Inicial!M107="SI",Inicial!E107,"N/A")</f>
        <v>N/A</v>
      </c>
      <c r="F113" s="53" t="str">
        <f>IF(Inicial!M107="SI",Inicial!F107,"N/A")</f>
        <v>N/A</v>
      </c>
      <c r="G113" s="53" t="str">
        <f>IF(Inicial!M107="SI",Inicial!G107,"N/A")</f>
        <v>N/A</v>
      </c>
      <c r="H113" s="53" t="str">
        <f>IF(Inicial!M107="SI",Inicial!H107,"N/A")</f>
        <v>N/A</v>
      </c>
      <c r="I113" s="55" t="str">
        <f>IF(Inicial!M107="SI",Inicial!I107,"N/A")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 t="str" cm="1">
        <f t="array" ref="W113">IF(OR(M113:V113="NO"),"No aceptable","Aceptable")</f>
        <v>Aceptable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3" t="str" cm="1">
        <f t="array" ref="AN113">IF(OR(AA113:AM113="SI"),"Critico","No Critico")</f>
        <v>No Critico</v>
      </c>
    </row>
    <row r="114" spans="1:40" ht="38.25">
      <c r="A114" s="52">
        <f>Inicial!A108</f>
        <v>106</v>
      </c>
      <c r="B114" s="53" t="str">
        <f>Inicial!B108</f>
        <v>Desposte</v>
      </c>
      <c r="C114" s="53" t="str">
        <f>Inicial!C108</f>
        <v xml:space="preserve">Operador Línea Empaque </v>
      </c>
      <c r="D114" s="54" t="str">
        <f>Inicial!D108</f>
        <v>Embalado</v>
      </c>
      <c r="E114" s="52" t="str">
        <f>IF(Inicial!M108="SI",Inicial!E108,"N/A")</f>
        <v>N/A</v>
      </c>
      <c r="F114" s="53" t="str">
        <f>IF(Inicial!M108="SI",Inicial!F108,"N/A")</f>
        <v>N/A</v>
      </c>
      <c r="G114" s="53" t="str">
        <f>IF(Inicial!M108="SI",Inicial!G108,"N/A")</f>
        <v>N/A</v>
      </c>
      <c r="H114" s="53" t="str">
        <f>IF(Inicial!M108="SI",Inicial!H108,"N/A")</f>
        <v>N/A</v>
      </c>
      <c r="I114" s="55" t="str">
        <f>IF(Inicial!M108="SI",Inicial!I108,"N/A")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 t="str" cm="1">
        <f t="array" ref="W114">IF(OR(M114:V114="NO"),"No aceptable","Aceptable")</f>
        <v>Aceptable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3" t="str" cm="1">
        <f t="array" ref="AN114">IF(OR(AA114:AM114="SI"),"Critico","No Critico")</f>
        <v>No Critico</v>
      </c>
    </row>
    <row r="115" spans="1:40" ht="38.25">
      <c r="A115" s="52">
        <f>Inicial!A109</f>
        <v>107</v>
      </c>
      <c r="B115" s="53" t="str">
        <f>Inicial!B109</f>
        <v>Desposte</v>
      </c>
      <c r="C115" s="53" t="str">
        <f>Inicial!C109</f>
        <v xml:space="preserve">Operador Línea Empaque </v>
      </c>
      <c r="D115" s="54" t="str">
        <f>Inicial!D109</f>
        <v>PC</v>
      </c>
      <c r="E115" s="52" t="str">
        <f>IF(Inicial!M109="SI",Inicial!E109,"N/A")</f>
        <v>N/A</v>
      </c>
      <c r="F115" s="53" t="str">
        <f>IF(Inicial!M109="SI",Inicial!F109,"N/A")</f>
        <v>N/A</v>
      </c>
      <c r="G115" s="53" t="str">
        <f>IF(Inicial!M109="SI",Inicial!G109,"N/A")</f>
        <v>N/A</v>
      </c>
      <c r="H115" s="53" t="str">
        <f>IF(Inicial!M109="SI",Inicial!H109,"N/A")</f>
        <v>N/A</v>
      </c>
      <c r="I115" s="55" t="str">
        <f>IF(Inicial!M109="SI",Inicial!I109,"N/A")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 t="str" cm="1">
        <f t="array" ref="W115">IF(OR(M115:V115="NO"),"No aceptable","Aceptable")</f>
        <v>Aceptable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3" t="str" cm="1">
        <f t="array" ref="AN115">IF(OR(AA115:AM115="SI"),"Critico","No Critico")</f>
        <v>No Critico</v>
      </c>
    </row>
    <row r="116" spans="1:40" ht="38.25">
      <c r="A116" s="52">
        <f>Inicial!A110</f>
        <v>108</v>
      </c>
      <c r="B116" s="53" t="str">
        <f>Inicial!B110</f>
        <v>Desposte</v>
      </c>
      <c r="C116" s="53" t="str">
        <f>Inicial!C110</f>
        <v xml:space="preserve">Operador Línea Empaque </v>
      </c>
      <c r="D116" s="54" t="str">
        <f>Inicial!D110</f>
        <v>Volteado 100</v>
      </c>
      <c r="E116" s="52" t="str">
        <f>IF(Inicial!M110="SI",Inicial!E110,"N/A")</f>
        <v>N/A</v>
      </c>
      <c r="F116" s="53" t="str">
        <f>IF(Inicial!M110="SI",Inicial!F110,"N/A")</f>
        <v>N/A</v>
      </c>
      <c r="G116" s="53" t="str">
        <f>IF(Inicial!M110="SI",Inicial!G110,"N/A")</f>
        <v>N/A</v>
      </c>
      <c r="H116" s="53" t="str">
        <f>IF(Inicial!M110="SI",Inicial!H110,"N/A")</f>
        <v>N/A</v>
      </c>
      <c r="I116" s="55" t="str">
        <f>IF(Inicial!M110="SI",Inicial!I110,"N/A")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 t="str" cm="1">
        <f t="array" ref="W116">IF(OR(M116:V116="NO"),"No aceptable","Aceptable")</f>
        <v>Aceptable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3" t="str" cm="1">
        <f t="array" ref="AN116">IF(OR(AA116:AM116="SI"),"Critico","No Critico")</f>
        <v>No Critico</v>
      </c>
    </row>
    <row r="117" spans="1:40" ht="38.25">
      <c r="A117" s="52">
        <f>Inicial!A111</f>
        <v>109</v>
      </c>
      <c r="B117" s="53" t="str">
        <f>Inicial!B111</f>
        <v>Desposte</v>
      </c>
      <c r="C117" s="53" t="str">
        <f>Inicial!C111</f>
        <v>Operador Línea Filete y Cabeza</v>
      </c>
      <c r="D117" s="54" t="str">
        <f>Inicial!D111</f>
        <v>Cortar Cabeza</v>
      </c>
      <c r="E117" s="52" t="str">
        <f>IF(Inicial!M111="SI",Inicial!E111,"N/A")</f>
        <v>N/A</v>
      </c>
      <c r="F117" s="53" t="str">
        <f>IF(Inicial!M111="SI",Inicial!F111,"N/A")</f>
        <v>N/A</v>
      </c>
      <c r="G117" s="53" t="str">
        <f>IF(Inicial!M111="SI",Inicial!G111,"N/A")</f>
        <v>N/A</v>
      </c>
      <c r="H117" s="53" t="str">
        <f>IF(Inicial!M111="SI",Inicial!H111,"N/A")</f>
        <v>N/A</v>
      </c>
      <c r="I117" s="55" t="str">
        <f>IF(Inicial!M111="SI",Inicial!I111,"N/A")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 t="str" cm="1">
        <f t="array" ref="W117">IF(OR(M117:V117="NO"),"No aceptable","Aceptable")</f>
        <v>Aceptable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3" t="str" cm="1">
        <f t="array" ref="AN117">IF(OR(AA117:AM117="SI"),"Critico","No Critico")</f>
        <v>No Critico</v>
      </c>
    </row>
    <row r="118" spans="1:40" ht="38.25">
      <c r="A118" s="52">
        <f>Inicial!A112</f>
        <v>110</v>
      </c>
      <c r="B118" s="53" t="str">
        <f>Inicial!B112</f>
        <v>Desposte</v>
      </c>
      <c r="C118" s="53" t="str">
        <f>Inicial!C112</f>
        <v>Operador Línea Filete y Cabeza</v>
      </c>
      <c r="D118" s="54" t="str">
        <f>Inicial!D112</f>
        <v>Filetero</v>
      </c>
      <c r="E118" s="52" t="str">
        <f>IF(Inicial!M112="SI",Inicial!E112,"N/A")</f>
        <v>N/A</v>
      </c>
      <c r="F118" s="53" t="str">
        <f>IF(Inicial!M112="SI",Inicial!F112,"N/A")</f>
        <v>N/A</v>
      </c>
      <c r="G118" s="53" t="str">
        <f>IF(Inicial!M112="SI",Inicial!G112,"N/A")</f>
        <v>N/A</v>
      </c>
      <c r="H118" s="53" t="str">
        <f>IF(Inicial!M112="SI",Inicial!H112,"N/A")</f>
        <v>N/A</v>
      </c>
      <c r="I118" s="55" t="str">
        <f>IF(Inicial!M112="SI",Inicial!I112,"N/A")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 t="str" cm="1">
        <f t="array" ref="W118">IF(OR(M118:V118="NO"),"No aceptable","Aceptable")</f>
        <v>Aceptable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3" t="str" cm="1">
        <f t="array" ref="AN118">IF(OR(AA118:AM118="SI"),"Critico","No Critico")</f>
        <v>No Critico</v>
      </c>
    </row>
    <row r="119" spans="1:40" ht="38.25">
      <c r="A119" s="52">
        <f>Inicial!A113</f>
        <v>111</v>
      </c>
      <c r="B119" s="53" t="str">
        <f>Inicial!B113</f>
        <v>Desposte</v>
      </c>
      <c r="C119" s="53" t="str">
        <f>Inicial!C113</f>
        <v>Operador Línea Filete y Cabeza</v>
      </c>
      <c r="D119" s="54" t="str">
        <f>Inicial!D113</f>
        <v>Exracción de cuero Axilar</v>
      </c>
      <c r="E119" s="52" t="str">
        <f>IF(Inicial!M113="SI",Inicial!E113,"N/A")</f>
        <v>N/A</v>
      </c>
      <c r="F119" s="53" t="str">
        <f>IF(Inicial!M113="SI",Inicial!F113,"N/A")</f>
        <v>N/A</v>
      </c>
      <c r="G119" s="53" t="str">
        <f>IF(Inicial!M113="SI",Inicial!G113,"N/A")</f>
        <v>N/A</v>
      </c>
      <c r="H119" s="53" t="str">
        <f>IF(Inicial!M113="SI",Inicial!H113,"N/A")</f>
        <v>N/A</v>
      </c>
      <c r="I119" s="55" t="str">
        <f>IF(Inicial!M113="SI",Inicial!I113,"N/A")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 t="str" cm="1">
        <f t="array" ref="W119">IF(OR(M119:V119="NO"),"No aceptable","Aceptable")</f>
        <v>Aceptable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3" t="str" cm="1">
        <f t="array" ref="AN119">IF(OR(AA119:AM119="SI"),"Critico","No Critico")</f>
        <v>No Critico</v>
      </c>
    </row>
    <row r="120" spans="1:40" ht="38.25">
      <c r="A120" s="52">
        <f>Inicial!A114</f>
        <v>112</v>
      </c>
      <c r="B120" s="53" t="str">
        <f>Inicial!B114</f>
        <v>Desposte</v>
      </c>
      <c r="C120" s="53" t="str">
        <f>Inicial!C114</f>
        <v>Operador Línea Filete y Cabeza</v>
      </c>
      <c r="D120" s="54" t="str">
        <f>Inicial!D114</f>
        <v>Embalar Perniles</v>
      </c>
      <c r="E120" s="52" t="str">
        <f>IF(Inicial!M114="SI",Inicial!E114,"N/A")</f>
        <v>N/A</v>
      </c>
      <c r="F120" s="53" t="str">
        <f>IF(Inicial!M114="SI",Inicial!F114,"N/A")</f>
        <v>N/A</v>
      </c>
      <c r="G120" s="53" t="str">
        <f>IF(Inicial!M114="SI",Inicial!G114,"N/A")</f>
        <v>N/A</v>
      </c>
      <c r="H120" s="53" t="str">
        <f>IF(Inicial!M114="SI",Inicial!H114,"N/A")</f>
        <v>N/A</v>
      </c>
      <c r="I120" s="55" t="str">
        <f>IF(Inicial!M114="SI",Inicial!I114,"N/A")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 t="str" cm="1">
        <f t="array" ref="W120">IF(OR(M120:V120="NO"),"No aceptable","Aceptable")</f>
        <v>Aceptable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3" t="str" cm="1">
        <f t="array" ref="AN120">IF(OR(AA120:AM120="SI"),"Critico","No Critico")</f>
        <v>No Critico</v>
      </c>
    </row>
    <row r="121" spans="1:40" ht="38.25">
      <c r="A121" s="52">
        <f>Inicial!A115</f>
        <v>113</v>
      </c>
      <c r="B121" s="53" t="str">
        <f>Inicial!B115</f>
        <v>Desposte</v>
      </c>
      <c r="C121" s="53" t="str">
        <f>Inicial!C115</f>
        <v>Operador Línea Filete y Cabeza</v>
      </c>
      <c r="D121" s="54" t="str">
        <f>Inicial!D115</f>
        <v>Embalador Perniles</v>
      </c>
      <c r="E121" s="52" t="str">
        <f>IF(Inicial!M115="SI",Inicial!E115,"N/A")</f>
        <v>N/A</v>
      </c>
      <c r="F121" s="53" t="str">
        <f>IF(Inicial!M115="SI",Inicial!F115,"N/A")</f>
        <v>N/A</v>
      </c>
      <c r="G121" s="53" t="str">
        <f>IF(Inicial!M115="SI",Inicial!G115,"N/A")</f>
        <v>N/A</v>
      </c>
      <c r="H121" s="53" t="str">
        <f>IF(Inicial!M115="SI",Inicial!H115,"N/A")</f>
        <v>N/A</v>
      </c>
      <c r="I121" s="55" t="str">
        <f>IF(Inicial!M115="SI",Inicial!I115,"N/A")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 t="str" cm="1">
        <f t="array" ref="W121">IF(OR(M121:V121="NO"),"No aceptable","Aceptable")</f>
        <v>Aceptable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3" t="str" cm="1">
        <f t="array" ref="AN121">IF(OR(AA121:AM121="SI"),"Critico","No Critico")</f>
        <v>No Critico</v>
      </c>
    </row>
    <row r="122" spans="1:40" ht="38.25">
      <c r="A122" s="52">
        <f>Inicial!A116</f>
        <v>114</v>
      </c>
      <c r="B122" s="53" t="str">
        <f>Inicial!B116</f>
        <v>Desposte</v>
      </c>
      <c r="C122" s="53" t="str">
        <f>Inicial!C116</f>
        <v>Operador Línea Filete y Cabeza</v>
      </c>
      <c r="D122" s="54" t="str">
        <f>Inicial!D116</f>
        <v>Prolijado Entraña</v>
      </c>
      <c r="E122" s="52" t="str">
        <f>IF(Inicial!M116="SI",Inicial!E116,"N/A")</f>
        <v>N/A</v>
      </c>
      <c r="F122" s="53" t="str">
        <f>IF(Inicial!M116="SI",Inicial!F116,"N/A")</f>
        <v>N/A</v>
      </c>
      <c r="G122" s="53" t="str">
        <f>IF(Inicial!M116="SI",Inicial!G116,"N/A")</f>
        <v>N/A</v>
      </c>
      <c r="H122" s="53" t="str">
        <f>IF(Inicial!M116="SI",Inicial!H116,"N/A")</f>
        <v>N/A</v>
      </c>
      <c r="I122" s="55" t="str">
        <f>IF(Inicial!M116="SI",Inicial!I116,"N/A")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 t="str" cm="1">
        <f t="array" ref="W122">IF(OR(M122:V122="NO"),"No aceptable","Aceptable")</f>
        <v>Aceptable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3" t="str" cm="1">
        <f t="array" ref="AN122">IF(OR(AA122:AM122="SI"),"Critico","No Critico")</f>
        <v>No Critico</v>
      </c>
    </row>
    <row r="123" spans="1:40" ht="38.25">
      <c r="A123" s="52">
        <f>Inicial!A117</f>
        <v>115</v>
      </c>
      <c r="B123" s="53" t="str">
        <f>Inicial!B117</f>
        <v>Desposte</v>
      </c>
      <c r="C123" s="53" t="str">
        <f>Inicial!C117</f>
        <v>Operador Línea Filete y Cabeza</v>
      </c>
      <c r="D123" s="54" t="str">
        <f>Inicial!D117</f>
        <v>Embalaje patas y manos</v>
      </c>
      <c r="E123" s="52" t="str">
        <f>IF(Inicial!M117="SI",Inicial!E117,"N/A")</f>
        <v>N/A</v>
      </c>
      <c r="F123" s="53" t="str">
        <f>IF(Inicial!M117="SI",Inicial!F117,"N/A")</f>
        <v>N/A</v>
      </c>
      <c r="G123" s="53" t="str">
        <f>IF(Inicial!M117="SI",Inicial!G117,"N/A")</f>
        <v>N/A</v>
      </c>
      <c r="H123" s="53" t="str">
        <f>IF(Inicial!M117="SI",Inicial!H117,"N/A")</f>
        <v>N/A</v>
      </c>
      <c r="I123" s="55" t="str">
        <f>IF(Inicial!M117="SI",Inicial!I117,"N/A")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 t="str" cm="1">
        <f t="array" ref="W123">IF(OR(M123:V123="NO"),"No aceptable","Aceptable")</f>
        <v>Aceptable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3" t="str" cm="1">
        <f t="array" ref="AN123">IF(OR(AA123:AM123="SI"),"Critico","No Critico")</f>
        <v>No Critico</v>
      </c>
    </row>
    <row r="124" spans="1:40">
      <c r="A124" s="52">
        <f>Inicial!A118</f>
        <v>0</v>
      </c>
      <c r="B124" s="53">
        <f>Inicial!B118</f>
        <v>0</v>
      </c>
      <c r="C124" s="53">
        <f>Inicial!C118</f>
        <v>0</v>
      </c>
      <c r="D124" s="54">
        <f>Inicial!D118</f>
        <v>0</v>
      </c>
      <c r="E124" s="52" t="str">
        <f>IF(Inicial!M118="SI",Inicial!E118,"N/A")</f>
        <v>N/A</v>
      </c>
      <c r="F124" s="53" t="str">
        <f>IF(Inicial!M118="SI",Inicial!F118,"N/A")</f>
        <v>N/A</v>
      </c>
      <c r="G124" s="53" t="str">
        <f>IF(Inicial!M118="SI",Inicial!G118,"N/A")</f>
        <v>N/A</v>
      </c>
      <c r="H124" s="53" t="str">
        <f>IF(Inicial!M118="SI",Inicial!H118,"N/A")</f>
        <v>N/A</v>
      </c>
      <c r="I124" s="55" t="str">
        <f>IF(Inicial!M118="SI",Inicial!I118,"N/A")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 t="str" cm="1">
        <f t="array" ref="W124">IF(OR(M124:V124="NO"),"No aceptable","Aceptable")</f>
        <v>Aceptable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3" t="str" cm="1">
        <f t="array" ref="AN124">IF(OR(AA124:AM124="SI"),"Critico","No Critico")</f>
        <v>No Critico</v>
      </c>
    </row>
    <row r="125" spans="1:40">
      <c r="A125" s="52">
        <f>Inicial!A119</f>
        <v>0</v>
      </c>
      <c r="B125" s="53">
        <f>Inicial!B119</f>
        <v>0</v>
      </c>
      <c r="C125" s="53">
        <f>Inicial!C119</f>
        <v>0</v>
      </c>
      <c r="D125" s="54">
        <f>Inicial!D119</f>
        <v>0</v>
      </c>
      <c r="E125" s="52" t="str">
        <f>IF(Inicial!M119="SI",Inicial!E119,"N/A")</f>
        <v>N/A</v>
      </c>
      <c r="F125" s="53" t="str">
        <f>IF(Inicial!M119="SI",Inicial!F119,"N/A")</f>
        <v>N/A</v>
      </c>
      <c r="G125" s="53" t="str">
        <f>IF(Inicial!M119="SI",Inicial!G119,"N/A")</f>
        <v>N/A</v>
      </c>
      <c r="H125" s="53" t="str">
        <f>IF(Inicial!M119="SI",Inicial!H119,"N/A")</f>
        <v>N/A</v>
      </c>
      <c r="I125" s="55" t="str">
        <f>IF(Inicial!M119="SI",Inicial!I119,"N/A")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 t="str" cm="1">
        <f t="array" ref="W125">IF(OR(M125:V125="NO"),"No aceptable","Aceptable")</f>
        <v>Aceptable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3" t="str" cm="1">
        <f t="array" ref="AN125">IF(OR(AA125:AM125="SI"),"Critico","No Critico")</f>
        <v>No Critico</v>
      </c>
    </row>
    <row r="126" spans="1:40">
      <c r="A126" s="52">
        <f>Inicial!A120</f>
        <v>0</v>
      </c>
      <c r="B126" s="53">
        <f>Inicial!B120</f>
        <v>0</v>
      </c>
      <c r="C126" s="53">
        <f>Inicial!C120</f>
        <v>0</v>
      </c>
      <c r="D126" s="54">
        <f>Inicial!D120</f>
        <v>0</v>
      </c>
      <c r="E126" s="52" t="str">
        <f>IF(Inicial!M120="SI",Inicial!E120,"N/A")</f>
        <v>N/A</v>
      </c>
      <c r="F126" s="53" t="str">
        <f>IF(Inicial!M120="SI",Inicial!F120,"N/A")</f>
        <v>N/A</v>
      </c>
      <c r="G126" s="53" t="str">
        <f>IF(Inicial!M120="SI",Inicial!G120,"N/A")</f>
        <v>N/A</v>
      </c>
      <c r="H126" s="53" t="str">
        <f>IF(Inicial!M120="SI",Inicial!H120,"N/A")</f>
        <v>N/A</v>
      </c>
      <c r="I126" s="55" t="str">
        <f>IF(Inicial!M120="SI",Inicial!I120,"N/A")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 t="str" cm="1">
        <f t="array" ref="W126">IF(OR(M126:V126="NO"),"No aceptable","Aceptable")</f>
        <v>Aceptable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3" t="str" cm="1">
        <f t="array" ref="AN126">IF(OR(AA126:AM126="SI"),"Critico","No Critico")</f>
        <v>No Critico</v>
      </c>
    </row>
    <row r="127" spans="1:40">
      <c r="A127" s="52">
        <f>Inicial!A121</f>
        <v>0</v>
      </c>
      <c r="B127" s="53">
        <f>Inicial!B121</f>
        <v>0</v>
      </c>
      <c r="C127" s="53">
        <f>Inicial!C121</f>
        <v>0</v>
      </c>
      <c r="D127" s="54">
        <f>Inicial!D121</f>
        <v>0</v>
      </c>
      <c r="E127" s="52" t="str">
        <f>IF(Inicial!M121="SI",Inicial!E121,"N/A")</f>
        <v>N/A</v>
      </c>
      <c r="F127" s="53" t="str">
        <f>IF(Inicial!M121="SI",Inicial!F121,"N/A")</f>
        <v>N/A</v>
      </c>
      <c r="G127" s="53" t="str">
        <f>IF(Inicial!M121="SI",Inicial!G121,"N/A")</f>
        <v>N/A</v>
      </c>
      <c r="H127" s="53" t="str">
        <f>IF(Inicial!M121="SI",Inicial!H121,"N/A")</f>
        <v>N/A</v>
      </c>
      <c r="I127" s="55" t="str">
        <f>IF(Inicial!M121="SI",Inicial!I121,"N/A")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 t="str" cm="1">
        <f t="array" ref="W127">IF(OR(M127:V127="NO"),"No aceptable","Aceptable")</f>
        <v>Aceptable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3" t="str" cm="1">
        <f t="array" ref="AN127">IF(OR(AA127:AM127="SI"),"Critico","No Critico")</f>
        <v>No Critico</v>
      </c>
    </row>
    <row r="128" spans="1:40">
      <c r="A128" s="52">
        <f>Inicial!A122</f>
        <v>0</v>
      </c>
      <c r="B128" s="53">
        <f>Inicial!B122</f>
        <v>0</v>
      </c>
      <c r="C128" s="53">
        <f>Inicial!C122</f>
        <v>0</v>
      </c>
      <c r="D128" s="54">
        <f>Inicial!D122</f>
        <v>0</v>
      </c>
      <c r="E128" s="52" t="str">
        <f>IF(Inicial!M122="SI",Inicial!E122,"N/A")</f>
        <v>N/A</v>
      </c>
      <c r="F128" s="53" t="str">
        <f>IF(Inicial!M122="SI",Inicial!F122,"N/A")</f>
        <v>N/A</v>
      </c>
      <c r="G128" s="53" t="str">
        <f>IF(Inicial!M122="SI",Inicial!G122,"N/A")</f>
        <v>N/A</v>
      </c>
      <c r="H128" s="53" t="str">
        <f>IF(Inicial!M122="SI",Inicial!H122,"N/A")</f>
        <v>N/A</v>
      </c>
      <c r="I128" s="55" t="str">
        <f>IF(Inicial!M122="SI",Inicial!I122,"N/A")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 t="str" cm="1">
        <f t="array" ref="W128">IF(OR(M128:V128="NO"),"No aceptable","Aceptable")</f>
        <v>Aceptable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3" t="str" cm="1">
        <f t="array" ref="AN128">IF(OR(AA128:AM128="SI"),"Critico","No Critico")</f>
        <v>No Critico</v>
      </c>
    </row>
    <row r="129" spans="1:40">
      <c r="A129" s="52">
        <f>Inicial!A123</f>
        <v>0</v>
      </c>
      <c r="B129" s="53">
        <f>Inicial!B123</f>
        <v>0</v>
      </c>
      <c r="C129" s="53">
        <f>Inicial!C123</f>
        <v>0</v>
      </c>
      <c r="D129" s="54">
        <f>Inicial!D123</f>
        <v>0</v>
      </c>
      <c r="E129" s="52" t="str">
        <f>IF(Inicial!M123="SI",Inicial!E123,"N/A")</f>
        <v>N/A</v>
      </c>
      <c r="F129" s="53" t="str">
        <f>IF(Inicial!M123="SI",Inicial!F123,"N/A")</f>
        <v>N/A</v>
      </c>
      <c r="G129" s="53" t="str">
        <f>IF(Inicial!M123="SI",Inicial!G123,"N/A")</f>
        <v>N/A</v>
      </c>
      <c r="H129" s="53" t="str">
        <f>IF(Inicial!M123="SI",Inicial!H123,"N/A")</f>
        <v>N/A</v>
      </c>
      <c r="I129" s="55" t="str">
        <f>IF(Inicial!M123="SI",Inicial!I123,"N/A")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 t="str" cm="1">
        <f t="array" ref="W129">IF(OR(M129:V129="NO"),"No aceptable","Aceptable")</f>
        <v>Aceptable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3" t="str" cm="1">
        <f t="array" ref="AN129">IF(OR(AA129:AM129="SI"),"Critico","No Critico")</f>
        <v>No Critico</v>
      </c>
    </row>
    <row r="130" spans="1:40">
      <c r="A130" s="52">
        <f>Inicial!A124</f>
        <v>0</v>
      </c>
      <c r="B130" s="53">
        <f>Inicial!B124</f>
        <v>0</v>
      </c>
      <c r="C130" s="53">
        <f>Inicial!C124</f>
        <v>0</v>
      </c>
      <c r="D130" s="54">
        <f>Inicial!D124</f>
        <v>0</v>
      </c>
      <c r="E130" s="52" t="str">
        <f>IF(Inicial!M124="SI",Inicial!E124,"N/A")</f>
        <v>N/A</v>
      </c>
      <c r="F130" s="53" t="str">
        <f>IF(Inicial!M124="SI",Inicial!F124,"N/A")</f>
        <v>N/A</v>
      </c>
      <c r="G130" s="53" t="str">
        <f>IF(Inicial!M124="SI",Inicial!G124,"N/A")</f>
        <v>N/A</v>
      </c>
      <c r="H130" s="53" t="str">
        <f>IF(Inicial!M124="SI",Inicial!H124,"N/A")</f>
        <v>N/A</v>
      </c>
      <c r="I130" s="55" t="str">
        <f>IF(Inicial!M124="SI",Inicial!I124,"N/A")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 t="str" cm="1">
        <f t="array" ref="W130">IF(OR(M130:V130="NO"),"No aceptable","Aceptable")</f>
        <v>Aceptable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3" t="str" cm="1">
        <f t="array" ref="AN130">IF(OR(AA130:AM130="SI"),"Critico","No Critico")</f>
        <v>No Critico</v>
      </c>
    </row>
    <row r="131" spans="1:40">
      <c r="A131" s="52">
        <f>Inicial!A125</f>
        <v>0</v>
      </c>
      <c r="B131" s="53">
        <f>Inicial!B125</f>
        <v>0</v>
      </c>
      <c r="C131" s="53">
        <f>Inicial!C125</f>
        <v>0</v>
      </c>
      <c r="D131" s="54">
        <f>Inicial!D125</f>
        <v>0</v>
      </c>
      <c r="E131" s="52" t="str">
        <f>IF(Inicial!M125="SI",Inicial!E125,"N/A")</f>
        <v>N/A</v>
      </c>
      <c r="F131" s="53" t="str">
        <f>IF(Inicial!M125="SI",Inicial!F125,"N/A")</f>
        <v>N/A</v>
      </c>
      <c r="G131" s="53" t="str">
        <f>IF(Inicial!M125="SI",Inicial!G125,"N/A")</f>
        <v>N/A</v>
      </c>
      <c r="H131" s="53" t="str">
        <f>IF(Inicial!M125="SI",Inicial!H125,"N/A")</f>
        <v>N/A</v>
      </c>
      <c r="I131" s="55" t="str">
        <f>IF(Inicial!M125="SI",Inicial!I125,"N/A")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 t="str" cm="1">
        <f t="array" ref="W131">IF(OR(M131:V131="NO"),"No aceptable","Aceptable")</f>
        <v>Aceptable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3" t="str" cm="1">
        <f t="array" ref="AN131">IF(OR(AA131:AM131="SI"),"Critico","No Critico")</f>
        <v>No Critico</v>
      </c>
    </row>
    <row r="132" spans="1:40">
      <c r="A132" s="52">
        <f>Inicial!A126</f>
        <v>0</v>
      </c>
      <c r="B132" s="53">
        <f>Inicial!B126</f>
        <v>0</v>
      </c>
      <c r="C132" s="53">
        <f>Inicial!C126</f>
        <v>0</v>
      </c>
      <c r="D132" s="54">
        <f>Inicial!D126</f>
        <v>0</v>
      </c>
      <c r="E132" s="52" t="str">
        <f>IF(Inicial!M126="SI",Inicial!E126,"N/A")</f>
        <v>N/A</v>
      </c>
      <c r="F132" s="53" t="str">
        <f>IF(Inicial!M126="SI",Inicial!F126,"N/A")</f>
        <v>N/A</v>
      </c>
      <c r="G132" s="53" t="str">
        <f>IF(Inicial!M126="SI",Inicial!G126,"N/A")</f>
        <v>N/A</v>
      </c>
      <c r="H132" s="53" t="str">
        <f>IF(Inicial!M126="SI",Inicial!H126,"N/A")</f>
        <v>N/A</v>
      </c>
      <c r="I132" s="55" t="str">
        <f>IF(Inicial!M126="SI",Inicial!I126,"N/A")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 t="str" cm="1">
        <f t="array" ref="W132">IF(OR(M132:V132="NO"),"No aceptable","Aceptable")</f>
        <v>Aceptable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3" t="str" cm="1">
        <f t="array" ref="AN132">IF(OR(AA132:AM132="SI"),"Critico","No Critico")</f>
        <v>No Critico</v>
      </c>
    </row>
    <row r="133" spans="1:40">
      <c r="A133" s="52">
        <f>Inicial!A127</f>
        <v>0</v>
      </c>
      <c r="B133" s="53">
        <f>Inicial!B127</f>
        <v>0</v>
      </c>
      <c r="C133" s="53">
        <f>Inicial!C127</f>
        <v>0</v>
      </c>
      <c r="D133" s="54">
        <f>Inicial!D127</f>
        <v>0</v>
      </c>
      <c r="E133" s="52" t="str">
        <f>IF(Inicial!M127="SI",Inicial!E127,"N/A")</f>
        <v>N/A</v>
      </c>
      <c r="F133" s="53" t="str">
        <f>IF(Inicial!M127="SI",Inicial!F127,"N/A")</f>
        <v>N/A</v>
      </c>
      <c r="G133" s="53" t="str">
        <f>IF(Inicial!M127="SI",Inicial!G127,"N/A")</f>
        <v>N/A</v>
      </c>
      <c r="H133" s="53" t="str">
        <f>IF(Inicial!M127="SI",Inicial!H127,"N/A")</f>
        <v>N/A</v>
      </c>
      <c r="I133" s="55" t="str">
        <f>IF(Inicial!M127="SI",Inicial!I127,"N/A")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 t="str" cm="1">
        <f t="array" ref="W133">IF(OR(M133:V133="NO"),"No aceptable","Aceptable")</f>
        <v>Aceptable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3" t="str" cm="1">
        <f t="array" ref="AN133">IF(OR(AA133:AM133="SI"),"Critico","No Critico")</f>
        <v>No Critico</v>
      </c>
    </row>
    <row r="134" spans="1:40">
      <c r="A134" s="52">
        <f>Inicial!A128</f>
        <v>0</v>
      </c>
      <c r="B134" s="53">
        <f>Inicial!B128</f>
        <v>0</v>
      </c>
      <c r="C134" s="53">
        <f>Inicial!C128</f>
        <v>0</v>
      </c>
      <c r="D134" s="54">
        <f>Inicial!D128</f>
        <v>0</v>
      </c>
      <c r="E134" s="52" t="str">
        <f>IF(Inicial!M128="SI",Inicial!E128,"N/A")</f>
        <v>N/A</v>
      </c>
      <c r="F134" s="53" t="str">
        <f>IF(Inicial!M128="SI",Inicial!F128,"N/A")</f>
        <v>N/A</v>
      </c>
      <c r="G134" s="53" t="str">
        <f>IF(Inicial!M128="SI",Inicial!G128,"N/A")</f>
        <v>N/A</v>
      </c>
      <c r="H134" s="53" t="str">
        <f>IF(Inicial!M128="SI",Inicial!H128,"N/A")</f>
        <v>N/A</v>
      </c>
      <c r="I134" s="55" t="str">
        <f>IF(Inicial!M128="SI",Inicial!I128,"N/A")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 t="str" cm="1">
        <f t="array" ref="W134">IF(OR(M134:V134="NO"),"No aceptable","Aceptable")</f>
        <v>Aceptable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3" t="str" cm="1">
        <f t="array" ref="AN134">IF(OR(AA134:AM134="SI"),"Critico","No Critico")</f>
        <v>No Critico</v>
      </c>
    </row>
    <row r="135" spans="1:40">
      <c r="A135" s="52">
        <f>Inicial!A129</f>
        <v>0</v>
      </c>
      <c r="B135" s="53">
        <f>Inicial!B129</f>
        <v>0</v>
      </c>
      <c r="C135" s="53">
        <f>Inicial!C129</f>
        <v>0</v>
      </c>
      <c r="D135" s="54">
        <f>Inicial!D129</f>
        <v>0</v>
      </c>
      <c r="E135" s="52" t="str">
        <f>IF(Inicial!M129="SI",Inicial!E129,"N/A")</f>
        <v>N/A</v>
      </c>
      <c r="F135" s="53" t="str">
        <f>IF(Inicial!M129="SI",Inicial!F129,"N/A")</f>
        <v>N/A</v>
      </c>
      <c r="G135" s="53" t="str">
        <f>IF(Inicial!M129="SI",Inicial!G129,"N/A")</f>
        <v>N/A</v>
      </c>
      <c r="H135" s="53" t="str">
        <f>IF(Inicial!M129="SI",Inicial!H129,"N/A")</f>
        <v>N/A</v>
      </c>
      <c r="I135" s="55" t="str">
        <f>IF(Inicial!M129="SI",Inicial!I129,"N/A")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 t="str" cm="1">
        <f t="array" ref="W135">IF(OR(M135:V135="NO"),"No aceptable","Aceptable")</f>
        <v>Aceptable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3" t="str" cm="1">
        <f t="array" ref="AN135">IF(OR(AA135:AM135="SI"),"Critico","No Critico")</f>
        <v>No Critico</v>
      </c>
    </row>
    <row r="136" spans="1:40">
      <c r="A136" s="52">
        <f>Inicial!A130</f>
        <v>0</v>
      </c>
      <c r="B136" s="53">
        <f>Inicial!B130</f>
        <v>0</v>
      </c>
      <c r="C136" s="53">
        <f>Inicial!C130</f>
        <v>0</v>
      </c>
      <c r="D136" s="54">
        <f>Inicial!D130</f>
        <v>0</v>
      </c>
      <c r="E136" s="52" t="str">
        <f>IF(Inicial!M130="SI",Inicial!E130,"N/A")</f>
        <v>N/A</v>
      </c>
      <c r="F136" s="53" t="str">
        <f>IF(Inicial!M130="SI",Inicial!F130,"N/A")</f>
        <v>N/A</v>
      </c>
      <c r="G136" s="53" t="str">
        <f>IF(Inicial!M130="SI",Inicial!G130,"N/A")</f>
        <v>N/A</v>
      </c>
      <c r="H136" s="53" t="str">
        <f>IF(Inicial!M130="SI",Inicial!H130,"N/A")</f>
        <v>N/A</v>
      </c>
      <c r="I136" s="55" t="str">
        <f>IF(Inicial!M130="SI",Inicial!I130,"N/A")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>
      <c r="A137" s="52">
        <f>Inicial!A131</f>
        <v>0</v>
      </c>
      <c r="B137" s="53">
        <f>Inicial!B131</f>
        <v>0</v>
      </c>
      <c r="C137" s="53">
        <f>Inicial!C131</f>
        <v>0</v>
      </c>
      <c r="D137" s="54">
        <f>Inicial!D131</f>
        <v>0</v>
      </c>
      <c r="E137" s="52" t="str">
        <f>IF(Inicial!M131="SI",Inicial!E131,"N/A")</f>
        <v>N/A</v>
      </c>
      <c r="F137" s="53" t="str">
        <f>IF(Inicial!M131="SI",Inicial!F131,"N/A")</f>
        <v>N/A</v>
      </c>
      <c r="G137" s="53" t="str">
        <f>IF(Inicial!M131="SI",Inicial!G131,"N/A")</f>
        <v>N/A</v>
      </c>
      <c r="H137" s="53" t="str">
        <f>IF(Inicial!M131="SI",Inicial!H131,"N/A")</f>
        <v>N/A</v>
      </c>
      <c r="I137" s="55" t="str">
        <f>IF(Inicial!M131="SI",Inicial!I131,"N/A")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>
      <c r="A138" s="52">
        <f>Inicial!A132</f>
        <v>0</v>
      </c>
      <c r="B138" s="53">
        <f>Inicial!B132</f>
        <v>0</v>
      </c>
      <c r="C138" s="53">
        <f>Inicial!C132</f>
        <v>0</v>
      </c>
      <c r="D138" s="54">
        <f>Inicial!D132</f>
        <v>0</v>
      </c>
      <c r="E138" s="52" t="str">
        <f>IF(Inicial!M132="SI",Inicial!E132,"N/A")</f>
        <v>N/A</v>
      </c>
      <c r="F138" s="53" t="str">
        <f>IF(Inicial!M132="SI",Inicial!F132,"N/A")</f>
        <v>N/A</v>
      </c>
      <c r="G138" s="53" t="str">
        <f>IF(Inicial!M132="SI",Inicial!G132,"N/A")</f>
        <v>N/A</v>
      </c>
      <c r="H138" s="53" t="str">
        <f>IF(Inicial!M132="SI",Inicial!H132,"N/A")</f>
        <v>N/A</v>
      </c>
      <c r="I138" s="55" t="str">
        <f>IF(Inicial!M132="SI",Inicial!I132,"N/A")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>
      <c r="A139" s="52">
        <f>Inicial!A133</f>
        <v>0</v>
      </c>
      <c r="B139" s="53">
        <f>Inicial!B133</f>
        <v>0</v>
      </c>
      <c r="C139" s="53">
        <f>Inicial!C133</f>
        <v>0</v>
      </c>
      <c r="D139" s="54">
        <f>Inicial!D133</f>
        <v>0</v>
      </c>
      <c r="E139" s="52" t="str">
        <f>IF(Inicial!M133="SI",Inicial!E133,"N/A")</f>
        <v>N/A</v>
      </c>
      <c r="F139" s="53" t="str">
        <f>IF(Inicial!M133="SI",Inicial!F133,"N/A")</f>
        <v>N/A</v>
      </c>
      <c r="G139" s="53" t="str">
        <f>IF(Inicial!M133="SI",Inicial!G133,"N/A")</f>
        <v>N/A</v>
      </c>
      <c r="H139" s="53" t="str">
        <f>IF(Inicial!M133="SI",Inicial!H133,"N/A")</f>
        <v>N/A</v>
      </c>
      <c r="I139" s="55" t="str">
        <f>IF(Inicial!M133="SI",Inicial!I133,"N/A")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>
      <c r="A140" s="52">
        <f>Inicial!A134</f>
        <v>0</v>
      </c>
      <c r="B140" s="53">
        <f>Inicial!B134</f>
        <v>0</v>
      </c>
      <c r="C140" s="53">
        <f>Inicial!C134</f>
        <v>0</v>
      </c>
      <c r="D140" s="54">
        <f>Inicial!D134</f>
        <v>0</v>
      </c>
      <c r="E140" s="52" t="str">
        <f>IF(Inicial!M134="SI",Inicial!E134,"N/A")</f>
        <v>N/A</v>
      </c>
      <c r="F140" s="53" t="str">
        <f>IF(Inicial!M134="SI",Inicial!F134,"N/A")</f>
        <v>N/A</v>
      </c>
      <c r="G140" s="53" t="str">
        <f>IF(Inicial!M134="SI",Inicial!G134,"N/A")</f>
        <v>N/A</v>
      </c>
      <c r="H140" s="53" t="str">
        <f>IF(Inicial!M134="SI",Inicial!H134,"N/A")</f>
        <v>N/A</v>
      </c>
      <c r="I140" s="55" t="str">
        <f>IF(Inicial!M134="SI",Inicial!I134,"N/A")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>
      <c r="A141" s="52">
        <f>Inicial!A135</f>
        <v>0</v>
      </c>
      <c r="B141" s="53">
        <f>Inicial!B135</f>
        <v>0</v>
      </c>
      <c r="C141" s="53">
        <f>Inicial!C135</f>
        <v>0</v>
      </c>
      <c r="D141" s="54">
        <f>Inicial!D135</f>
        <v>0</v>
      </c>
      <c r="E141" s="52" t="str">
        <f>IF(Inicial!M135="SI",Inicial!E135,"N/A")</f>
        <v>N/A</v>
      </c>
      <c r="F141" s="53" t="str">
        <f>IF(Inicial!M135="SI",Inicial!F135,"N/A")</f>
        <v>N/A</v>
      </c>
      <c r="G141" s="53" t="str">
        <f>IF(Inicial!M135="SI",Inicial!G135,"N/A")</f>
        <v>N/A</v>
      </c>
      <c r="H141" s="53" t="str">
        <f>IF(Inicial!M135="SI",Inicial!H135,"N/A")</f>
        <v>N/A</v>
      </c>
      <c r="I141" s="55" t="str">
        <f>IF(Inicial!M135="SI",Inicial!I135,"N/A")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>
      <c r="A142" s="52">
        <f>Inicial!A136</f>
        <v>0</v>
      </c>
      <c r="B142" s="53">
        <f>Inicial!B136</f>
        <v>0</v>
      </c>
      <c r="C142" s="53">
        <f>Inicial!C136</f>
        <v>0</v>
      </c>
      <c r="D142" s="54">
        <f>Inicial!D136</f>
        <v>0</v>
      </c>
      <c r="E142" s="52" t="str">
        <f>IF(Inicial!M136="SI",Inicial!E136,"N/A")</f>
        <v>N/A</v>
      </c>
      <c r="F142" s="53" t="str">
        <f>IF(Inicial!M136="SI",Inicial!F136,"N/A")</f>
        <v>N/A</v>
      </c>
      <c r="G142" s="53" t="str">
        <f>IF(Inicial!M136="SI",Inicial!G136,"N/A")</f>
        <v>N/A</v>
      </c>
      <c r="H142" s="53" t="str">
        <f>IF(Inicial!M136="SI",Inicial!H136,"N/A")</f>
        <v>N/A</v>
      </c>
      <c r="I142" s="55" t="str">
        <f>IF(Inicial!M136="SI",Inicial!I136,"N/A")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>
      <c r="A143" s="52">
        <f>Inicial!A137</f>
        <v>0</v>
      </c>
      <c r="B143" s="53">
        <f>Inicial!B137</f>
        <v>0</v>
      </c>
      <c r="C143" s="53">
        <f>Inicial!C137</f>
        <v>0</v>
      </c>
      <c r="D143" s="54">
        <f>Inicial!D137</f>
        <v>0</v>
      </c>
      <c r="E143" s="52" t="str">
        <f>IF(Inicial!M137="SI",Inicial!E137,"N/A")</f>
        <v>N/A</v>
      </c>
      <c r="F143" s="53" t="str">
        <f>IF(Inicial!M137="SI",Inicial!F137,"N/A")</f>
        <v>N/A</v>
      </c>
      <c r="G143" s="53" t="str">
        <f>IF(Inicial!M137="SI",Inicial!G137,"N/A")</f>
        <v>N/A</v>
      </c>
      <c r="H143" s="53" t="str">
        <f>IF(Inicial!M137="SI",Inicial!H137,"N/A")</f>
        <v>N/A</v>
      </c>
      <c r="I143" s="55" t="str">
        <f>IF(Inicial!M137="SI",Inicial!I137,"N/A")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>
      <c r="A144" s="52">
        <f>Inicial!A138</f>
        <v>0</v>
      </c>
      <c r="B144" s="53">
        <f>Inicial!B138</f>
        <v>0</v>
      </c>
      <c r="C144" s="53">
        <f>Inicial!C138</f>
        <v>0</v>
      </c>
      <c r="D144" s="54">
        <f>Inicial!D138</f>
        <v>0</v>
      </c>
      <c r="E144" s="52" t="str">
        <f>IF(Inicial!M138="SI",Inicial!E138,"N/A")</f>
        <v>N/A</v>
      </c>
      <c r="F144" s="53" t="str">
        <f>IF(Inicial!M138="SI",Inicial!F138,"N/A")</f>
        <v>N/A</v>
      </c>
      <c r="G144" s="53" t="str">
        <f>IF(Inicial!M138="SI",Inicial!G138,"N/A")</f>
        <v>N/A</v>
      </c>
      <c r="H144" s="53" t="str">
        <f>IF(Inicial!M138="SI",Inicial!H138,"N/A")</f>
        <v>N/A</v>
      </c>
      <c r="I144" s="55" t="str">
        <f>IF(Inicial!M138="SI",Inicial!I138,"N/A")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>
      <c r="A145" s="52">
        <f>Inicial!A139</f>
        <v>0</v>
      </c>
      <c r="B145" s="53">
        <f>Inicial!B139</f>
        <v>0</v>
      </c>
      <c r="C145" s="53">
        <f>Inicial!C139</f>
        <v>0</v>
      </c>
      <c r="D145" s="54">
        <f>Inicial!D139</f>
        <v>0</v>
      </c>
      <c r="E145" s="52" t="str">
        <f>IF(Inicial!M139="SI",Inicial!E139,"N/A")</f>
        <v>N/A</v>
      </c>
      <c r="F145" s="53" t="str">
        <f>IF(Inicial!M139="SI",Inicial!F139,"N/A")</f>
        <v>N/A</v>
      </c>
      <c r="G145" s="53" t="str">
        <f>IF(Inicial!M139="SI",Inicial!G139,"N/A")</f>
        <v>N/A</v>
      </c>
      <c r="H145" s="53" t="str">
        <f>IF(Inicial!M139="SI",Inicial!H139,"N/A")</f>
        <v>N/A</v>
      </c>
      <c r="I145" s="55" t="str">
        <f>IF(Inicial!M139="SI",Inicial!I139,"N/A")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>
      <c r="A146" s="52">
        <f>Inicial!A140</f>
        <v>0</v>
      </c>
      <c r="B146" s="53">
        <f>Inicial!B140</f>
        <v>0</v>
      </c>
      <c r="C146" s="53">
        <f>Inicial!C140</f>
        <v>0</v>
      </c>
      <c r="D146" s="54">
        <f>Inicial!D140</f>
        <v>0</v>
      </c>
      <c r="E146" s="52" t="str">
        <f>IF(Inicial!M140="SI",Inicial!E140,"N/A")</f>
        <v>N/A</v>
      </c>
      <c r="F146" s="53" t="str">
        <f>IF(Inicial!M140="SI",Inicial!F140,"N/A")</f>
        <v>N/A</v>
      </c>
      <c r="G146" s="53" t="str">
        <f>IF(Inicial!M140="SI",Inicial!G140,"N/A")</f>
        <v>N/A</v>
      </c>
      <c r="H146" s="53" t="str">
        <f>IF(Inicial!M140="SI",Inicial!H140,"N/A")</f>
        <v>N/A</v>
      </c>
      <c r="I146" s="55" t="str">
        <f>IF(Inicial!M140="SI",Inicial!I140,"N/A")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>
      <c r="A147" s="52">
        <f>Inicial!A141</f>
        <v>0</v>
      </c>
      <c r="B147" s="53">
        <f>Inicial!B141</f>
        <v>0</v>
      </c>
      <c r="C147" s="53">
        <f>Inicial!C141</f>
        <v>0</v>
      </c>
      <c r="D147" s="54">
        <f>Inicial!D141</f>
        <v>0</v>
      </c>
      <c r="E147" s="52" t="str">
        <f>IF(Inicial!M141="SI",Inicial!E141,"N/A")</f>
        <v>N/A</v>
      </c>
      <c r="F147" s="53" t="str">
        <f>IF(Inicial!M141="SI",Inicial!F141,"N/A")</f>
        <v>N/A</v>
      </c>
      <c r="G147" s="53" t="str">
        <f>IF(Inicial!M141="SI",Inicial!G141,"N/A")</f>
        <v>N/A</v>
      </c>
      <c r="H147" s="53" t="str">
        <f>IF(Inicial!M141="SI",Inicial!H141,"N/A")</f>
        <v>N/A</v>
      </c>
      <c r="I147" s="55" t="str">
        <f>IF(Inicial!M141="SI",Inicial!I141,"N/A")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>
      <c r="A148" s="52">
        <f>Inicial!A142</f>
        <v>0</v>
      </c>
      <c r="B148" s="53">
        <f>Inicial!B142</f>
        <v>0</v>
      </c>
      <c r="C148" s="53">
        <f>Inicial!C142</f>
        <v>0</v>
      </c>
      <c r="D148" s="54">
        <f>Inicial!D142</f>
        <v>0</v>
      </c>
      <c r="E148" s="52" t="str">
        <f>IF(Inicial!M142="SI",Inicial!E142,"N/A")</f>
        <v>N/A</v>
      </c>
      <c r="F148" s="53" t="str">
        <f>IF(Inicial!M142="SI",Inicial!F142,"N/A")</f>
        <v>N/A</v>
      </c>
      <c r="G148" s="53" t="str">
        <f>IF(Inicial!M142="SI",Inicial!G142,"N/A")</f>
        <v>N/A</v>
      </c>
      <c r="H148" s="53" t="str">
        <f>IF(Inicial!M142="SI",Inicial!H142,"N/A")</f>
        <v>N/A</v>
      </c>
      <c r="I148" s="55" t="str">
        <f>IF(Inicial!M142="SI",Inicial!I142,"N/A")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>
      <c r="A149" s="52">
        <f>Inicial!A143</f>
        <v>0</v>
      </c>
      <c r="B149" s="53">
        <f>Inicial!B143</f>
        <v>0</v>
      </c>
      <c r="C149" s="53">
        <f>Inicial!C143</f>
        <v>0</v>
      </c>
      <c r="D149" s="54">
        <f>Inicial!D143</f>
        <v>0</v>
      </c>
      <c r="E149" s="52" t="str">
        <f>IF(Inicial!M143="SI",Inicial!E143,"N/A")</f>
        <v>N/A</v>
      </c>
      <c r="F149" s="53" t="str">
        <f>IF(Inicial!M143="SI",Inicial!F143,"N/A")</f>
        <v>N/A</v>
      </c>
      <c r="G149" s="53" t="str">
        <f>IF(Inicial!M143="SI",Inicial!G143,"N/A")</f>
        <v>N/A</v>
      </c>
      <c r="H149" s="53" t="str">
        <f>IF(Inicial!M143="SI",Inicial!H143,"N/A")</f>
        <v>N/A</v>
      </c>
      <c r="I149" s="55" t="str">
        <f>IF(Inicial!M143="SI",Inicial!I143,"N/A")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>
      <c r="A150" s="52">
        <f>Inicial!A144</f>
        <v>0</v>
      </c>
      <c r="B150" s="53">
        <f>Inicial!B144</f>
        <v>0</v>
      </c>
      <c r="C150" s="53">
        <f>Inicial!C144</f>
        <v>0</v>
      </c>
      <c r="D150" s="54">
        <f>Inicial!D144</f>
        <v>0</v>
      </c>
      <c r="E150" s="52" t="str">
        <f>IF(Inicial!M144="SI",Inicial!E144,"N/A")</f>
        <v>N/A</v>
      </c>
      <c r="F150" s="53" t="str">
        <f>IF(Inicial!M144="SI",Inicial!F144,"N/A")</f>
        <v>N/A</v>
      </c>
      <c r="G150" s="53" t="str">
        <f>IF(Inicial!M144="SI",Inicial!G144,"N/A")</f>
        <v>N/A</v>
      </c>
      <c r="H150" s="53" t="str">
        <f>IF(Inicial!M144="SI",Inicial!H144,"N/A")</f>
        <v>N/A</v>
      </c>
      <c r="I150" s="55" t="str">
        <f>IF(Inicial!M144="SI",Inicial!I144,"N/A")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2" t="str" cm="1">
        <f t="array" ref="W150">IF(OR(M150:V150="NO"),"No aceptable","Aceptable")</f>
        <v>Aceptable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3" t="str" cm="1">
        <f t="array" ref="AN150">IF(OR(AA150:AM150="SI"),"Critico","No Critico")</f>
        <v>No Critico</v>
      </c>
    </row>
    <row r="151" spans="1:40">
      <c r="A151" s="52">
        <f>Inicial!A145</f>
        <v>0</v>
      </c>
      <c r="B151" s="53">
        <f>Inicial!B145</f>
        <v>0</v>
      </c>
      <c r="C151" s="53">
        <f>Inicial!C145</f>
        <v>0</v>
      </c>
      <c r="D151" s="54">
        <f>Inicial!D145</f>
        <v>0</v>
      </c>
      <c r="E151" s="52" t="str">
        <f>IF(Inicial!M145="SI",Inicial!E145,"N/A")</f>
        <v>N/A</v>
      </c>
      <c r="F151" s="53" t="str">
        <f>IF(Inicial!M145="SI",Inicial!F145,"N/A")</f>
        <v>N/A</v>
      </c>
      <c r="G151" s="53" t="str">
        <f>IF(Inicial!M145="SI",Inicial!G145,"N/A")</f>
        <v>N/A</v>
      </c>
      <c r="H151" s="53" t="str">
        <f>IF(Inicial!M145="SI",Inicial!H145,"N/A")</f>
        <v>N/A</v>
      </c>
      <c r="I151" s="55" t="str">
        <f>IF(Inicial!M145="SI",Inicial!I145,"N/A")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 t="str" cm="1">
        <f t="array" ref="W151">IF(OR(M151:V151="NO"),"No aceptable","Aceptable")</f>
        <v>Aceptable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3" t="str" cm="1">
        <f t="array" ref="AN151">IF(OR(AA151:AM151="SI"),"Critico","No Critico")</f>
        <v>No Critico</v>
      </c>
    </row>
    <row r="152" spans="1:40">
      <c r="A152" s="52">
        <f>Inicial!A146</f>
        <v>0</v>
      </c>
      <c r="B152" s="53">
        <f>Inicial!B146</f>
        <v>0</v>
      </c>
      <c r="C152" s="53">
        <f>Inicial!C146</f>
        <v>0</v>
      </c>
      <c r="D152" s="54">
        <f>Inicial!D146</f>
        <v>0</v>
      </c>
      <c r="E152" s="52" t="str">
        <f>IF(Inicial!M146="SI",Inicial!E146,"N/A")</f>
        <v>N/A</v>
      </c>
      <c r="F152" s="53" t="str">
        <f>IF(Inicial!M146="SI",Inicial!F146,"N/A")</f>
        <v>N/A</v>
      </c>
      <c r="G152" s="53" t="str">
        <f>IF(Inicial!M146="SI",Inicial!G146,"N/A")</f>
        <v>N/A</v>
      </c>
      <c r="H152" s="53" t="str">
        <f>IF(Inicial!M146="SI",Inicial!H146,"N/A")</f>
        <v>N/A</v>
      </c>
      <c r="I152" s="55" t="str">
        <f>IF(Inicial!M146="SI",Inicial!I146,"N/A")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2" t="str" cm="1">
        <f t="array" ref="W152">IF(OR(M152:V152="NO"),"No aceptable","Aceptable")</f>
        <v>Aceptable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3" t="str" cm="1">
        <f t="array" ref="AN152">IF(OR(AA152:AM152="SI"),"Critico","No Critico")</f>
        <v>No Critico</v>
      </c>
    </row>
    <row r="153" spans="1:40">
      <c r="A153" s="52">
        <f>Inicial!A147</f>
        <v>0</v>
      </c>
      <c r="B153" s="53">
        <f>Inicial!B147</f>
        <v>0</v>
      </c>
      <c r="C153" s="53">
        <f>Inicial!C147</f>
        <v>0</v>
      </c>
      <c r="D153" s="54">
        <f>Inicial!D147</f>
        <v>0</v>
      </c>
      <c r="E153" s="52" t="str">
        <f>IF(Inicial!M147="SI",Inicial!E147,"N/A")</f>
        <v>N/A</v>
      </c>
      <c r="F153" s="53" t="str">
        <f>IF(Inicial!M147="SI",Inicial!F147,"N/A")</f>
        <v>N/A</v>
      </c>
      <c r="G153" s="53" t="str">
        <f>IF(Inicial!M147="SI",Inicial!G147,"N/A")</f>
        <v>N/A</v>
      </c>
      <c r="H153" s="53" t="str">
        <f>IF(Inicial!M147="SI",Inicial!H147,"N/A")</f>
        <v>N/A</v>
      </c>
      <c r="I153" s="55" t="str">
        <f>IF(Inicial!M147="SI",Inicial!I147,"N/A")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2" t="str" cm="1">
        <f t="array" ref="W153">IF(OR(M153:V153="NO"),"No aceptable","Aceptable")</f>
        <v>Aceptable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3" t="str" cm="1">
        <f t="array" ref="AN153">IF(OR(AA153:AM153="SI"),"Critico","No Critico")</f>
        <v>No Critico</v>
      </c>
    </row>
    <row r="154" spans="1:40">
      <c r="A154" s="52">
        <f>Inicial!A148</f>
        <v>0</v>
      </c>
      <c r="B154" s="53">
        <f>Inicial!B148</f>
        <v>0</v>
      </c>
      <c r="C154" s="53">
        <f>Inicial!C148</f>
        <v>0</v>
      </c>
      <c r="D154" s="54">
        <f>Inicial!D148</f>
        <v>0</v>
      </c>
      <c r="E154" s="52" t="str">
        <f>IF(Inicial!M148="SI",Inicial!E148,"N/A")</f>
        <v>N/A</v>
      </c>
      <c r="F154" s="53" t="str">
        <f>IF(Inicial!M148="SI",Inicial!F148,"N/A")</f>
        <v>N/A</v>
      </c>
      <c r="G154" s="53" t="str">
        <f>IF(Inicial!M148="SI",Inicial!G148,"N/A")</f>
        <v>N/A</v>
      </c>
      <c r="H154" s="53" t="str">
        <f>IF(Inicial!M148="SI",Inicial!H148,"N/A")</f>
        <v>N/A</v>
      </c>
      <c r="I154" s="55" t="str">
        <f>IF(Inicial!M148="SI",Inicial!I148,"N/A")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2" t="str" cm="1">
        <f t="array" ref="W154">IF(OR(M154:V154="NO"),"No aceptable","Aceptable")</f>
        <v>Aceptable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3" t="str" cm="1">
        <f t="array" ref="AN154">IF(OR(AA154:AM154="SI"),"Critico","No Critico")</f>
        <v>No Critico</v>
      </c>
    </row>
    <row r="155" spans="1:40">
      <c r="A155" s="52">
        <f>Inicial!A149</f>
        <v>0</v>
      </c>
      <c r="B155" s="53">
        <f>Inicial!B149</f>
        <v>0</v>
      </c>
      <c r="C155" s="53">
        <f>Inicial!C149</f>
        <v>0</v>
      </c>
      <c r="D155" s="54">
        <f>Inicial!D149</f>
        <v>0</v>
      </c>
      <c r="E155" s="52" t="str">
        <f>IF(Inicial!M149="SI",Inicial!E149,"N/A")</f>
        <v>N/A</v>
      </c>
      <c r="F155" s="53" t="str">
        <f>IF(Inicial!M149="SI",Inicial!F149,"N/A")</f>
        <v>N/A</v>
      </c>
      <c r="G155" s="53" t="str">
        <f>IF(Inicial!M149="SI",Inicial!G149,"N/A")</f>
        <v>N/A</v>
      </c>
      <c r="H155" s="53" t="str">
        <f>IF(Inicial!M149="SI",Inicial!H149,"N/A")</f>
        <v>N/A</v>
      </c>
      <c r="I155" s="55" t="str">
        <f>IF(Inicial!M149="SI",Inicial!I149,"N/A")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 t="str" cm="1">
        <f t="array" ref="W155">IF(OR(M155:V155="NO"),"No aceptable","Aceptable")</f>
        <v>Aceptable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3" t="str" cm="1">
        <f t="array" ref="AN155">IF(OR(AA155:AM155="SI"),"Critico","No Critico")</f>
        <v>No Critico</v>
      </c>
    </row>
    <row r="156" spans="1:40">
      <c r="A156" s="52">
        <f>Inicial!A150</f>
        <v>0</v>
      </c>
      <c r="B156" s="53">
        <f>Inicial!B150</f>
        <v>0</v>
      </c>
      <c r="C156" s="53">
        <f>Inicial!C150</f>
        <v>0</v>
      </c>
      <c r="D156" s="54">
        <f>Inicial!D150</f>
        <v>0</v>
      </c>
      <c r="E156" s="52" t="str">
        <f>IF(Inicial!M150="SI",Inicial!E150,"N/A")</f>
        <v>N/A</v>
      </c>
      <c r="F156" s="53" t="str">
        <f>IF(Inicial!M150="SI",Inicial!F150,"N/A")</f>
        <v>N/A</v>
      </c>
      <c r="G156" s="53" t="str">
        <f>IF(Inicial!M150="SI",Inicial!G150,"N/A")</f>
        <v>N/A</v>
      </c>
      <c r="H156" s="53" t="str">
        <f>IF(Inicial!M150="SI",Inicial!H150,"N/A")</f>
        <v>N/A</v>
      </c>
      <c r="I156" s="55" t="str">
        <f>IF(Inicial!M150="SI",Inicial!I150,"N/A")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2" t="str" cm="1">
        <f t="array" ref="W156">IF(OR(M156:V156="NO"),"No aceptable","Aceptable")</f>
        <v>Aceptable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3" t="str" cm="1">
        <f t="array" ref="AN156">IF(OR(AA156:AM156="SI"),"Critico","No Critico")</f>
        <v>No Critico</v>
      </c>
    </row>
    <row r="157" spans="1:40">
      <c r="A157" s="52">
        <f>Inicial!A151</f>
        <v>0</v>
      </c>
      <c r="B157" s="53">
        <f>Inicial!B151</f>
        <v>0</v>
      </c>
      <c r="C157" s="53">
        <f>Inicial!C151</f>
        <v>0</v>
      </c>
      <c r="D157" s="54">
        <f>Inicial!D151</f>
        <v>0</v>
      </c>
      <c r="E157" s="52" t="str">
        <f>IF(Inicial!M151="SI",Inicial!E151,"N/A")</f>
        <v>N/A</v>
      </c>
      <c r="F157" s="53" t="str">
        <f>IF(Inicial!M151="SI",Inicial!F151,"N/A")</f>
        <v>N/A</v>
      </c>
      <c r="G157" s="53" t="str">
        <f>IF(Inicial!M151="SI",Inicial!G151,"N/A")</f>
        <v>N/A</v>
      </c>
      <c r="H157" s="53" t="str">
        <f>IF(Inicial!M151="SI",Inicial!H151,"N/A")</f>
        <v>N/A</v>
      </c>
      <c r="I157" s="55" t="str">
        <f>IF(Inicial!M151="SI",Inicial!I151,"N/A")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 t="str" cm="1">
        <f t="array" ref="W157">IF(OR(M157:V157="NO"),"No aceptable","Aceptable")</f>
        <v>Aceptable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3" t="str" cm="1">
        <f t="array" ref="AN157">IF(OR(AA157:AM157="SI"),"Critico","No Critico")</f>
        <v>No Critico</v>
      </c>
    </row>
    <row r="158" spans="1:40">
      <c r="A158" s="52">
        <f>Inicial!A152</f>
        <v>0</v>
      </c>
      <c r="B158" s="53">
        <f>Inicial!B152</f>
        <v>0</v>
      </c>
      <c r="C158" s="53">
        <f>Inicial!C152</f>
        <v>0</v>
      </c>
      <c r="D158" s="54">
        <f>Inicial!D152</f>
        <v>0</v>
      </c>
      <c r="E158" s="52" t="str">
        <f>IF(Inicial!M152="SI",Inicial!E152,"N/A")</f>
        <v>N/A</v>
      </c>
      <c r="F158" s="53" t="str">
        <f>IF(Inicial!M152="SI",Inicial!F152,"N/A")</f>
        <v>N/A</v>
      </c>
      <c r="G158" s="53" t="str">
        <f>IF(Inicial!M152="SI",Inicial!G152,"N/A")</f>
        <v>N/A</v>
      </c>
      <c r="H158" s="53" t="str">
        <f>IF(Inicial!M152="SI",Inicial!H152,"N/A")</f>
        <v>N/A</v>
      </c>
      <c r="I158" s="55" t="str">
        <f>IF(Inicial!M152="SI",Inicial!I152,"N/A")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 t="str" cm="1">
        <f t="array" ref="W158">IF(OR(M158:V158="NO"),"No aceptable","Aceptable")</f>
        <v>Aceptable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3" t="str" cm="1">
        <f t="array" ref="AN158">IF(OR(AA158:AM158="SI"),"Critico","No Critico")</f>
        <v>No Critico</v>
      </c>
    </row>
    <row r="159" spans="1:40">
      <c r="A159" s="52">
        <f>Inicial!A153</f>
        <v>0</v>
      </c>
      <c r="B159" s="53">
        <f>Inicial!B153</f>
        <v>0</v>
      </c>
      <c r="C159" s="53">
        <f>Inicial!C153</f>
        <v>0</v>
      </c>
      <c r="D159" s="54">
        <f>Inicial!D153</f>
        <v>0</v>
      </c>
      <c r="E159" s="52" t="str">
        <f>IF(Inicial!M153="SI",Inicial!E153,"N/A")</f>
        <v>N/A</v>
      </c>
      <c r="F159" s="53" t="str">
        <f>IF(Inicial!M153="SI",Inicial!F153,"N/A")</f>
        <v>N/A</v>
      </c>
      <c r="G159" s="53" t="str">
        <f>IF(Inicial!M153="SI",Inicial!G153,"N/A")</f>
        <v>N/A</v>
      </c>
      <c r="H159" s="53" t="str">
        <f>IF(Inicial!M153="SI",Inicial!H153,"N/A")</f>
        <v>N/A</v>
      </c>
      <c r="I159" s="55" t="str">
        <f>IF(Inicial!M153="SI",Inicial!I153,"N/A")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 t="str" cm="1">
        <f t="array" ref="W159">IF(OR(M159:V159="NO"),"No aceptable","Aceptable")</f>
        <v>Aceptable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3" t="str" cm="1">
        <f t="array" ref="AN159">IF(OR(AA159:AM159="SI"),"Critico","No Critico")</f>
        <v>No Critico</v>
      </c>
    </row>
    <row r="160" spans="1:40">
      <c r="A160" s="52">
        <f>Inicial!A154</f>
        <v>0</v>
      </c>
      <c r="B160" s="53">
        <f>Inicial!B154</f>
        <v>0</v>
      </c>
      <c r="C160" s="53">
        <f>Inicial!C154</f>
        <v>0</v>
      </c>
      <c r="D160" s="54">
        <f>Inicial!D154</f>
        <v>0</v>
      </c>
      <c r="E160" s="52" t="str">
        <f>IF(Inicial!M154="SI",Inicial!E154,"N/A")</f>
        <v>N/A</v>
      </c>
      <c r="F160" s="53" t="str">
        <f>IF(Inicial!M154="SI",Inicial!F154,"N/A")</f>
        <v>N/A</v>
      </c>
      <c r="G160" s="53" t="str">
        <f>IF(Inicial!M154="SI",Inicial!G154,"N/A")</f>
        <v>N/A</v>
      </c>
      <c r="H160" s="53" t="str">
        <f>IF(Inicial!M154="SI",Inicial!H154,"N/A")</f>
        <v>N/A</v>
      </c>
      <c r="I160" s="55" t="str">
        <f>IF(Inicial!M154="SI",Inicial!I154,"N/A")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 t="str" cm="1">
        <f t="array" ref="W160">IF(OR(M160:V160="NO"),"No aceptable","Aceptable")</f>
        <v>Aceptable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3" t="str" cm="1">
        <f t="array" ref="AN160">IF(OR(AA160:AM160="SI"),"Critico","No Critico")</f>
        <v>No Critico</v>
      </c>
    </row>
    <row r="161" spans="1:40">
      <c r="A161" s="52">
        <f>Inicial!A155</f>
        <v>0</v>
      </c>
      <c r="B161" s="53">
        <f>Inicial!B155</f>
        <v>0</v>
      </c>
      <c r="C161" s="53">
        <f>Inicial!C155</f>
        <v>0</v>
      </c>
      <c r="D161" s="54">
        <f>Inicial!D155</f>
        <v>0</v>
      </c>
      <c r="E161" s="52" t="str">
        <f>IF(Inicial!M155="SI",Inicial!E155,"N/A")</f>
        <v>N/A</v>
      </c>
      <c r="F161" s="53" t="str">
        <f>IF(Inicial!M155="SI",Inicial!F155,"N/A")</f>
        <v>N/A</v>
      </c>
      <c r="G161" s="53" t="str">
        <f>IF(Inicial!M155="SI",Inicial!G155,"N/A")</f>
        <v>N/A</v>
      </c>
      <c r="H161" s="53" t="str">
        <f>IF(Inicial!M155="SI",Inicial!H155,"N/A")</f>
        <v>N/A</v>
      </c>
      <c r="I161" s="55" t="str">
        <f>IF(Inicial!M155="SI",Inicial!I155,"N/A")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2" t="str" cm="1">
        <f t="array" ref="W161">IF(OR(M161:V161="NO"),"No aceptable","Aceptable")</f>
        <v>Aceptable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3" t="str" cm="1">
        <f t="array" ref="AN161">IF(OR(AA161:AM161="SI"),"Critico","No Critico")</f>
        <v>No Critico</v>
      </c>
    </row>
    <row r="162" spans="1:40">
      <c r="A162" s="52">
        <f>Inicial!A156</f>
        <v>0</v>
      </c>
      <c r="B162" s="53">
        <f>Inicial!B156</f>
        <v>0</v>
      </c>
      <c r="C162" s="53">
        <f>Inicial!C156</f>
        <v>0</v>
      </c>
      <c r="D162" s="54">
        <f>Inicial!D156</f>
        <v>0</v>
      </c>
      <c r="E162" s="52" t="str">
        <f>IF(Inicial!M156="SI",Inicial!E156,"N/A")</f>
        <v>N/A</v>
      </c>
      <c r="F162" s="53" t="str">
        <f>IF(Inicial!M156="SI",Inicial!F156,"N/A")</f>
        <v>N/A</v>
      </c>
      <c r="G162" s="53" t="str">
        <f>IF(Inicial!M156="SI",Inicial!G156,"N/A")</f>
        <v>N/A</v>
      </c>
      <c r="H162" s="53" t="str">
        <f>IF(Inicial!M156="SI",Inicial!H156,"N/A")</f>
        <v>N/A</v>
      </c>
      <c r="I162" s="55" t="str">
        <f>IF(Inicial!M156="SI",Inicial!I156,"N/A")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2" t="str" cm="1">
        <f t="array" ref="W162">IF(OR(M162:V162="NO"),"No aceptable","Aceptable")</f>
        <v>Aceptable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3" t="str" cm="1">
        <f t="array" ref="AN162">IF(OR(AA162:AM162="SI"),"Critico","No Critico")</f>
        <v>No Critico</v>
      </c>
    </row>
    <row r="163" spans="1:40">
      <c r="A163" s="52">
        <f>Inicial!A157</f>
        <v>0</v>
      </c>
      <c r="B163" s="53">
        <f>Inicial!B157</f>
        <v>0</v>
      </c>
      <c r="C163" s="53">
        <f>Inicial!C157</f>
        <v>0</v>
      </c>
      <c r="D163" s="54">
        <f>Inicial!D157</f>
        <v>0</v>
      </c>
      <c r="E163" s="52" t="str">
        <f>IF(Inicial!M157="SI",Inicial!E157,"N/A")</f>
        <v>N/A</v>
      </c>
      <c r="F163" s="53" t="str">
        <f>IF(Inicial!M157="SI",Inicial!F157,"N/A")</f>
        <v>N/A</v>
      </c>
      <c r="G163" s="53" t="str">
        <f>IF(Inicial!M157="SI",Inicial!G157,"N/A")</f>
        <v>N/A</v>
      </c>
      <c r="H163" s="53" t="str">
        <f>IF(Inicial!M157="SI",Inicial!H157,"N/A")</f>
        <v>N/A</v>
      </c>
      <c r="I163" s="55" t="str">
        <f>IF(Inicial!M157="SI",Inicial!I157,"N/A")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2" t="str" cm="1">
        <f t="array" ref="W163">IF(OR(M163:V163="NO"),"No aceptable","Aceptable")</f>
        <v>Aceptable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3" t="str" cm="1">
        <f t="array" ref="AN163">IF(OR(AA163:AM163="SI"),"Critico","No Critico")</f>
        <v>No Critico</v>
      </c>
    </row>
    <row r="164" spans="1:40">
      <c r="A164" s="52">
        <f>Inicial!A158</f>
        <v>0</v>
      </c>
      <c r="B164" s="53">
        <f>Inicial!B158</f>
        <v>0</v>
      </c>
      <c r="C164" s="53">
        <f>Inicial!C158</f>
        <v>0</v>
      </c>
      <c r="D164" s="54">
        <f>Inicial!D158</f>
        <v>0</v>
      </c>
      <c r="E164" s="52" t="str">
        <f>IF(Inicial!M158="SI",Inicial!E158,"N/A")</f>
        <v>N/A</v>
      </c>
      <c r="F164" s="53" t="str">
        <f>IF(Inicial!M158="SI",Inicial!F158,"N/A")</f>
        <v>N/A</v>
      </c>
      <c r="G164" s="53" t="str">
        <f>IF(Inicial!M158="SI",Inicial!G158,"N/A")</f>
        <v>N/A</v>
      </c>
      <c r="H164" s="53" t="str">
        <f>IF(Inicial!M158="SI",Inicial!H158,"N/A")</f>
        <v>N/A</v>
      </c>
      <c r="I164" s="55" t="str">
        <f>IF(Inicial!M158="SI",Inicial!I158,"N/A")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2" t="str" cm="1">
        <f t="array" ref="W164">IF(OR(M164:V164="NO"),"No aceptable","Aceptable")</f>
        <v>Aceptable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3" t="str" cm="1">
        <f t="array" ref="AN164">IF(OR(AA164:AM164="SI"),"Critico","No Critico")</f>
        <v>No Critico</v>
      </c>
    </row>
    <row r="165" spans="1:40">
      <c r="A165" s="52">
        <f>Inicial!A159</f>
        <v>0</v>
      </c>
      <c r="B165" s="53">
        <f>Inicial!B159</f>
        <v>0</v>
      </c>
      <c r="C165" s="53">
        <f>Inicial!C159</f>
        <v>0</v>
      </c>
      <c r="D165" s="54">
        <f>Inicial!D159</f>
        <v>0</v>
      </c>
      <c r="E165" s="52" t="str">
        <f>IF(Inicial!M159="SI",Inicial!E159,"N/A")</f>
        <v>N/A</v>
      </c>
      <c r="F165" s="53" t="str">
        <f>IF(Inicial!M159="SI",Inicial!F159,"N/A")</f>
        <v>N/A</v>
      </c>
      <c r="G165" s="53" t="str">
        <f>IF(Inicial!M159="SI",Inicial!G159,"N/A")</f>
        <v>N/A</v>
      </c>
      <c r="H165" s="53" t="str">
        <f>IF(Inicial!M159="SI",Inicial!H159,"N/A")</f>
        <v>N/A</v>
      </c>
      <c r="I165" s="55" t="str">
        <f>IF(Inicial!M159="SI",Inicial!I159,"N/A")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2" t="str" cm="1">
        <f t="array" ref="W165">IF(OR(M165:V165="NO"),"No aceptable","Aceptable")</f>
        <v>Aceptable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3" t="str" cm="1">
        <f t="array" ref="AN165">IF(OR(AA165:AM165="SI"),"Critico","No Critico")</f>
        <v>No Critico</v>
      </c>
    </row>
    <row r="166" spans="1:40">
      <c r="A166" s="52">
        <f>Inicial!A160</f>
        <v>0</v>
      </c>
      <c r="B166" s="53">
        <f>Inicial!B160</f>
        <v>0</v>
      </c>
      <c r="C166" s="53">
        <f>Inicial!C160</f>
        <v>0</v>
      </c>
      <c r="D166" s="54">
        <f>Inicial!D160</f>
        <v>0</v>
      </c>
      <c r="E166" s="52" t="str">
        <f>IF(Inicial!M160="SI",Inicial!E160,"N/A")</f>
        <v>N/A</v>
      </c>
      <c r="F166" s="53" t="str">
        <f>IF(Inicial!M160="SI",Inicial!F160,"N/A")</f>
        <v>N/A</v>
      </c>
      <c r="G166" s="53" t="str">
        <f>IF(Inicial!M160="SI",Inicial!G160,"N/A")</f>
        <v>N/A</v>
      </c>
      <c r="H166" s="53" t="str">
        <f>IF(Inicial!M160="SI",Inicial!H160,"N/A")</f>
        <v>N/A</v>
      </c>
      <c r="I166" s="55" t="str">
        <f>IF(Inicial!M160="SI",Inicial!I160,"N/A")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2" t="str" cm="1">
        <f t="array" ref="W166">IF(OR(M166:V166="NO"),"No aceptable","Aceptable")</f>
        <v>Aceptable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3" t="str" cm="1">
        <f t="array" ref="AN166">IF(OR(AA166:AM166="SI"),"Critico","No Critico")</f>
        <v>No Critico</v>
      </c>
    </row>
    <row r="167" spans="1:40">
      <c r="A167" s="52">
        <f>Inicial!A161</f>
        <v>0</v>
      </c>
      <c r="B167" s="53">
        <f>Inicial!B161</f>
        <v>0</v>
      </c>
      <c r="C167" s="53">
        <f>Inicial!C161</f>
        <v>0</v>
      </c>
      <c r="D167" s="54">
        <f>Inicial!D161</f>
        <v>0</v>
      </c>
      <c r="E167" s="52" t="str">
        <f>IF(Inicial!M161="SI",Inicial!E161,"N/A")</f>
        <v>N/A</v>
      </c>
      <c r="F167" s="53" t="str">
        <f>IF(Inicial!M161="SI",Inicial!F161,"N/A")</f>
        <v>N/A</v>
      </c>
      <c r="G167" s="53" t="str">
        <f>IF(Inicial!M161="SI",Inicial!G161,"N/A")</f>
        <v>N/A</v>
      </c>
      <c r="H167" s="53" t="str">
        <f>IF(Inicial!M161="SI",Inicial!H161,"N/A")</f>
        <v>N/A</v>
      </c>
      <c r="I167" s="55" t="str">
        <f>IF(Inicial!M161="SI",Inicial!I161,"N/A")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2" t="str" cm="1">
        <f t="array" ref="W167">IF(OR(M167:V167="NO"),"No aceptable","Aceptable")</f>
        <v>Aceptable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3" t="str" cm="1">
        <f t="array" ref="AN167">IF(OR(AA167:AM167="SI"),"Critico","No Critico")</f>
        <v>No Critico</v>
      </c>
    </row>
    <row r="168" spans="1:40">
      <c r="A168" s="52">
        <f>Inicial!A162</f>
        <v>0</v>
      </c>
      <c r="B168" s="53">
        <f>Inicial!B162</f>
        <v>0</v>
      </c>
      <c r="C168" s="53">
        <f>Inicial!C162</f>
        <v>0</v>
      </c>
      <c r="D168" s="54">
        <f>Inicial!D162</f>
        <v>0</v>
      </c>
      <c r="E168" s="52" t="str">
        <f>IF(Inicial!M162="SI",Inicial!E162,"N/A")</f>
        <v>N/A</v>
      </c>
      <c r="F168" s="53" t="str">
        <f>IF(Inicial!M162="SI",Inicial!F162,"N/A")</f>
        <v>N/A</v>
      </c>
      <c r="G168" s="53" t="str">
        <f>IF(Inicial!M162="SI",Inicial!G162,"N/A")</f>
        <v>N/A</v>
      </c>
      <c r="H168" s="53" t="str">
        <f>IF(Inicial!M162="SI",Inicial!H162,"N/A")</f>
        <v>N/A</v>
      </c>
      <c r="I168" s="55" t="str">
        <f>IF(Inicial!M162="SI",Inicial!I162,"N/A")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2" t="str" cm="1">
        <f t="array" ref="W168">IF(OR(M168:V168="NO"),"No aceptable","Aceptable")</f>
        <v>Aceptable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3" t="str" cm="1">
        <f t="array" ref="AN168">IF(OR(AA168:AM168="SI"),"Critico","No Critico")</f>
        <v>No Critico</v>
      </c>
    </row>
    <row r="169" spans="1:40">
      <c r="A169" s="52">
        <f>Inicial!A163</f>
        <v>0</v>
      </c>
      <c r="B169" s="53">
        <f>Inicial!B163</f>
        <v>0</v>
      </c>
      <c r="C169" s="53">
        <f>Inicial!C163</f>
        <v>0</v>
      </c>
      <c r="D169" s="54">
        <f>Inicial!D163</f>
        <v>0</v>
      </c>
      <c r="E169" s="52" t="str">
        <f>IF(Inicial!M163="SI",Inicial!E163,"N/A")</f>
        <v>N/A</v>
      </c>
      <c r="F169" s="53" t="str">
        <f>IF(Inicial!M163="SI",Inicial!F163,"N/A")</f>
        <v>N/A</v>
      </c>
      <c r="G169" s="53" t="str">
        <f>IF(Inicial!M163="SI",Inicial!G163,"N/A")</f>
        <v>N/A</v>
      </c>
      <c r="H169" s="53" t="str">
        <f>IF(Inicial!M163="SI",Inicial!H163,"N/A")</f>
        <v>N/A</v>
      </c>
      <c r="I169" s="55" t="str">
        <f>IF(Inicial!M163="SI",Inicial!I163,"N/A")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 t="str" cm="1">
        <f t="array" ref="W169">IF(OR(M169:V169="NO"),"No aceptable","Aceptable")</f>
        <v>Aceptable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3" t="str" cm="1">
        <f t="array" ref="AN169">IF(OR(AA169:AM169="SI"),"Critico","No Critico")</f>
        <v>No Critico</v>
      </c>
    </row>
    <row r="170" spans="1:40">
      <c r="A170" s="52">
        <f>Inicial!A164</f>
        <v>0</v>
      </c>
      <c r="B170" s="53">
        <f>Inicial!B164</f>
        <v>0</v>
      </c>
      <c r="C170" s="53">
        <f>Inicial!C164</f>
        <v>0</v>
      </c>
      <c r="D170" s="54">
        <f>Inicial!D164</f>
        <v>0</v>
      </c>
      <c r="E170" s="52" t="str">
        <f>IF(Inicial!M164="SI",Inicial!E164,"N/A")</f>
        <v>N/A</v>
      </c>
      <c r="F170" s="53" t="str">
        <f>IF(Inicial!M164="SI",Inicial!F164,"N/A")</f>
        <v>N/A</v>
      </c>
      <c r="G170" s="53" t="str">
        <f>IF(Inicial!M164="SI",Inicial!G164,"N/A")</f>
        <v>N/A</v>
      </c>
      <c r="H170" s="53" t="str">
        <f>IF(Inicial!M164="SI",Inicial!H164,"N/A")</f>
        <v>N/A</v>
      </c>
      <c r="I170" s="55" t="str">
        <f>IF(Inicial!M164="SI",Inicial!I164,"N/A")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2" t="str" cm="1">
        <f t="array" ref="W170">IF(OR(M170:V170="NO"),"No aceptable","Aceptable")</f>
        <v>Aceptable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3" t="str" cm="1">
        <f t="array" ref="AN170">IF(OR(AA170:AM170="SI"),"Critico","No Critico")</f>
        <v>No Critico</v>
      </c>
    </row>
    <row r="171" spans="1:40">
      <c r="A171" s="52">
        <f>Inicial!A165</f>
        <v>0</v>
      </c>
      <c r="B171" s="53">
        <f>Inicial!B165</f>
        <v>0</v>
      </c>
      <c r="C171" s="53">
        <f>Inicial!C165</f>
        <v>0</v>
      </c>
      <c r="D171" s="54">
        <f>Inicial!D165</f>
        <v>0</v>
      </c>
      <c r="E171" s="52" t="str">
        <f>IF(Inicial!M165="SI",Inicial!E165,"N/A")</f>
        <v>N/A</v>
      </c>
      <c r="F171" s="53" t="str">
        <f>IF(Inicial!M165="SI",Inicial!F165,"N/A")</f>
        <v>N/A</v>
      </c>
      <c r="G171" s="53" t="str">
        <f>IF(Inicial!M165="SI",Inicial!G165,"N/A")</f>
        <v>N/A</v>
      </c>
      <c r="H171" s="53" t="str">
        <f>IF(Inicial!M165="SI",Inicial!H165,"N/A")</f>
        <v>N/A</v>
      </c>
      <c r="I171" s="55" t="str">
        <f>IF(Inicial!M165="SI",Inicial!I165,"N/A")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 t="str" cm="1">
        <f t="array" ref="W171">IF(OR(M171:V171="NO"),"No aceptable","Aceptable")</f>
        <v>Aceptable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3" t="str" cm="1">
        <f t="array" ref="AN171">IF(OR(AA171:AM171="SI"),"Critico","No Critico")</f>
        <v>No Critico</v>
      </c>
    </row>
    <row r="172" spans="1:40">
      <c r="A172" s="52">
        <f>Inicial!A166</f>
        <v>0</v>
      </c>
      <c r="B172" s="53">
        <f>Inicial!B166</f>
        <v>0</v>
      </c>
      <c r="C172" s="53">
        <f>Inicial!C166</f>
        <v>0</v>
      </c>
      <c r="D172" s="54">
        <f>Inicial!D166</f>
        <v>0</v>
      </c>
      <c r="E172" s="52" t="str">
        <f>IF(Inicial!M166="SI",Inicial!E166,"N/A")</f>
        <v>N/A</v>
      </c>
      <c r="F172" s="53" t="str">
        <f>IF(Inicial!M166="SI",Inicial!F166,"N/A")</f>
        <v>N/A</v>
      </c>
      <c r="G172" s="53" t="str">
        <f>IF(Inicial!M166="SI",Inicial!G166,"N/A")</f>
        <v>N/A</v>
      </c>
      <c r="H172" s="53" t="str">
        <f>IF(Inicial!M166="SI",Inicial!H166,"N/A")</f>
        <v>N/A</v>
      </c>
      <c r="I172" s="55" t="str">
        <f>IF(Inicial!M166="SI",Inicial!I166,"N/A")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 t="str" cm="1">
        <f t="array" ref="W172">IF(OR(M172:V172="NO"),"No aceptable","Aceptable")</f>
        <v>Aceptable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3" t="str" cm="1">
        <f t="array" ref="AN172">IF(OR(AA172:AM172="SI"),"Critico","No Critico")</f>
        <v>No Critico</v>
      </c>
    </row>
    <row r="173" spans="1:40">
      <c r="A173" s="52">
        <f>Inicial!A167</f>
        <v>0</v>
      </c>
      <c r="B173" s="53"/>
      <c r="C173" s="53"/>
      <c r="D173" s="54"/>
      <c r="E173" s="52"/>
      <c r="F173" s="53"/>
      <c r="G173" s="53"/>
      <c r="H173" s="53"/>
      <c r="I173" s="55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 t="str" cm="1">
        <f t="array" ref="W173">IF(OR(M173:V173="NO"),"No aceptable","Aceptable")</f>
        <v>Aceptable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3" t="str" cm="1">
        <f t="array" ref="AN173">IF(OR(AA173:AM173="SI"),"Critico","No Critico")</f>
        <v>No Critico</v>
      </c>
    </row>
    <row r="174" spans="1:40">
      <c r="A174" s="52">
        <f>Inicial!A168</f>
        <v>0</v>
      </c>
      <c r="B174" s="53"/>
      <c r="C174" s="53"/>
      <c r="D174" s="54"/>
      <c r="E174" s="52"/>
      <c r="F174" s="53"/>
      <c r="G174" s="53"/>
      <c r="H174" s="53"/>
      <c r="I174" s="55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 t="str" cm="1">
        <f t="array" ref="W174">IF(OR(M174:V174="NO"),"No aceptable","Aceptable")</f>
        <v>Aceptable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3" t="str" cm="1">
        <f t="array" ref="AN174">IF(OR(AA174:AM174="SI"),"Critico","No Critico")</f>
        <v>No Critico</v>
      </c>
    </row>
    <row r="175" spans="1:40">
      <c r="A175" s="52">
        <f>Inicial!A169</f>
        <v>0</v>
      </c>
      <c r="B175" s="53"/>
      <c r="C175" s="53"/>
      <c r="D175" s="54"/>
      <c r="E175" s="52"/>
      <c r="F175" s="53"/>
      <c r="G175" s="53"/>
      <c r="H175" s="53"/>
      <c r="I175" s="55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2" t="str" cm="1">
        <f t="array" ref="W175">IF(OR(M175:V175="NO"),"No aceptable","Aceptable")</f>
        <v>Aceptable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3" t="str" cm="1">
        <f t="array" ref="AN175">IF(OR(AA175:AM175="SI"),"Critico","No Critico")</f>
        <v>No Critico</v>
      </c>
    </row>
    <row r="176" spans="1:40">
      <c r="A176" s="52">
        <f>Inicial!A170</f>
        <v>0</v>
      </c>
      <c r="B176" s="53"/>
      <c r="C176" s="53"/>
      <c r="D176" s="54"/>
      <c r="E176" s="52"/>
      <c r="F176" s="53"/>
      <c r="G176" s="53"/>
      <c r="H176" s="53"/>
      <c r="I176" s="55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 t="str" cm="1">
        <f t="array" ref="W176">IF(OR(M176:V176="NO"),"No aceptable","Aceptable")</f>
        <v>Aceptable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3" t="str" cm="1">
        <f t="array" ref="AN176">IF(OR(AA176:AM176="SI"),"Critico","No Critico")</f>
        <v>No Critico</v>
      </c>
    </row>
    <row r="177" spans="1:40">
      <c r="A177" s="52">
        <f>Inicial!A171</f>
        <v>0</v>
      </c>
      <c r="B177" s="53"/>
      <c r="C177" s="53"/>
      <c r="D177" s="54"/>
      <c r="E177" s="52"/>
      <c r="F177" s="53"/>
      <c r="G177" s="53"/>
      <c r="H177" s="53"/>
      <c r="I177" s="55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 t="str" cm="1">
        <f t="array" ref="W177">IF(OR(M177:V177="NO"),"No aceptable","Aceptable")</f>
        <v>Aceptable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3" t="str" cm="1">
        <f t="array" ref="AN177">IF(OR(AA177:AM177="SI"),"Critico","No Critico")</f>
        <v>No Critico</v>
      </c>
    </row>
    <row r="178" spans="1:40">
      <c r="A178" s="52">
        <f>Inicial!A172</f>
        <v>0</v>
      </c>
      <c r="B178" s="53"/>
      <c r="C178" s="53"/>
      <c r="D178" s="54"/>
      <c r="E178" s="52"/>
      <c r="F178" s="53"/>
      <c r="G178" s="53"/>
      <c r="H178" s="53"/>
      <c r="I178" s="55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 t="str" cm="1">
        <f t="array" ref="W178">IF(OR(M178:V178="NO"),"No aceptable","Aceptable")</f>
        <v>Aceptable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3" t="str" cm="1">
        <f t="array" ref="AN178">IF(OR(AA178:AM178="SI"),"Critico","No Critico")</f>
        <v>No Critico</v>
      </c>
    </row>
    <row r="179" spans="1:40">
      <c r="A179" s="52"/>
      <c r="B179" s="53"/>
      <c r="C179" s="53"/>
      <c r="D179" s="54"/>
      <c r="E179" s="52"/>
      <c r="F179" s="53"/>
      <c r="G179" s="53"/>
      <c r="H179" s="53"/>
      <c r="I179" s="55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40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40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40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40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40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40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40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40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40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40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40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40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40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4:39"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4:39"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4:39"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4:39"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4:39"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4:39"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4:39"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4:39"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4:39"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4:39"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4:39"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4:39"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4:39"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4:39"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4:39"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4:39"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4:39"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4:39"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4:39"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4:39"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4:39"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4:39"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4:39"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4:39"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4:39"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 spans="24:39"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 spans="24:39"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 spans="24:39"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</sheetData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V179">
    <cfRule type="cellIs" dxfId="37" priority="2" operator="equal">
      <formula>"N/A"</formula>
    </cfRule>
    <cfRule type="cellIs" dxfId="36" priority="11" operator="equal">
      <formula>"NO"</formula>
    </cfRule>
    <cfRule type="cellIs" dxfId="35" priority="12" operator="equal">
      <formula>"SI"</formula>
    </cfRule>
  </conditionalFormatting>
  <conditionalFormatting sqref="W3:W178">
    <cfRule type="cellIs" dxfId="34" priority="5" operator="equal">
      <formula>"No Aceptable"</formula>
    </cfRule>
    <cfRule type="cellIs" dxfId="33" priority="6" operator="equal">
      <formula>"Aceptable"</formula>
    </cfRule>
  </conditionalFormatting>
  <conditionalFormatting sqref="W179 J180:W1048576">
    <cfRule type="cellIs" dxfId="32" priority="13" operator="equal">
      <formula>"NO"</formula>
    </cfRule>
    <cfRule type="cellIs" dxfId="31" priority="14" operator="equal">
      <formula>"SI"</formula>
    </cfRule>
  </conditionalFormatting>
  <conditionalFormatting sqref="X3:AM298">
    <cfRule type="cellIs" dxfId="30" priority="1" operator="equal">
      <formula>"N/A"</formula>
    </cfRule>
    <cfRule type="cellIs" dxfId="29" priority="9" operator="equal">
      <formula>"SI"</formula>
    </cfRule>
    <cfRule type="cellIs" dxfId="28" priority="10" operator="equal">
      <formula>"NO"</formula>
    </cfRule>
  </conditionalFormatting>
  <conditionalFormatting sqref="AN3:AN178">
    <cfRule type="cellIs" dxfId="27" priority="3" operator="equal">
      <formula>"No critico"</formula>
    </cfRule>
    <cfRule type="cellIs" dxfId="26" priority="4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J3:V179 X3:AM298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78"/>
  <sheetViews>
    <sheetView zoomScale="69" zoomScaleNormal="69" workbookViewId="0">
      <pane xSplit="9" ySplit="2" topLeftCell="J3" activePane="bottomRight" state="frozen"/>
      <selection pane="bottomRight" activeCell="K6" sqref="K6"/>
      <selection pane="bottomLeft" activeCell="A3" sqref="A3"/>
      <selection pane="topRight" activeCell="J1" sqref="J1"/>
    </sheetView>
  </sheetViews>
  <sheetFormatPr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3.7109375" style="1" customWidth="1"/>
    <col min="11" max="11" width="20.85546875" style="1" customWidth="1"/>
    <col min="12" max="12" width="18.28515625" customWidth="1"/>
    <col min="13" max="13" width="18.7109375" customWidth="1"/>
    <col min="14" max="14" width="15" customWidth="1"/>
    <col min="15" max="15" width="14.28515625" customWidth="1"/>
    <col min="16" max="18" width="18.28515625" customWidth="1"/>
    <col min="19" max="21" width="19.85546875" customWidth="1"/>
    <col min="22" max="22" width="29" customWidth="1"/>
    <col min="23" max="23" width="28.7109375" customWidth="1"/>
    <col min="24" max="24" width="28.7109375" style="4" customWidth="1"/>
    <col min="25" max="28" width="16.7109375" customWidth="1"/>
    <col min="29" max="39" width="28.7109375" customWidth="1"/>
    <col min="40" max="40" width="13.7109375" customWidth="1"/>
  </cols>
  <sheetData>
    <row r="1" spans="1:46" ht="60" customHeight="1">
      <c r="A1" s="171" t="s">
        <v>492</v>
      </c>
      <c r="B1" s="171"/>
      <c r="C1" s="171"/>
      <c r="D1" s="171"/>
      <c r="E1" s="171"/>
      <c r="F1" s="146" t="s">
        <v>321</v>
      </c>
      <c r="G1" s="146"/>
      <c r="H1" s="146" t="s">
        <v>322</v>
      </c>
      <c r="I1" s="146"/>
      <c r="J1" s="168" t="s">
        <v>493</v>
      </c>
      <c r="K1" s="169"/>
      <c r="L1" s="169"/>
      <c r="M1" s="170"/>
      <c r="N1" s="168" t="s">
        <v>494</v>
      </c>
      <c r="O1" s="169"/>
      <c r="P1" s="169"/>
      <c r="Q1" s="168" t="s">
        <v>495</v>
      </c>
      <c r="R1" s="169"/>
      <c r="S1" s="169"/>
      <c r="T1" s="168" t="s">
        <v>496</v>
      </c>
      <c r="U1" s="169"/>
      <c r="V1" s="169"/>
      <c r="W1" s="17" t="s">
        <v>497</v>
      </c>
      <c r="X1" s="65" t="s">
        <v>403</v>
      </c>
      <c r="Y1" s="168" t="s">
        <v>493</v>
      </c>
      <c r="Z1" s="169"/>
      <c r="AA1" s="169"/>
      <c r="AB1" s="170"/>
      <c r="AC1" s="168" t="s">
        <v>498</v>
      </c>
      <c r="AD1" s="169"/>
      <c r="AE1" s="169"/>
      <c r="AF1" s="170"/>
      <c r="AG1" s="168" t="s">
        <v>499</v>
      </c>
      <c r="AH1" s="169"/>
      <c r="AI1" s="170"/>
      <c r="AJ1" s="168" t="s">
        <v>500</v>
      </c>
      <c r="AK1" s="169"/>
      <c r="AL1" s="170"/>
      <c r="AM1" s="16" t="s">
        <v>501</v>
      </c>
      <c r="AN1" s="16" t="s">
        <v>403</v>
      </c>
      <c r="AO1" s="165" t="s">
        <v>325</v>
      </c>
      <c r="AP1" s="166"/>
      <c r="AQ1" s="166"/>
      <c r="AR1" s="166"/>
      <c r="AS1" s="166"/>
      <c r="AT1" s="167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326</v>
      </c>
      <c r="G2" s="9" t="s">
        <v>327</v>
      </c>
      <c r="H2" s="9" t="s">
        <v>328</v>
      </c>
      <c r="I2" s="9" t="s">
        <v>329</v>
      </c>
      <c r="J2" s="13" t="s">
        <v>502</v>
      </c>
      <c r="K2" s="13" t="s">
        <v>503</v>
      </c>
      <c r="L2" s="13" t="s">
        <v>504</v>
      </c>
      <c r="M2" s="13" t="s">
        <v>505</v>
      </c>
      <c r="N2" s="13" t="s">
        <v>506</v>
      </c>
      <c r="O2" s="13" t="s">
        <v>507</v>
      </c>
      <c r="P2" s="13" t="s">
        <v>508</v>
      </c>
      <c r="Q2" s="13" t="s">
        <v>509</v>
      </c>
      <c r="R2" s="13" t="s">
        <v>510</v>
      </c>
      <c r="S2" s="13" t="s">
        <v>511</v>
      </c>
      <c r="T2" s="18" t="s">
        <v>512</v>
      </c>
      <c r="U2" s="18" t="s">
        <v>513</v>
      </c>
      <c r="V2" s="18" t="s">
        <v>514</v>
      </c>
      <c r="W2" s="13" t="s">
        <v>515</v>
      </c>
      <c r="X2" s="65" t="s">
        <v>336</v>
      </c>
      <c r="Y2" s="19" t="s">
        <v>516</v>
      </c>
      <c r="Z2" s="19" t="s">
        <v>517</v>
      </c>
      <c r="AA2" s="19" t="s">
        <v>518</v>
      </c>
      <c r="AB2" s="19" t="s">
        <v>519</v>
      </c>
      <c r="AC2" s="19" t="s">
        <v>520</v>
      </c>
      <c r="AD2" s="19" t="s">
        <v>521</v>
      </c>
      <c r="AE2" s="19" t="s">
        <v>522</v>
      </c>
      <c r="AF2" s="13" t="s">
        <v>523</v>
      </c>
      <c r="AG2" s="13" t="s">
        <v>524</v>
      </c>
      <c r="AH2" s="13" t="s">
        <v>525</v>
      </c>
      <c r="AI2" s="13" t="s">
        <v>526</v>
      </c>
      <c r="AJ2" s="13" t="s">
        <v>527</v>
      </c>
      <c r="AK2" s="13" t="s">
        <v>528</v>
      </c>
      <c r="AL2" s="13" t="s">
        <v>529</v>
      </c>
      <c r="AM2" s="13" t="s">
        <v>530</v>
      </c>
      <c r="AN2" s="13" t="s">
        <v>343</v>
      </c>
      <c r="AO2" s="13" t="s">
        <v>344</v>
      </c>
      <c r="AP2" s="13" t="s">
        <v>345</v>
      </c>
      <c r="AQ2" s="13" t="s">
        <v>346</v>
      </c>
      <c r="AR2" s="13" t="s">
        <v>347</v>
      </c>
      <c r="AS2" s="13" t="s">
        <v>348</v>
      </c>
      <c r="AT2" s="13" t="s">
        <v>349</v>
      </c>
    </row>
    <row r="3" spans="1:46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IF(Inicial!N3="SI",Inicial!E3,"N/A")</f>
        <v>N/A</v>
      </c>
      <c r="F3" s="53" t="str">
        <f>IF(Inicial!N3="SI",Inicial!F3,"N/A")</f>
        <v>N/A</v>
      </c>
      <c r="G3" s="53" t="str">
        <f>IF(Inicial!N3="SI",Inicial!G3,"N/A")</f>
        <v>N/A</v>
      </c>
      <c r="H3" s="53" t="str">
        <f>IF(Inicial!N3="SI",Inicial!H3,"N/A")</f>
        <v>N/A</v>
      </c>
      <c r="I3" s="55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66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IF(Inicial!N4="SI",Inicial!E4,"N/A")</f>
        <v>N/A</v>
      </c>
      <c r="F4" s="53" t="str">
        <f>IF(Inicial!N4="SI",Inicial!F4,"N/A")</f>
        <v>N/A</v>
      </c>
      <c r="G4" s="53" t="str">
        <f>IF(Inicial!N4="SI",Inicial!G4,"N/A")</f>
        <v>N/A</v>
      </c>
      <c r="H4" s="53" t="str">
        <f>IF(Inicial!N4="SI",Inicial!H4,"N/A")</f>
        <v>N/A</v>
      </c>
      <c r="I4" s="55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66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IF(Inicial!N5="SI",Inicial!E5,"N/A")</f>
        <v>N/A</v>
      </c>
      <c r="F5" s="53" t="str">
        <f>IF(Inicial!N5="SI",Inicial!F5,"N/A")</f>
        <v>N/A</v>
      </c>
      <c r="G5" s="53" t="str">
        <f>IF(Inicial!N5="SI",Inicial!G5,"N/A")</f>
        <v>N/A</v>
      </c>
      <c r="H5" s="53" t="str">
        <f>IF(Inicial!N5="SI",Inicial!H5,"N/A")</f>
        <v>N/A</v>
      </c>
      <c r="I5" s="55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66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IF(Inicial!N6="SI",Inicial!E6,"N/A")</f>
        <v>N/A</v>
      </c>
      <c r="F6" s="53" t="str">
        <f>IF(Inicial!N6="SI",Inicial!F6,"N/A")</f>
        <v>N/A</v>
      </c>
      <c r="G6" s="53" t="str">
        <f>IF(Inicial!N6="SI",Inicial!G6,"N/A")</f>
        <v>N/A</v>
      </c>
      <c r="H6" s="53" t="str">
        <f>IF(Inicial!N6="SI",Inicial!H6,"N/A")</f>
        <v>N/A</v>
      </c>
      <c r="I6" s="55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66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IF(Inicial!N7="SI",Inicial!E7,"N/A")</f>
        <v>N/A</v>
      </c>
      <c r="F7" s="53" t="str">
        <f>IF(Inicial!N7="SI",Inicial!F7,"N/A")</f>
        <v>N/A</v>
      </c>
      <c r="G7" s="53" t="str">
        <f>IF(Inicial!N7="SI",Inicial!G7,"N/A")</f>
        <v>N/A</v>
      </c>
      <c r="H7" s="53" t="str">
        <f>IF(Inicial!N7="SI",Inicial!H7,"N/A")</f>
        <v>N/A</v>
      </c>
      <c r="I7" s="55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66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IF(Inicial!N8="SI",Inicial!E8,"N/A")</f>
        <v>N/A</v>
      </c>
      <c r="F8" s="53" t="str">
        <f>IF(Inicial!N8="SI",Inicial!F8,"N/A")</f>
        <v>N/A</v>
      </c>
      <c r="G8" s="53" t="str">
        <f>IF(Inicial!N8="SI",Inicial!G8,"N/A")</f>
        <v>N/A</v>
      </c>
      <c r="H8" s="53" t="str">
        <f>IF(Inicial!N8="SI",Inicial!H8,"N/A")</f>
        <v>N/A</v>
      </c>
      <c r="I8" s="55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66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IF(Inicial!N9="SI",Inicial!E9,"N/A")</f>
        <v>N/A</v>
      </c>
      <c r="F9" s="53" t="str">
        <f>IF(Inicial!N9="SI",Inicial!F9,"N/A")</f>
        <v>N/A</v>
      </c>
      <c r="G9" s="53" t="str">
        <f>IF(Inicial!N9="SI",Inicial!G9,"N/A")</f>
        <v>N/A</v>
      </c>
      <c r="H9" s="53" t="str">
        <f>IF(Inicial!N9="SI",Inicial!H9,"N/A")</f>
        <v>N/A</v>
      </c>
      <c r="I9" s="55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66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IF(Inicial!N10="SI",Inicial!E10,"N/A")</f>
        <v>N/A</v>
      </c>
      <c r="F10" s="53" t="str">
        <f>IF(Inicial!N10="SI",Inicial!F10,"N/A")</f>
        <v>N/A</v>
      </c>
      <c r="G10" s="53" t="str">
        <f>IF(Inicial!N10="SI",Inicial!G10,"N/A")</f>
        <v>N/A</v>
      </c>
      <c r="H10" s="53" t="str">
        <f>IF(Inicial!N10="SI",Inicial!H10,"N/A")</f>
        <v>N/A</v>
      </c>
      <c r="I10" s="55" t="str">
        <f>IF(Inicial!N10="SI",Inicial!I10,"N/A")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66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IF(Inicial!N11="SI",Inicial!E11,"N/A")</f>
        <v>N/A</v>
      </c>
      <c r="F11" s="53" t="str">
        <f>IF(Inicial!N11="SI",Inicial!F11,"N/A")</f>
        <v>N/A</v>
      </c>
      <c r="G11" s="53" t="str">
        <f>IF(Inicial!N11="SI",Inicial!G11,"N/A")</f>
        <v>N/A</v>
      </c>
      <c r="H11" s="53" t="str">
        <f>IF(Inicial!N11="SI",Inicial!H11,"N/A")</f>
        <v>N/A</v>
      </c>
      <c r="I11" s="55" t="str">
        <f>IF(Inicial!N11="SI",Inicial!I11,"N/A")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66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IF(Inicial!N12="SI",Inicial!E12,"N/A")</f>
        <v>N/A</v>
      </c>
      <c r="F12" s="53" t="str">
        <f>IF(Inicial!N12="SI",Inicial!F12,"N/A")</f>
        <v>N/A</v>
      </c>
      <c r="G12" s="53" t="str">
        <f>IF(Inicial!N12="SI",Inicial!G12,"N/A")</f>
        <v>N/A</v>
      </c>
      <c r="H12" s="53" t="str">
        <f>IF(Inicial!N12="SI",Inicial!H12,"N/A")</f>
        <v>N/A</v>
      </c>
      <c r="I12" s="55" t="str">
        <f>IF(Inicial!N12="SI",Inicial!I12,"N/A")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66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IF(Inicial!N13="SI",Inicial!E13,"N/A")</f>
        <v>N/A</v>
      </c>
      <c r="F13" s="53" t="str">
        <f>IF(Inicial!N13="SI",Inicial!F13,"N/A")</f>
        <v>N/A</v>
      </c>
      <c r="G13" s="53" t="str">
        <f>IF(Inicial!N13="SI",Inicial!G13,"N/A")</f>
        <v>N/A</v>
      </c>
      <c r="H13" s="53" t="str">
        <f>IF(Inicial!N13="SI",Inicial!H13,"N/A")</f>
        <v>N/A</v>
      </c>
      <c r="I13" s="55" t="str">
        <f>IF(Inicial!N13="SI",Inicial!I13,"N/A")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66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 ht="38.2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IF(Inicial!N14="SI",Inicial!E14,"N/A")</f>
        <v>N/A</v>
      </c>
      <c r="F14" s="53" t="str">
        <f>IF(Inicial!N14="SI",Inicial!F14,"N/A")</f>
        <v>N/A</v>
      </c>
      <c r="G14" s="53" t="str">
        <f>IF(Inicial!N14="SI",Inicial!G14,"N/A")</f>
        <v>N/A</v>
      </c>
      <c r="H14" s="53" t="str">
        <f>IF(Inicial!N14="SI",Inicial!H14,"N/A")</f>
        <v>N/A</v>
      </c>
      <c r="I14" s="55" t="str">
        <f>IF(Inicial!N14="SI",Inicial!I14,"N/A")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66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 ht="38.2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IF(Inicial!N15="SI",Inicial!E15,"N/A")</f>
        <v>N/A</v>
      </c>
      <c r="F15" s="53" t="str">
        <f>IF(Inicial!N15="SI",Inicial!F15,"N/A")</f>
        <v>N/A</v>
      </c>
      <c r="G15" s="53" t="str">
        <f>IF(Inicial!N15="SI",Inicial!G15,"N/A")</f>
        <v>N/A</v>
      </c>
      <c r="H15" s="53" t="str">
        <f>IF(Inicial!N15="SI",Inicial!H15,"N/A")</f>
        <v>N/A</v>
      </c>
      <c r="I15" s="55" t="str">
        <f>IF(Inicial!N15="SI",Inicial!I15,"N/A")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66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 ht="38.2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IF(Inicial!N16="SI",Inicial!E16,"N/A")</f>
        <v>N/A</v>
      </c>
      <c r="F16" s="53" t="str">
        <f>IF(Inicial!N16="SI",Inicial!F16,"N/A")</f>
        <v>N/A</v>
      </c>
      <c r="G16" s="53" t="str">
        <f>IF(Inicial!N16="SI",Inicial!G16,"N/A")</f>
        <v>N/A</v>
      </c>
      <c r="H16" s="53" t="str">
        <f>IF(Inicial!N16="SI",Inicial!H16,"N/A")</f>
        <v>N/A</v>
      </c>
      <c r="I16" s="55" t="str">
        <f>IF(Inicial!N16="SI",Inicial!I16,"N/A")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66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 ht="38.2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IF(Inicial!N17="SI",Inicial!E17,"N/A")</f>
        <v>N/A</v>
      </c>
      <c r="F17" s="53" t="str">
        <f>IF(Inicial!N17="SI",Inicial!F17,"N/A")</f>
        <v>N/A</v>
      </c>
      <c r="G17" s="53" t="str">
        <f>IF(Inicial!N17="SI",Inicial!G17,"N/A")</f>
        <v>N/A</v>
      </c>
      <c r="H17" s="53" t="str">
        <f>IF(Inicial!N17="SI",Inicial!H17,"N/A")</f>
        <v>N/A</v>
      </c>
      <c r="I17" s="55" t="str">
        <f>IF(Inicial!N17="SI",Inicial!I17,"N/A")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66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IF(Inicial!N18="SI",Inicial!E18,"N/A")</f>
        <v>N/A</v>
      </c>
      <c r="F18" s="53" t="str">
        <f>IF(Inicial!N18="SI",Inicial!F18,"N/A")</f>
        <v>N/A</v>
      </c>
      <c r="G18" s="53" t="str">
        <f>IF(Inicial!N18="SI",Inicial!G18,"N/A")</f>
        <v>N/A</v>
      </c>
      <c r="H18" s="53" t="str">
        <f>IF(Inicial!N18="SI",Inicial!H18,"N/A")</f>
        <v>N/A</v>
      </c>
      <c r="I18" s="55" t="str">
        <f>IF(Inicial!N18="SI",Inicial!I18,"N/A")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66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 ht="38.2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IF(Inicial!N19="SI",Inicial!E19,"N/A")</f>
        <v>N/A</v>
      </c>
      <c r="F19" s="53" t="str">
        <f>IF(Inicial!N19="SI",Inicial!F19,"N/A")</f>
        <v>N/A</v>
      </c>
      <c r="G19" s="53" t="str">
        <f>IF(Inicial!N19="SI",Inicial!G19,"N/A")</f>
        <v>N/A</v>
      </c>
      <c r="H19" s="53" t="str">
        <f>IF(Inicial!N19="SI",Inicial!H19,"N/A")</f>
        <v>N/A</v>
      </c>
      <c r="I19" s="55" t="str">
        <f>IF(Inicial!N19="SI",Inicial!I19,"N/A")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66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 ht="38.2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IF(Inicial!N20="SI",Inicial!E20,"N/A")</f>
        <v>N/A</v>
      </c>
      <c r="F20" s="53" t="str">
        <f>IF(Inicial!N20="SI",Inicial!F20,"N/A")</f>
        <v>N/A</v>
      </c>
      <c r="G20" s="53" t="str">
        <f>IF(Inicial!N20="SI",Inicial!G20,"N/A")</f>
        <v>N/A</v>
      </c>
      <c r="H20" s="53" t="str">
        <f>IF(Inicial!N20="SI",Inicial!H20,"N/A")</f>
        <v>N/A</v>
      </c>
      <c r="I20" s="55" t="str">
        <f>IF(Inicial!N20="SI",Inicial!I20,"N/A")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66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 ht="38.2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IF(Inicial!N21="SI",Inicial!E21,"N/A")</f>
        <v>N/A</v>
      </c>
      <c r="F21" s="53" t="str">
        <f>IF(Inicial!N21="SI",Inicial!F21,"N/A")</f>
        <v>N/A</v>
      </c>
      <c r="G21" s="53" t="str">
        <f>IF(Inicial!N21="SI",Inicial!G21,"N/A")</f>
        <v>N/A</v>
      </c>
      <c r="H21" s="53" t="str">
        <f>IF(Inicial!N21="SI",Inicial!H21,"N/A")</f>
        <v>N/A</v>
      </c>
      <c r="I21" s="55" t="str">
        <f>IF(Inicial!N21="SI",Inicial!I21,"N/A")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66" t="str" cm="1">
        <f t="array" ref="X21">IF(OR(J21:W21="NO"),"No aceptable","Aceptable")</f>
        <v>Aceptable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 ht="38.2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IF(Inicial!N22="SI",Inicial!E22,"N/A")</f>
        <v>N/A</v>
      </c>
      <c r="F22" s="53" t="str">
        <f>IF(Inicial!N22="SI",Inicial!F22,"N/A")</f>
        <v>N/A</v>
      </c>
      <c r="G22" s="53" t="str">
        <f>IF(Inicial!N22="SI",Inicial!G22,"N/A")</f>
        <v>N/A</v>
      </c>
      <c r="H22" s="53" t="str">
        <f>IF(Inicial!N22="SI",Inicial!H22,"N/A")</f>
        <v>N/A</v>
      </c>
      <c r="I22" s="55" t="str">
        <f>IF(Inicial!N22="SI",Inicial!I22,"N/A")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66" t="str" cm="1">
        <f t="array" ref="X22">IF(OR(J22:W22="NO"),"No aceptable","Aceptable")</f>
        <v>Aceptable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 ht="38.2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IF(Inicial!N23="SI",Inicial!E23,"N/A")</f>
        <v>N/A</v>
      </c>
      <c r="F23" s="53" t="str">
        <f>IF(Inicial!N23="SI",Inicial!F23,"N/A")</f>
        <v>N/A</v>
      </c>
      <c r="G23" s="53" t="str">
        <f>IF(Inicial!N23="SI",Inicial!G23,"N/A")</f>
        <v>N/A</v>
      </c>
      <c r="H23" s="53" t="str">
        <f>IF(Inicial!N23="SI",Inicial!H23,"N/A")</f>
        <v>N/A</v>
      </c>
      <c r="I23" s="55" t="str">
        <f>IF(Inicial!N23="SI",Inicial!I23,"N/A")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66" t="str" cm="1">
        <f t="array" ref="X23">IF(OR(J23:W23="NO"),"No aceptable","Aceptable")</f>
        <v>Aceptable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 ht="38.2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IF(Inicial!N24="SI",Inicial!E24,"N/A")</f>
        <v>N/A</v>
      </c>
      <c r="F24" s="53" t="str">
        <f>IF(Inicial!N24="SI",Inicial!F24,"N/A")</f>
        <v>N/A</v>
      </c>
      <c r="G24" s="53" t="str">
        <f>IF(Inicial!N24="SI",Inicial!G24,"N/A")</f>
        <v>N/A</v>
      </c>
      <c r="H24" s="53" t="str">
        <f>IF(Inicial!N24="SI",Inicial!H24,"N/A")</f>
        <v>N/A</v>
      </c>
      <c r="I24" s="55" t="str">
        <f>IF(Inicial!N24="SI",Inicial!I24,"N/A")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66" t="str" cm="1">
        <f t="array" ref="X24">IF(OR(J24:W24="NO"),"No aceptable","Aceptable")</f>
        <v>Aceptable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 ht="38.2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IF(Inicial!N25="SI",Inicial!E25,"N/A")</f>
        <v>N/A</v>
      </c>
      <c r="F25" s="53" t="str">
        <f>IF(Inicial!N25="SI",Inicial!F25,"N/A")</f>
        <v>N/A</v>
      </c>
      <c r="G25" s="53" t="str">
        <f>IF(Inicial!N25="SI",Inicial!G25,"N/A")</f>
        <v>N/A</v>
      </c>
      <c r="H25" s="53" t="str">
        <f>IF(Inicial!N25="SI",Inicial!H25,"N/A")</f>
        <v>N/A</v>
      </c>
      <c r="I25" s="55" t="str">
        <f>IF(Inicial!N25="SI",Inicial!I25,"N/A")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66" t="str" cm="1">
        <f t="array" ref="X25">IF(OR(J25:W25="NO"),"No aceptable","Aceptable")</f>
        <v>Aceptable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 ht="38.2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IF(Inicial!N26="SI",Inicial!E26,"N/A")</f>
        <v>N/A</v>
      </c>
      <c r="F26" s="53" t="str">
        <f>IF(Inicial!N26="SI",Inicial!F26,"N/A")</f>
        <v>N/A</v>
      </c>
      <c r="G26" s="53" t="str">
        <f>IF(Inicial!N26="SI",Inicial!G26,"N/A")</f>
        <v>N/A</v>
      </c>
      <c r="H26" s="53" t="str">
        <f>IF(Inicial!N26="SI",Inicial!H26,"N/A")</f>
        <v>N/A</v>
      </c>
      <c r="I26" s="55" t="str">
        <f>IF(Inicial!N26="SI",Inicial!I26,"N/A")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66" t="str" cm="1">
        <f t="array" ref="X26">IF(OR(J26:W26="NO"),"No aceptable","Aceptable")</f>
        <v>Aceptable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IF(Inicial!N27="SI",Inicial!E27,"N/A")</f>
        <v>N/A</v>
      </c>
      <c r="F27" s="53" t="str">
        <f>IF(Inicial!N27="SI",Inicial!F27,"N/A")</f>
        <v>N/A</v>
      </c>
      <c r="G27" s="53" t="str">
        <f>IF(Inicial!N27="SI",Inicial!G27,"N/A")</f>
        <v>N/A</v>
      </c>
      <c r="H27" s="53" t="str">
        <f>IF(Inicial!N27="SI",Inicial!H27,"N/A")</f>
        <v>N/A</v>
      </c>
      <c r="I27" s="55" t="str">
        <f>IF(Inicial!N27="SI",Inicial!I27,"N/A")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66" t="str" cm="1">
        <f t="array" ref="X27">IF(OR(J27:W27="NO"),"No aceptable","Aceptable")</f>
        <v>Aceptable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IF(Inicial!N28="SI",Inicial!E28,"N/A")</f>
        <v>N/A</v>
      </c>
      <c r="F28" s="53" t="str">
        <f>IF(Inicial!N28="SI",Inicial!F28,"N/A")</f>
        <v>N/A</v>
      </c>
      <c r="G28" s="53" t="str">
        <f>IF(Inicial!N28="SI",Inicial!G28,"N/A")</f>
        <v>N/A</v>
      </c>
      <c r="H28" s="53" t="str">
        <f>IF(Inicial!N28="SI",Inicial!H28,"N/A")</f>
        <v>N/A</v>
      </c>
      <c r="I28" s="55" t="str">
        <f>IF(Inicial!N28="SI",Inicial!I28,"N/A")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66" t="str" cm="1">
        <f t="array" ref="X28">IF(OR(J28:W28="NO"),"No aceptable","Aceptable")</f>
        <v>Aceptable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IF(Inicial!N29="SI",Inicial!E29,"N/A")</f>
        <v>N/A</v>
      </c>
      <c r="F29" s="53" t="str">
        <f>IF(Inicial!N29="SI",Inicial!F29,"N/A")</f>
        <v>N/A</v>
      </c>
      <c r="G29" s="53" t="str">
        <f>IF(Inicial!N29="SI",Inicial!G29,"N/A")</f>
        <v>N/A</v>
      </c>
      <c r="H29" s="53" t="str">
        <f>IF(Inicial!N29="SI",Inicial!H29,"N/A")</f>
        <v>N/A</v>
      </c>
      <c r="I29" s="55" t="str">
        <f>IF(Inicial!N29="SI",Inicial!I29,"N/A")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66" t="str" cm="1">
        <f t="array" ref="X29">IF(OR(J29:W29="NO"),"No aceptable","Aceptable")</f>
        <v>Aceptable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IF(Inicial!N30="SI",Inicial!E30,"N/A")</f>
        <v>N/A</v>
      </c>
      <c r="F30" s="53" t="str">
        <f>IF(Inicial!N30="SI",Inicial!F30,"N/A")</f>
        <v>N/A</v>
      </c>
      <c r="G30" s="53" t="str">
        <f>IF(Inicial!N30="SI",Inicial!G30,"N/A")</f>
        <v>N/A</v>
      </c>
      <c r="H30" s="53" t="str">
        <f>IF(Inicial!N30="SI",Inicial!H30,"N/A")</f>
        <v>N/A</v>
      </c>
      <c r="I30" s="55" t="str">
        <f>IF(Inicial!N30="SI",Inicial!I30,"N/A")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66" t="str" cm="1">
        <f t="array" ref="X30">IF(OR(J30:W30="NO"),"No aceptable","Aceptable")</f>
        <v>Aceptable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IF(Inicial!N31="SI",Inicial!E31,"N/A")</f>
        <v>N/A</v>
      </c>
      <c r="F31" s="53" t="str">
        <f>IF(Inicial!N31="SI",Inicial!F31,"N/A")</f>
        <v>N/A</v>
      </c>
      <c r="G31" s="53" t="str">
        <f>IF(Inicial!N31="SI",Inicial!G31,"N/A")</f>
        <v>N/A</v>
      </c>
      <c r="H31" s="53" t="str">
        <f>IF(Inicial!N31="SI",Inicial!H31,"N/A")</f>
        <v>N/A</v>
      </c>
      <c r="I31" s="55" t="str">
        <f>IF(Inicial!N31="SI",Inicial!I31,"N/A")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66" t="str" cm="1">
        <f t="array" ref="X31">IF(OR(J31:W31="NO"),"No aceptable","Aceptable")</f>
        <v>Aceptable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IF(Inicial!N32="SI",Inicial!E32,"N/A")</f>
        <v>N/A</v>
      </c>
      <c r="F32" s="53" t="str">
        <f>IF(Inicial!N32="SI",Inicial!F32,"N/A")</f>
        <v>N/A</v>
      </c>
      <c r="G32" s="53" t="str">
        <f>IF(Inicial!N32="SI",Inicial!G32,"N/A")</f>
        <v>N/A</v>
      </c>
      <c r="H32" s="53" t="str">
        <f>IF(Inicial!N32="SI",Inicial!H32,"N/A")</f>
        <v>N/A</v>
      </c>
      <c r="I32" s="55" t="str">
        <f>IF(Inicial!N32="SI",Inicial!I32,"N/A")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66" t="str" cm="1">
        <f t="array" ref="X32">IF(OR(J32:W32="NO"),"No aceptable","Aceptable")</f>
        <v>Aceptable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IF(Inicial!N33="SI",Inicial!E33,"N/A")</f>
        <v>N/A</v>
      </c>
      <c r="F33" s="53" t="str">
        <f>IF(Inicial!N33="SI",Inicial!F33,"N/A")</f>
        <v>N/A</v>
      </c>
      <c r="G33" s="53" t="str">
        <f>IF(Inicial!N33="SI",Inicial!G33,"N/A")</f>
        <v>N/A</v>
      </c>
      <c r="H33" s="53" t="str">
        <f>IF(Inicial!N33="SI",Inicial!H33,"N/A")</f>
        <v>N/A</v>
      </c>
      <c r="I33" s="55" t="str">
        <f>IF(Inicial!N33="SI",Inicial!I33,"N/A")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66" t="str" cm="1">
        <f t="array" ref="X33">IF(OR(J33:W33="NO"),"No aceptable","Aceptable")</f>
        <v>Aceptable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IF(Inicial!N34="SI",Inicial!E34,"N/A")</f>
        <v>N/A</v>
      </c>
      <c r="F34" s="53" t="str">
        <f>IF(Inicial!N34="SI",Inicial!F34,"N/A")</f>
        <v>N/A</v>
      </c>
      <c r="G34" s="53" t="str">
        <f>IF(Inicial!N34="SI",Inicial!G34,"N/A")</f>
        <v>N/A</v>
      </c>
      <c r="H34" s="53" t="str">
        <f>IF(Inicial!N34="SI",Inicial!H34,"N/A")</f>
        <v>N/A</v>
      </c>
      <c r="I34" s="55" t="str">
        <f>IF(Inicial!N34="SI",Inicial!I34,"N/A")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66" t="str" cm="1">
        <f t="array" ref="X34">IF(OR(J34:W34="NO"),"No aceptable","Aceptable")</f>
        <v>Aceptable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IF(Inicial!N35="SI",Inicial!E35,"N/A")</f>
        <v>N/A</v>
      </c>
      <c r="F35" s="53" t="str">
        <f>IF(Inicial!N35="SI",Inicial!F35,"N/A")</f>
        <v>N/A</v>
      </c>
      <c r="G35" s="53" t="str">
        <f>IF(Inicial!N35="SI",Inicial!G35,"N/A")</f>
        <v>N/A</v>
      </c>
      <c r="H35" s="53" t="str">
        <f>IF(Inicial!N35="SI",Inicial!H35,"N/A")</f>
        <v>N/A</v>
      </c>
      <c r="I35" s="55" t="str">
        <f>IF(Inicial!N35="SI",Inicial!I35,"N/A")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66" t="str" cm="1">
        <f t="array" ref="X35">IF(OR(J35:W35="NO"),"No aceptable","Aceptable")</f>
        <v>Aceptable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IF(Inicial!N36="SI",Inicial!E36,"N/A")</f>
        <v>N/A</v>
      </c>
      <c r="F36" s="53" t="str">
        <f>IF(Inicial!N36="SI",Inicial!F36,"N/A")</f>
        <v>N/A</v>
      </c>
      <c r="G36" s="53" t="str">
        <f>IF(Inicial!N36="SI",Inicial!G36,"N/A")</f>
        <v>N/A</v>
      </c>
      <c r="H36" s="53" t="str">
        <f>IF(Inicial!N36="SI",Inicial!H36,"N/A")</f>
        <v>N/A</v>
      </c>
      <c r="I36" s="55" t="str">
        <f>IF(Inicial!N36="SI",Inicial!I36,"N/A")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66" t="str" cm="1">
        <f t="array" ref="X36">IF(OR(J36:W36="NO"),"No aceptable","Aceptable")</f>
        <v>Aceptable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 t="str" cm="1">
        <f t="array" ref="AN36">IF(OR(Y36:AM36="NO"),"Critico","No Critico")</f>
        <v>No Critico</v>
      </c>
    </row>
    <row r="37" spans="1:40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IF(Inicial!N37="SI",Inicial!E37,"N/A")</f>
        <v>N/A</v>
      </c>
      <c r="F37" s="53" t="str">
        <f>IF(Inicial!N37="SI",Inicial!F37,"N/A")</f>
        <v>N/A</v>
      </c>
      <c r="G37" s="53" t="str">
        <f>IF(Inicial!N37="SI",Inicial!G37,"N/A")</f>
        <v>N/A</v>
      </c>
      <c r="H37" s="53" t="str">
        <f>IF(Inicial!N37="SI",Inicial!H37,"N/A")</f>
        <v>N/A</v>
      </c>
      <c r="I37" s="55" t="str">
        <f>IF(Inicial!N37="SI",Inicial!I37,"N/A")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66" t="str" cm="1">
        <f t="array" ref="X37">IF(OR(J37:W37="NO"),"No aceptable","Aceptable")</f>
        <v>Aceptable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 t="str" cm="1">
        <f t="array" ref="AN37">IF(OR(Y37:AM37="NO"),"Critico","No Critico")</f>
        <v>No Critico</v>
      </c>
    </row>
    <row r="38" spans="1:40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IF(Inicial!N38="SI",Inicial!E38,"N/A")</f>
        <v>N/A</v>
      </c>
      <c r="F38" s="53" t="str">
        <f>IF(Inicial!N38="SI",Inicial!F38,"N/A")</f>
        <v>N/A</v>
      </c>
      <c r="G38" s="53" t="str">
        <f>IF(Inicial!N38="SI",Inicial!G38,"N/A")</f>
        <v>N/A</v>
      </c>
      <c r="H38" s="53" t="str">
        <f>IF(Inicial!N38="SI",Inicial!H38,"N/A")</f>
        <v>N/A</v>
      </c>
      <c r="I38" s="55" t="str">
        <f>IF(Inicial!N38="SI",Inicial!I38,"N/A")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66" t="str" cm="1">
        <f t="array" ref="X38">IF(OR(J38:W38="NO"),"No aceptable","Aceptable")</f>
        <v>Aceptable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 t="str" cm="1">
        <f t="array" ref="AN38">IF(OR(Y38:AM38="NO"),"Critico","No Critico")</f>
        <v>No Critico</v>
      </c>
    </row>
    <row r="39" spans="1:40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IF(Inicial!N39="SI",Inicial!E39,"N/A")</f>
        <v>N/A</v>
      </c>
      <c r="F39" s="53" t="str">
        <f>IF(Inicial!N39="SI",Inicial!F39,"N/A")</f>
        <v>N/A</v>
      </c>
      <c r="G39" s="53" t="str">
        <f>IF(Inicial!N39="SI",Inicial!G39,"N/A")</f>
        <v>N/A</v>
      </c>
      <c r="H39" s="53" t="str">
        <f>IF(Inicial!N39="SI",Inicial!H39,"N/A")</f>
        <v>N/A</v>
      </c>
      <c r="I39" s="55" t="str">
        <f>IF(Inicial!N39="SI",Inicial!I39,"N/A")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66" t="str" cm="1">
        <f t="array" ref="X39">IF(OR(J39:W39="NO"),"No aceptable","Aceptable")</f>
        <v>Aceptable</v>
      </c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 t="str" cm="1">
        <f t="array" ref="AN39">IF(OR(Y39:AM39="NO"),"Critico","No Critico")</f>
        <v>No Critico</v>
      </c>
    </row>
    <row r="40" spans="1:40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IF(Inicial!N40="SI",Inicial!E40,"N/A")</f>
        <v>N/A</v>
      </c>
      <c r="F40" s="53" t="str">
        <f>IF(Inicial!N40="SI",Inicial!F40,"N/A")</f>
        <v>N/A</v>
      </c>
      <c r="G40" s="53" t="str">
        <f>IF(Inicial!N40="SI",Inicial!G40,"N/A")</f>
        <v>N/A</v>
      </c>
      <c r="H40" s="53" t="str">
        <f>IF(Inicial!N40="SI",Inicial!H40,"N/A")</f>
        <v>N/A</v>
      </c>
      <c r="I40" s="55" t="str">
        <f>IF(Inicial!N40="SI",Inicial!I40,"N/A")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66" t="str" cm="1">
        <f t="array" ref="X40">IF(OR(J40:W40="NO"),"No aceptable","Aceptable")</f>
        <v>Aceptable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 t="str" cm="1">
        <f t="array" ref="AN40">IF(OR(Y40:AM40="NO"),"Critico","No Critico")</f>
        <v>No Critico</v>
      </c>
    </row>
    <row r="41" spans="1:40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IF(Inicial!N41="SI",Inicial!E41,"N/A")</f>
        <v>N/A</v>
      </c>
      <c r="F41" s="53" t="str">
        <f>IF(Inicial!N41="SI",Inicial!F41,"N/A")</f>
        <v>N/A</v>
      </c>
      <c r="G41" s="53" t="str">
        <f>IF(Inicial!N41="SI",Inicial!G41,"N/A")</f>
        <v>N/A</v>
      </c>
      <c r="H41" s="53" t="str">
        <f>IF(Inicial!N41="SI",Inicial!H41,"N/A")</f>
        <v>N/A</v>
      </c>
      <c r="I41" s="55" t="str">
        <f>IF(Inicial!N41="SI",Inicial!I41,"N/A")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66" t="str" cm="1">
        <f t="array" ref="X41">IF(OR(J41:W41="NO"),"No aceptable","Aceptable")</f>
        <v>Aceptable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3" t="str" cm="1">
        <f t="array" ref="AN41">IF(OR(Y41:AM41="NO"),"Critico","No Critico")</f>
        <v>No Critico</v>
      </c>
    </row>
    <row r="42" spans="1:40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IF(Inicial!N42="SI",Inicial!E42,"N/A")</f>
        <v>N/A</v>
      </c>
      <c r="F42" s="53" t="str">
        <f>IF(Inicial!N42="SI",Inicial!F42,"N/A")</f>
        <v>N/A</v>
      </c>
      <c r="G42" s="53" t="str">
        <f>IF(Inicial!N42="SI",Inicial!G42,"N/A")</f>
        <v>N/A</v>
      </c>
      <c r="H42" s="53" t="str">
        <f>IF(Inicial!N42="SI",Inicial!H42,"N/A")</f>
        <v>N/A</v>
      </c>
      <c r="I42" s="55" t="str">
        <f>IF(Inicial!N42="SI",Inicial!I42,"N/A")</f>
        <v>N/A</v>
      </c>
      <c r="L42" s="1"/>
      <c r="M42" s="1"/>
      <c r="N42" s="1"/>
      <c r="O42" s="1"/>
      <c r="P42" s="1"/>
      <c r="Q42" s="1"/>
      <c r="R42" s="1"/>
      <c r="S42" s="1"/>
      <c r="T42" s="1"/>
      <c r="U42" s="1"/>
      <c r="X42" s="66" t="str" cm="1">
        <f t="array" ref="X42">IF(OR(J42:W42="NO"),"No aceptable","Aceptable")</f>
        <v>Aceptable</v>
      </c>
      <c r="AN42" s="3" t="str" cm="1">
        <f t="array" ref="AN42">IF(OR(Y42:AM42="NO"),"Critico","No Critico")</f>
        <v>No Critico</v>
      </c>
    </row>
    <row r="43" spans="1:40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IF(Inicial!N43="SI",Inicial!E43,"N/A")</f>
        <v>N/A</v>
      </c>
      <c r="F43" s="53" t="str">
        <f>IF(Inicial!N43="SI",Inicial!F43,"N/A")</f>
        <v>N/A</v>
      </c>
      <c r="G43" s="53" t="str">
        <f>IF(Inicial!N43="SI",Inicial!G43,"N/A")</f>
        <v>N/A</v>
      </c>
      <c r="H43" s="53" t="str">
        <f>IF(Inicial!N43="SI",Inicial!H43,"N/A")</f>
        <v>N/A</v>
      </c>
      <c r="I43" s="55" t="str">
        <f>IF(Inicial!N43="SI",Inicial!I43,"N/A")</f>
        <v>N/A</v>
      </c>
      <c r="L43" s="1"/>
      <c r="M43" s="1"/>
      <c r="N43" s="1"/>
      <c r="O43" s="1"/>
      <c r="P43" s="1"/>
      <c r="Q43" s="1"/>
      <c r="R43" s="1"/>
      <c r="S43" s="1"/>
      <c r="T43" s="1"/>
      <c r="U43" s="1"/>
      <c r="X43" s="66" t="str" cm="1">
        <f t="array" ref="X43">IF(OR(J43:W43="NO"),"No aceptable","Aceptable")</f>
        <v>Aceptable</v>
      </c>
      <c r="AN43" s="3" t="str" cm="1">
        <f t="array" ref="AN43">IF(OR(Y43:AM43="NO"),"Critico","No Critico")</f>
        <v>No Critico</v>
      </c>
    </row>
    <row r="44" spans="1:40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IF(Inicial!N44="SI",Inicial!E44,"N/A")</f>
        <v>N/A</v>
      </c>
      <c r="F44" s="53" t="str">
        <f>IF(Inicial!N44="SI",Inicial!F44,"N/A")</f>
        <v>N/A</v>
      </c>
      <c r="G44" s="53" t="str">
        <f>IF(Inicial!N44="SI",Inicial!G44,"N/A")</f>
        <v>N/A</v>
      </c>
      <c r="H44" s="53" t="str">
        <f>IF(Inicial!N44="SI",Inicial!H44,"N/A")</f>
        <v>N/A</v>
      </c>
      <c r="I44" s="55" t="str">
        <f>IF(Inicial!N44="SI",Inicial!I44,"N/A")</f>
        <v>N/A</v>
      </c>
      <c r="L44" s="1"/>
      <c r="M44" s="1"/>
      <c r="N44" s="1"/>
      <c r="O44" s="1"/>
      <c r="P44" s="1"/>
      <c r="Q44" s="1"/>
      <c r="R44" s="1"/>
      <c r="S44" s="1"/>
      <c r="T44" s="1"/>
      <c r="U44" s="1"/>
      <c r="X44" s="66" t="str" cm="1">
        <f t="array" ref="X44">IF(OR(J44:W44="NO"),"No aceptable","Aceptable")</f>
        <v>Aceptable</v>
      </c>
      <c r="AN44" s="3" t="str" cm="1">
        <f t="array" ref="AN44">IF(OR(Y44:AM44="NO"),"Critico","No Critico")</f>
        <v>No Critico</v>
      </c>
    </row>
    <row r="45" spans="1:40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IF(Inicial!N45="SI",Inicial!E45,"N/A")</f>
        <v>N/A</v>
      </c>
      <c r="F45" s="53" t="str">
        <f>IF(Inicial!N45="SI",Inicial!F45,"N/A")</f>
        <v>N/A</v>
      </c>
      <c r="G45" s="53" t="str">
        <f>IF(Inicial!N45="SI",Inicial!G45,"N/A")</f>
        <v>N/A</v>
      </c>
      <c r="H45" s="53" t="str">
        <f>IF(Inicial!N45="SI",Inicial!H45,"N/A")</f>
        <v>N/A</v>
      </c>
      <c r="I45" s="55" t="str">
        <f>IF(Inicial!N45="SI",Inicial!I45,"N/A")</f>
        <v>N/A</v>
      </c>
      <c r="L45" s="1"/>
      <c r="M45" s="1"/>
      <c r="N45" s="1"/>
      <c r="O45" s="1"/>
      <c r="P45" s="1"/>
      <c r="Q45" s="1"/>
      <c r="R45" s="1"/>
      <c r="S45" s="1"/>
      <c r="T45" s="1"/>
      <c r="U45" s="1"/>
      <c r="X45" s="66" t="str" cm="1">
        <f t="array" ref="X45">IF(OR(J45:W45="NO"),"No aceptable","Aceptable")</f>
        <v>Aceptable</v>
      </c>
      <c r="AN45" s="3" t="str" cm="1">
        <f t="array" ref="AN45">IF(OR(Y45:AM45="NO"),"Critico","No Critico")</f>
        <v>No Critico</v>
      </c>
    </row>
    <row r="46" spans="1:40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IF(Inicial!N46="SI",Inicial!E46,"N/A")</f>
        <v>N/A</v>
      </c>
      <c r="F46" s="53" t="str">
        <f>IF(Inicial!N46="SI",Inicial!F46,"N/A")</f>
        <v>N/A</v>
      </c>
      <c r="G46" s="53" t="str">
        <f>IF(Inicial!N46="SI",Inicial!G46,"N/A")</f>
        <v>N/A</v>
      </c>
      <c r="H46" s="53" t="str">
        <f>IF(Inicial!N46="SI",Inicial!H46,"N/A")</f>
        <v>N/A</v>
      </c>
      <c r="I46" s="55" t="str">
        <f>IF(Inicial!N46="SI",Inicial!I46,"N/A")</f>
        <v>N/A</v>
      </c>
      <c r="L46" s="1"/>
      <c r="M46" s="1"/>
      <c r="N46" s="1"/>
      <c r="O46" s="1"/>
      <c r="P46" s="1"/>
      <c r="Q46" s="1"/>
      <c r="R46" s="1"/>
      <c r="S46" s="1"/>
      <c r="T46" s="1"/>
      <c r="U46" s="1"/>
      <c r="X46" s="66" t="str" cm="1">
        <f t="array" ref="X46">IF(OR(J46:W46="NO"),"No aceptable","Aceptable")</f>
        <v>Aceptable</v>
      </c>
      <c r="AN46" s="3" t="str" cm="1">
        <f t="array" ref="AN46">IF(OR(Y46:AM46="NO"),"Critico","No Critico")</f>
        <v>No Critico</v>
      </c>
    </row>
    <row r="47" spans="1:40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IF(Inicial!N47="SI",Inicial!E47,"N/A")</f>
        <v>N/A</v>
      </c>
      <c r="F47" s="53" t="str">
        <f>IF(Inicial!N47="SI",Inicial!F47,"N/A")</f>
        <v>N/A</v>
      </c>
      <c r="G47" s="53" t="str">
        <f>IF(Inicial!N47="SI",Inicial!G47,"N/A")</f>
        <v>N/A</v>
      </c>
      <c r="H47" s="53" t="str">
        <f>IF(Inicial!N47="SI",Inicial!H47,"N/A")</f>
        <v>N/A</v>
      </c>
      <c r="I47" s="55" t="str">
        <f>IF(Inicial!N47="SI",Inicial!I47,"N/A")</f>
        <v>N/A</v>
      </c>
      <c r="L47" s="1"/>
      <c r="M47" s="1"/>
      <c r="N47" s="1"/>
      <c r="O47" s="1"/>
      <c r="P47" s="1"/>
      <c r="Q47" s="1"/>
      <c r="R47" s="1"/>
      <c r="S47" s="1"/>
      <c r="T47" s="1"/>
      <c r="U47" s="1"/>
      <c r="X47" s="66" t="str" cm="1">
        <f t="array" ref="X47">IF(OR(J47:W47="NO"),"No aceptable","Aceptable")</f>
        <v>Aceptable</v>
      </c>
      <c r="AN47" s="3" t="str" cm="1">
        <f t="array" ref="AN47">IF(OR(Y47:AM47="NO"),"Critico","No Critico")</f>
        <v>No Critico</v>
      </c>
    </row>
    <row r="48" spans="1:40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IF(Inicial!N48="SI",Inicial!E48,"N/A")</f>
        <v>N/A</v>
      </c>
      <c r="F48" s="53" t="str">
        <f>IF(Inicial!N48="SI",Inicial!F48,"N/A")</f>
        <v>N/A</v>
      </c>
      <c r="G48" s="53" t="str">
        <f>IF(Inicial!N48="SI",Inicial!G48,"N/A")</f>
        <v>N/A</v>
      </c>
      <c r="H48" s="53" t="str">
        <f>IF(Inicial!N48="SI",Inicial!H48,"N/A")</f>
        <v>N/A</v>
      </c>
      <c r="I48" s="55" t="str">
        <f>IF(Inicial!N48="SI",Inicial!I48,"N/A")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X48" s="66" t="str" cm="1">
        <f t="array" ref="X48">IF(OR(J48:W48="NO"),"No aceptable","Aceptable")</f>
        <v>Aceptable</v>
      </c>
      <c r="AN48" s="3" t="str" cm="1">
        <f t="array" ref="AN48">IF(OR(Y48:AM48="NO"),"Critico","No Critico")</f>
        <v>No Critico</v>
      </c>
    </row>
    <row r="49" spans="1:40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IF(Inicial!N49="SI",Inicial!E49,"N/A")</f>
        <v>N/A</v>
      </c>
      <c r="F49" s="53" t="str">
        <f>IF(Inicial!N49="SI",Inicial!F49,"N/A")</f>
        <v>N/A</v>
      </c>
      <c r="G49" s="53" t="str">
        <f>IF(Inicial!N49="SI",Inicial!G49,"N/A")</f>
        <v>N/A</v>
      </c>
      <c r="H49" s="53" t="str">
        <f>IF(Inicial!N49="SI",Inicial!H49,"N/A")</f>
        <v>N/A</v>
      </c>
      <c r="I49" s="55" t="str">
        <f>IF(Inicial!N49="SI",Inicial!I49,"N/A")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X49" s="66" t="str" cm="1">
        <f t="array" ref="X49">IF(OR(J49:W49="NO"),"No aceptable","Aceptable")</f>
        <v>Aceptable</v>
      </c>
      <c r="AN49" s="3" t="str" cm="1">
        <f t="array" ref="AN49">IF(OR(Y49:AM49="NO"),"Critico","No Critico")</f>
        <v>No Critico</v>
      </c>
    </row>
    <row r="50" spans="1:40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IF(Inicial!N50="SI",Inicial!E50,"N/A")</f>
        <v>N/A</v>
      </c>
      <c r="F50" s="53" t="str">
        <f>IF(Inicial!N50="SI",Inicial!F50,"N/A")</f>
        <v>N/A</v>
      </c>
      <c r="G50" s="53" t="str">
        <f>IF(Inicial!N50="SI",Inicial!G50,"N/A")</f>
        <v>N/A</v>
      </c>
      <c r="H50" s="53" t="str">
        <f>IF(Inicial!N50="SI",Inicial!H50,"N/A")</f>
        <v>N/A</v>
      </c>
      <c r="I50" s="55" t="str">
        <f>IF(Inicial!N50="SI",Inicial!I50,"N/A")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X50" s="66" t="str" cm="1">
        <f t="array" ref="X50">IF(OR(J50:W50="NO"),"No aceptable","Aceptable")</f>
        <v>Aceptable</v>
      </c>
      <c r="AN50" s="3" t="str" cm="1">
        <f t="array" ref="AN50">IF(OR(Y50:AM50="NO"),"Critico","No Critico")</f>
        <v>No Critico</v>
      </c>
    </row>
    <row r="51" spans="1:40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IF(Inicial!N51="SI",Inicial!E51,"N/A")</f>
        <v>N/A</v>
      </c>
      <c r="F51" s="53" t="str">
        <f>IF(Inicial!N51="SI",Inicial!F51,"N/A")</f>
        <v>N/A</v>
      </c>
      <c r="G51" s="53" t="str">
        <f>IF(Inicial!N51="SI",Inicial!G51,"N/A")</f>
        <v>N/A</v>
      </c>
      <c r="H51" s="53" t="str">
        <f>IF(Inicial!N51="SI",Inicial!H51,"N/A")</f>
        <v>N/A</v>
      </c>
      <c r="I51" s="55" t="str">
        <f>IF(Inicial!N51="SI",Inicial!I51,"N/A")</f>
        <v>N/A</v>
      </c>
      <c r="L51" s="1"/>
      <c r="M51" s="1"/>
      <c r="N51" s="1"/>
      <c r="O51" s="1"/>
      <c r="P51" s="1"/>
      <c r="Q51" s="1"/>
      <c r="R51" s="1"/>
      <c r="S51" s="1"/>
      <c r="T51" s="1"/>
      <c r="U51" s="1"/>
      <c r="X51" s="66" t="str" cm="1">
        <f t="array" ref="X51">IF(OR(J51:W51="NO"),"No aceptable","Aceptable")</f>
        <v>Aceptable</v>
      </c>
      <c r="AN51" s="3" t="str" cm="1">
        <f t="array" ref="AN51">IF(OR(Y51:AM51="NO"),"Critico","No Critico")</f>
        <v>No Critico</v>
      </c>
    </row>
    <row r="52" spans="1:40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IF(Inicial!N52="SI",Inicial!E52,"N/A")</f>
        <v>N/A</v>
      </c>
      <c r="F52" s="53" t="str">
        <f>IF(Inicial!N52="SI",Inicial!F52,"N/A")</f>
        <v>N/A</v>
      </c>
      <c r="G52" s="53" t="str">
        <f>IF(Inicial!N52="SI",Inicial!G52,"N/A")</f>
        <v>N/A</v>
      </c>
      <c r="H52" s="53" t="str">
        <f>IF(Inicial!N52="SI",Inicial!H52,"N/A")</f>
        <v>N/A</v>
      </c>
      <c r="I52" s="55" t="str">
        <f>IF(Inicial!N52="SI",Inicial!I52,"N/A")</f>
        <v>N/A</v>
      </c>
      <c r="L52" s="1"/>
      <c r="M52" s="1"/>
      <c r="N52" s="1"/>
      <c r="O52" s="1"/>
      <c r="P52" s="1"/>
      <c r="Q52" s="1"/>
      <c r="R52" s="1"/>
      <c r="S52" s="1"/>
      <c r="T52" s="1"/>
      <c r="U52" s="1"/>
      <c r="X52" s="66" t="str" cm="1">
        <f t="array" ref="X52">IF(OR(J52:W52="NO"),"No aceptable","Aceptable")</f>
        <v>Aceptable</v>
      </c>
      <c r="AN52" s="3" t="str" cm="1">
        <f t="array" ref="AN52">IF(OR(Y52:AM52="NO"),"Critico","No Critico")</f>
        <v>No Critico</v>
      </c>
    </row>
    <row r="53" spans="1:40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IF(Inicial!N53="SI",Inicial!E53,"N/A")</f>
        <v>N/A</v>
      </c>
      <c r="F53" s="53" t="str">
        <f>IF(Inicial!N53="SI",Inicial!F53,"N/A")</f>
        <v>N/A</v>
      </c>
      <c r="G53" s="53" t="str">
        <f>IF(Inicial!N53="SI",Inicial!G53,"N/A")</f>
        <v>N/A</v>
      </c>
      <c r="H53" s="53" t="str">
        <f>IF(Inicial!N53="SI",Inicial!H53,"N/A")</f>
        <v>N/A</v>
      </c>
      <c r="I53" s="55" t="str">
        <f>IF(Inicial!N53="SI",Inicial!I53,"N/A")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X53" s="66" t="str" cm="1">
        <f t="array" ref="X53">IF(OR(J53:W53="NO"),"No aceptable","Aceptable")</f>
        <v>Aceptable</v>
      </c>
      <c r="AN53" s="3" t="str" cm="1">
        <f t="array" ref="AN53">IF(OR(Y53:AM53="NO"),"Critico","No Critico")</f>
        <v>No Critico</v>
      </c>
    </row>
    <row r="54" spans="1:40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IF(Inicial!N54="SI",Inicial!E54,"N/A")</f>
        <v>N/A</v>
      </c>
      <c r="F54" s="53" t="str">
        <f>IF(Inicial!N54="SI",Inicial!F54,"N/A")</f>
        <v>N/A</v>
      </c>
      <c r="G54" s="53" t="str">
        <f>IF(Inicial!N54="SI",Inicial!G54,"N/A")</f>
        <v>N/A</v>
      </c>
      <c r="H54" s="53" t="str">
        <f>IF(Inicial!N54="SI",Inicial!H54,"N/A")</f>
        <v>N/A</v>
      </c>
      <c r="I54" s="55" t="str">
        <f>IF(Inicial!N54="SI",Inicial!I54,"N/A")</f>
        <v>N/A</v>
      </c>
      <c r="L54" s="1"/>
      <c r="M54" s="1"/>
      <c r="N54" s="1"/>
      <c r="O54" s="1"/>
      <c r="P54" s="1"/>
      <c r="Q54" s="1"/>
      <c r="R54" s="1"/>
      <c r="S54" s="1"/>
      <c r="T54" s="1"/>
      <c r="U54" s="1"/>
      <c r="X54" s="66" t="str" cm="1">
        <f t="array" ref="X54">IF(OR(J54:W54="NO"),"No aceptable","Aceptable")</f>
        <v>Aceptable</v>
      </c>
      <c r="AN54" s="3" t="str" cm="1">
        <f t="array" ref="AN54">IF(OR(Y54:AM54="NO"),"Critico","No Critico")</f>
        <v>No Critico</v>
      </c>
    </row>
    <row r="55" spans="1:40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IF(Inicial!N55="SI",Inicial!E55,"N/A")</f>
        <v>N/A</v>
      </c>
      <c r="F55" s="53" t="str">
        <f>IF(Inicial!N55="SI",Inicial!F55,"N/A")</f>
        <v>N/A</v>
      </c>
      <c r="G55" s="53" t="str">
        <f>IF(Inicial!N55="SI",Inicial!G55,"N/A")</f>
        <v>N/A</v>
      </c>
      <c r="H55" s="53" t="str">
        <f>IF(Inicial!N55="SI",Inicial!H55,"N/A")</f>
        <v>N/A</v>
      </c>
      <c r="I55" s="55" t="str">
        <f>IF(Inicial!N55="SI",Inicial!I55,"N/A")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X55" s="66" t="str" cm="1">
        <f t="array" ref="X55">IF(OR(J55:W55="NO"),"No aceptable","Aceptable")</f>
        <v>Aceptable</v>
      </c>
      <c r="AN55" s="3" t="str" cm="1">
        <f t="array" ref="AN55">IF(OR(Y55:AM55="NO"),"Critico","No Critico")</f>
        <v>No Critico</v>
      </c>
    </row>
    <row r="56" spans="1:40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55" t="e">
        <f>IF(Inicial!#REF!="SI",Inicial!#REF!,"N/A")</f>
        <v>#REF!</v>
      </c>
      <c r="L56" s="1"/>
      <c r="M56" s="1"/>
      <c r="N56" s="1"/>
      <c r="O56" s="1"/>
      <c r="P56" s="1"/>
      <c r="Q56" s="1"/>
      <c r="R56" s="1"/>
      <c r="S56" s="1"/>
      <c r="T56" s="1"/>
      <c r="U56" s="1"/>
      <c r="X56" s="66" t="str" cm="1">
        <f t="array" ref="X56">IF(OR(J56:W56="NO"),"No aceptable","Aceptable")</f>
        <v>Aceptable</v>
      </c>
      <c r="AN56" s="3" t="str" cm="1">
        <f t="array" ref="AN56">IF(OR(Y56:AM56="NO"),"Critico","No Critico")</f>
        <v>No Critico</v>
      </c>
    </row>
    <row r="57" spans="1:40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IF(Inicial!N56="SI",Inicial!E56,"N/A")</f>
        <v>N/A</v>
      </c>
      <c r="F57" s="53" t="str">
        <f>IF(Inicial!N56="SI",Inicial!F56,"N/A")</f>
        <v>N/A</v>
      </c>
      <c r="G57" s="53" t="str">
        <f>IF(Inicial!N56="SI",Inicial!G56,"N/A")</f>
        <v>N/A</v>
      </c>
      <c r="H57" s="53" t="str">
        <f>IF(Inicial!N56="SI",Inicial!H56,"N/A")</f>
        <v>N/A</v>
      </c>
      <c r="I57" s="55" t="str">
        <f>IF(Inicial!N56="SI",Inicial!I56,"N/A")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X57" s="66" t="str" cm="1">
        <f t="array" ref="X57">IF(OR(J57:W57="NO"),"No aceptable","Aceptable")</f>
        <v>Aceptable</v>
      </c>
      <c r="AN57" s="3" t="str" cm="1">
        <f t="array" ref="AN57">IF(OR(Y57:AM57="NO"),"Critico","No Critico")</f>
        <v>No Critico</v>
      </c>
    </row>
    <row r="58" spans="1:40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IF(Inicial!N57="SI",Inicial!E57,"N/A")</f>
        <v>N/A</v>
      </c>
      <c r="F58" s="53" t="str">
        <f>IF(Inicial!N57="SI",Inicial!F57,"N/A")</f>
        <v>N/A</v>
      </c>
      <c r="G58" s="53" t="str">
        <f>IF(Inicial!N57="SI",Inicial!G57,"N/A")</f>
        <v>N/A</v>
      </c>
      <c r="H58" s="53" t="str">
        <f>IF(Inicial!N57="SI",Inicial!H57,"N/A")</f>
        <v>N/A</v>
      </c>
      <c r="I58" s="55" t="str">
        <f>IF(Inicial!N57="SI",Inicial!I57,"N/A")</f>
        <v>N/A</v>
      </c>
      <c r="L58" s="1"/>
      <c r="M58" s="1"/>
      <c r="N58" s="1"/>
      <c r="O58" s="1"/>
      <c r="P58" s="1"/>
      <c r="Q58" s="1"/>
      <c r="R58" s="1"/>
      <c r="S58" s="1"/>
      <c r="T58" s="1"/>
      <c r="U58" s="1"/>
      <c r="X58" s="66" t="str" cm="1">
        <f t="array" ref="X58">IF(OR(J58:W58="NO"),"No aceptable","Aceptable")</f>
        <v>Aceptable</v>
      </c>
      <c r="AN58" s="3" t="str" cm="1">
        <f t="array" ref="AN58">IF(OR(Y58:AM58="NO"),"Critico","No Critico")</f>
        <v>No Critico</v>
      </c>
    </row>
    <row r="59" spans="1:40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IF(Inicial!N58="SI",Inicial!E58,"N/A")</f>
        <v>N/A</v>
      </c>
      <c r="F59" s="53" t="str">
        <f>IF(Inicial!N58="SI",Inicial!F58,"N/A")</f>
        <v>N/A</v>
      </c>
      <c r="G59" s="53" t="str">
        <f>IF(Inicial!N58="SI",Inicial!G58,"N/A")</f>
        <v>N/A</v>
      </c>
      <c r="H59" s="53" t="str">
        <f>IF(Inicial!N58="SI",Inicial!H58,"N/A")</f>
        <v>N/A</v>
      </c>
      <c r="I59" s="55" t="str">
        <f>IF(Inicial!N58="SI",Inicial!I58,"N/A")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X59" s="66" t="str" cm="1">
        <f t="array" ref="X59">IF(OR(J59:W59="NO"),"No aceptable","Aceptable")</f>
        <v>Aceptable</v>
      </c>
      <c r="AN59" s="3" t="str" cm="1">
        <f t="array" ref="AN59">IF(OR(Y59:AM59="NO"),"Critico","No Critico")</f>
        <v>No Critico</v>
      </c>
    </row>
    <row r="60" spans="1:40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IF(Inicial!N59="SI",Inicial!E59,"N/A")</f>
        <v>N/A</v>
      </c>
      <c r="F60" s="53" t="str">
        <f>IF(Inicial!N59="SI",Inicial!F59,"N/A")</f>
        <v>N/A</v>
      </c>
      <c r="G60" s="53" t="str">
        <f>IF(Inicial!N59="SI",Inicial!G59,"N/A")</f>
        <v>N/A</v>
      </c>
      <c r="H60" s="53" t="str">
        <f>IF(Inicial!N59="SI",Inicial!H59,"N/A")</f>
        <v>N/A</v>
      </c>
      <c r="I60" s="55" t="str">
        <f>IF(Inicial!N59="SI",Inicial!I59,"N/A")</f>
        <v>N/A</v>
      </c>
      <c r="L60" s="1"/>
      <c r="M60" s="1"/>
      <c r="N60" s="1"/>
      <c r="O60" s="1"/>
      <c r="P60" s="1"/>
      <c r="Q60" s="1"/>
      <c r="R60" s="1"/>
      <c r="S60" s="1"/>
      <c r="T60" s="1"/>
      <c r="U60" s="1"/>
      <c r="X60" s="66" t="str" cm="1">
        <f t="array" ref="X60">IF(OR(J60:W60="NO"),"No aceptable","Aceptable")</f>
        <v>Aceptable</v>
      </c>
      <c r="AN60" s="3" t="str" cm="1">
        <f t="array" ref="AN60">IF(OR(Y60:AM60="NO"),"Critico","No Critico")</f>
        <v>No Critico</v>
      </c>
    </row>
    <row r="61" spans="1:40">
      <c r="A61" s="52" t="e">
        <f>Inicial!#REF!</f>
        <v>#REF!</v>
      </c>
      <c r="B61" s="53" t="e">
        <f>Inicial!#REF!</f>
        <v>#REF!</v>
      </c>
      <c r="C61" s="53" t="e">
        <f>Inicial!#REF!</f>
        <v>#REF!</v>
      </c>
      <c r="D61" s="54" t="e">
        <f>Inicial!#REF!</f>
        <v>#REF!</v>
      </c>
      <c r="E61" s="52" t="e">
        <f>IF(Inicial!#REF!="SI",Inicial!#REF!,"N/A")</f>
        <v>#REF!</v>
      </c>
      <c r="F61" s="53" t="e">
        <f>IF(Inicial!#REF!="SI",Inicial!#REF!,"N/A")</f>
        <v>#REF!</v>
      </c>
      <c r="G61" s="53" t="e">
        <f>IF(Inicial!#REF!="SI",Inicial!#REF!,"N/A")</f>
        <v>#REF!</v>
      </c>
      <c r="H61" s="53" t="e">
        <f>IF(Inicial!#REF!="SI",Inicial!#REF!,"N/A")</f>
        <v>#REF!</v>
      </c>
      <c r="I61" s="55" t="e">
        <f>IF(Inicial!#REF!="SI",Inicial!#REF!,"N/A")</f>
        <v>#REF!</v>
      </c>
      <c r="L61" s="1"/>
      <c r="M61" s="1"/>
      <c r="N61" s="1"/>
      <c r="O61" s="1"/>
      <c r="P61" s="1"/>
      <c r="Q61" s="1"/>
      <c r="R61" s="1"/>
      <c r="S61" s="1"/>
      <c r="T61" s="1"/>
      <c r="U61" s="1"/>
      <c r="X61" s="66" t="str" cm="1">
        <f t="array" ref="X61">IF(OR(J61:W61="NO"),"No aceptable","Aceptable")</f>
        <v>Aceptable</v>
      </c>
      <c r="AN61" s="3" t="str" cm="1">
        <f t="array" ref="AN61">IF(OR(Y61:AM61="NO"),"Critico","No Critico")</f>
        <v>No Critico</v>
      </c>
    </row>
    <row r="62" spans="1:40">
      <c r="A62" s="52" t="e">
        <f>Inicial!#REF!</f>
        <v>#REF!</v>
      </c>
      <c r="B62" s="53" t="e">
        <f>Inicial!#REF!</f>
        <v>#REF!</v>
      </c>
      <c r="C62" s="53" t="e">
        <f>Inicial!#REF!</f>
        <v>#REF!</v>
      </c>
      <c r="D62" s="54" t="e">
        <f>Inicial!#REF!</f>
        <v>#REF!</v>
      </c>
      <c r="E62" s="52" t="e">
        <f>IF(Inicial!#REF!="SI",Inicial!#REF!,"N/A")</f>
        <v>#REF!</v>
      </c>
      <c r="F62" s="53" t="e">
        <f>IF(Inicial!#REF!="SI",Inicial!#REF!,"N/A")</f>
        <v>#REF!</v>
      </c>
      <c r="G62" s="53" t="e">
        <f>IF(Inicial!#REF!="SI",Inicial!#REF!,"N/A")</f>
        <v>#REF!</v>
      </c>
      <c r="H62" s="53" t="e">
        <f>IF(Inicial!#REF!="SI",Inicial!#REF!,"N/A")</f>
        <v>#REF!</v>
      </c>
      <c r="I62" s="55" t="e">
        <f>IF(Inicial!#REF!="SI",Inicial!#REF!,"N/A")</f>
        <v>#REF!</v>
      </c>
      <c r="L62" s="1"/>
      <c r="M62" s="1"/>
      <c r="N62" s="1"/>
      <c r="O62" s="1"/>
      <c r="P62" s="1"/>
      <c r="Q62" s="1"/>
      <c r="R62" s="1"/>
      <c r="S62" s="1"/>
      <c r="T62" s="1"/>
      <c r="U62" s="1"/>
      <c r="X62" s="66" t="str" cm="1">
        <f t="array" ref="X62">IF(OR(J62:W62="NO"),"No aceptable","Aceptable")</f>
        <v>Aceptable</v>
      </c>
      <c r="AN62" s="3" t="str" cm="1">
        <f t="array" ref="AN62">IF(OR(Y62:AM62="NO"),"Critico","No Critico")</f>
        <v>No Critico</v>
      </c>
    </row>
    <row r="63" spans="1:40" ht="25.5">
      <c r="A63" s="52">
        <f>Inicial!A60</f>
        <v>58</v>
      </c>
      <c r="B63" s="53" t="str">
        <f>Inicial!B60</f>
        <v>Desposte</v>
      </c>
      <c r="C63" s="53" t="str">
        <f>Inicial!C60</f>
        <v>Operador Línea Costillar</v>
      </c>
      <c r="D63" s="54" t="str">
        <f>Inicial!D60</f>
        <v xml:space="preserve">Cuadrar panceta </v>
      </c>
      <c r="E63" s="52" t="str">
        <f>IF(Inicial!N60="SI",Inicial!E60,"N/A")</f>
        <v>N/A</v>
      </c>
      <c r="F63" s="53" t="str">
        <f>IF(Inicial!N60="SI",Inicial!F60,"N/A")</f>
        <v>N/A</v>
      </c>
      <c r="G63" s="53" t="str">
        <f>IF(Inicial!N60="SI",Inicial!G60,"N/A")</f>
        <v>N/A</v>
      </c>
      <c r="H63" s="53" t="str">
        <f>IF(Inicial!N60="SI",Inicial!H60,"N/A")</f>
        <v>N/A</v>
      </c>
      <c r="I63" s="55" t="str">
        <f>IF(Inicial!N60="SI",Inicial!I60,"N/A")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X63" s="66" t="str" cm="1">
        <f t="array" ref="X63">IF(OR(J63:W63="NO"),"No aceptable","Aceptable")</f>
        <v>Aceptable</v>
      </c>
      <c r="AN63" s="3" t="str" cm="1">
        <f t="array" ref="AN63">IF(OR(Y63:AM63="NO"),"Critico","No Critico")</f>
        <v>No Critico</v>
      </c>
    </row>
    <row r="64" spans="1:40" ht="25.5">
      <c r="A64" s="52">
        <f>Inicial!A61</f>
        <v>59</v>
      </c>
      <c r="B64" s="53" t="str">
        <f>Inicial!B61</f>
        <v>Desposte</v>
      </c>
      <c r="C64" s="53" t="str">
        <f>Inicial!C61</f>
        <v>Operador Línea Costillar</v>
      </c>
      <c r="D64" s="54" t="str">
        <f>Inicial!D61</f>
        <v>Despunte Producto</v>
      </c>
      <c r="E64" s="52" t="str">
        <f>IF(Inicial!N61="SI",Inicial!E61,"N/A")</f>
        <v>N/A</v>
      </c>
      <c r="F64" s="53" t="str">
        <f>IF(Inicial!N61="SI",Inicial!F61,"N/A")</f>
        <v>N/A</v>
      </c>
      <c r="G64" s="53" t="str">
        <f>IF(Inicial!N61="SI",Inicial!G61,"N/A")</f>
        <v>N/A</v>
      </c>
      <c r="H64" s="53" t="str">
        <f>IF(Inicial!N61="SI",Inicial!H61,"N/A")</f>
        <v>N/A</v>
      </c>
      <c r="I64" s="55" t="str">
        <f>IF(Inicial!N61="SI",Inicial!I61,"N/A")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X64" s="66" t="str" cm="1">
        <f t="array" ref="X64">IF(OR(J64:W64="NO"),"No aceptable","Aceptable")</f>
        <v>Aceptable</v>
      </c>
      <c r="AN64" s="3" t="str" cm="1">
        <f t="array" ref="AN64">IF(OR(Y64:AM64="NO"),"Critico","No Critico")</f>
        <v>No Critico</v>
      </c>
    </row>
    <row r="65" spans="1:40" ht="25.5">
      <c r="A65" s="52">
        <f>Inicial!A62</f>
        <v>60</v>
      </c>
      <c r="B65" s="53" t="str">
        <f>Inicial!B62</f>
        <v>Desposte</v>
      </c>
      <c r="C65" s="53" t="str">
        <f>Inicial!C62</f>
        <v>Operador Línea Costillar</v>
      </c>
      <c r="D65" s="54" t="str">
        <f>Inicial!D62</f>
        <v>Prolijado Whizard (grasa)</v>
      </c>
      <c r="E65" s="52" t="str">
        <f>IF(Inicial!N62="SI",Inicial!E62,"N/A")</f>
        <v>N/A</v>
      </c>
      <c r="F65" s="53" t="str">
        <f>IF(Inicial!N62="SI",Inicial!F62,"N/A")</f>
        <v>N/A</v>
      </c>
      <c r="G65" s="53" t="str">
        <f>IF(Inicial!N62="SI",Inicial!G62,"N/A")</f>
        <v>N/A</v>
      </c>
      <c r="H65" s="53" t="str">
        <f>IF(Inicial!N62="SI",Inicial!H62,"N/A")</f>
        <v>N/A</v>
      </c>
      <c r="I65" s="55" t="str">
        <f>IF(Inicial!N62="SI",Inicial!I62,"N/A")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X65" s="66" t="str" cm="1">
        <f t="array" ref="X65">IF(OR(J65:W65="NO"),"No aceptable","Aceptable")</f>
        <v>Aceptable</v>
      </c>
      <c r="AN65" s="3" t="str" cm="1">
        <f t="array" ref="AN65">IF(OR(Y65:AM65="NO"),"Critico","No Critico")</f>
        <v>No Critico</v>
      </c>
    </row>
    <row r="66" spans="1:40" ht="25.5">
      <c r="A66" s="52">
        <f>Inicial!A63</f>
        <v>61</v>
      </c>
      <c r="B66" s="53" t="str">
        <f>Inicial!B63</f>
        <v>Desposte</v>
      </c>
      <c r="C66" s="53" t="str">
        <f>Inicial!C63</f>
        <v>Operador Línea Costillar</v>
      </c>
      <c r="D66" s="54" t="str">
        <f>Inicial!D63</f>
        <v>Calibrado</v>
      </c>
      <c r="E66" s="52" t="str">
        <f>IF(Inicial!N63="SI",Inicial!E63,"N/A")</f>
        <v>N/A</v>
      </c>
      <c r="F66" s="53" t="str">
        <f>IF(Inicial!N63="SI",Inicial!F63,"N/A")</f>
        <v>N/A</v>
      </c>
      <c r="G66" s="53" t="str">
        <f>IF(Inicial!N63="SI",Inicial!G63,"N/A")</f>
        <v>N/A</v>
      </c>
      <c r="H66" s="53" t="str">
        <f>IF(Inicial!N63="SI",Inicial!H63,"N/A")</f>
        <v>N/A</v>
      </c>
      <c r="I66" s="55" t="str">
        <f>IF(Inicial!N63="SI",Inicial!I63,"N/A")</f>
        <v>N/A</v>
      </c>
      <c r="L66" s="1"/>
      <c r="M66" s="1"/>
      <c r="N66" s="1"/>
      <c r="O66" s="1"/>
      <c r="P66" s="1"/>
      <c r="Q66" s="1"/>
      <c r="R66" s="1"/>
      <c r="S66" s="1"/>
      <c r="T66" s="1"/>
      <c r="U66" s="1"/>
      <c r="X66" s="66" t="str" cm="1">
        <f t="array" ref="X66">IF(OR(J66:W66="NO"),"No aceptable","Aceptable")</f>
        <v>Aceptable</v>
      </c>
      <c r="AN66" s="3" t="str" cm="1">
        <f t="array" ref="AN66">IF(OR(Y66:AM66="NO"),"Critico","No Critico")</f>
        <v>No Critico</v>
      </c>
    </row>
    <row r="67" spans="1:40" ht="25.5">
      <c r="A67" s="52">
        <f>Inicial!A64</f>
        <v>62</v>
      </c>
      <c r="B67" s="53" t="str">
        <f>Inicial!B64</f>
        <v>Desposte</v>
      </c>
      <c r="C67" s="53" t="str">
        <f>Inicial!C64</f>
        <v>Operador Línea Costillar</v>
      </c>
      <c r="D67" s="54" t="str">
        <f>Inicial!D64</f>
        <v>Cortado de Costillar</v>
      </c>
      <c r="E67" s="52" t="str">
        <f>IF(Inicial!N64="SI",Inicial!E64,"N/A")</f>
        <v>N/A</v>
      </c>
      <c r="F67" s="53" t="str">
        <f>IF(Inicial!N64="SI",Inicial!F64,"N/A")</f>
        <v>N/A</v>
      </c>
      <c r="G67" s="53" t="str">
        <f>IF(Inicial!N64="SI",Inicial!G64,"N/A")</f>
        <v>N/A</v>
      </c>
      <c r="H67" s="53" t="str">
        <f>IF(Inicial!N64="SI",Inicial!H64,"N/A")</f>
        <v>N/A</v>
      </c>
      <c r="I67" s="55" t="str">
        <f>IF(Inicial!N64="SI",Inicial!I64,"N/A")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X67" s="66" t="str" cm="1">
        <f t="array" ref="X67">IF(OR(J67:W67="NO"),"No aceptable","Aceptable")</f>
        <v>Aceptable</v>
      </c>
      <c r="AN67" s="3" t="str" cm="1">
        <f t="array" ref="AN67">IF(OR(Y67:AM67="NO"),"Critico","No Critico")</f>
        <v>No Critico</v>
      </c>
    </row>
    <row r="68" spans="1:40" ht="25.5">
      <c r="A68" s="52">
        <f>Inicial!A65</f>
        <v>63</v>
      </c>
      <c r="B68" s="53" t="str">
        <f>Inicial!B65</f>
        <v>Desposte</v>
      </c>
      <c r="C68" s="53" t="str">
        <f>Inicial!C65</f>
        <v>Operador Línea Costillar</v>
      </c>
      <c r="D68" s="54" t="str">
        <f>Inicial!D65</f>
        <v xml:space="preserve">Abastecer Línea </v>
      </c>
      <c r="E68" s="52" t="str">
        <f>IF(Inicial!N65="SI",Inicial!E65,"N/A")</f>
        <v>N/A</v>
      </c>
      <c r="F68" s="53" t="str">
        <f>IF(Inicial!N65="SI",Inicial!F65,"N/A")</f>
        <v>N/A</v>
      </c>
      <c r="G68" s="53" t="str">
        <f>IF(Inicial!N65="SI",Inicial!G65,"N/A")</f>
        <v>N/A</v>
      </c>
      <c r="H68" s="53" t="str">
        <f>IF(Inicial!N65="SI",Inicial!H65,"N/A")</f>
        <v>N/A</v>
      </c>
      <c r="I68" s="55" t="str">
        <f>IF(Inicial!N65="SI",Inicial!I65,"N/A")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X68" s="66" t="str" cm="1">
        <f t="array" ref="X68">IF(OR(J68:W68="NO"),"No aceptable","Aceptable")</f>
        <v>Aceptable</v>
      </c>
      <c r="AN68" s="3" t="str" cm="1">
        <f t="array" ref="AN68">IF(OR(Y68:AM68="NO"),"Critico","No Critico")</f>
        <v>No Critico</v>
      </c>
    </row>
    <row r="69" spans="1:40" ht="25.5">
      <c r="A69" s="52">
        <f>Inicial!A66</f>
        <v>64</v>
      </c>
      <c r="B69" s="53" t="str">
        <f>Inicial!B66</f>
        <v>Desposte</v>
      </c>
      <c r="C69" s="53" t="str">
        <f>Inicial!C66</f>
        <v>Operador Línea paleta</v>
      </c>
      <c r="D69" s="54" t="str">
        <f>Inicial!D66</f>
        <v>Separación de Vetado</v>
      </c>
      <c r="E69" s="52" t="str">
        <f>IF(Inicial!N66="SI",Inicial!E66,"N/A")</f>
        <v>N/A</v>
      </c>
      <c r="F69" s="53" t="str">
        <f>IF(Inicial!N66="SI",Inicial!F66,"N/A")</f>
        <v>N/A</v>
      </c>
      <c r="G69" s="53" t="str">
        <f>IF(Inicial!N66="SI",Inicial!G66,"N/A")</f>
        <v>N/A</v>
      </c>
      <c r="H69" s="53" t="str">
        <f>IF(Inicial!N66="SI",Inicial!H66,"N/A")</f>
        <v>N/A</v>
      </c>
      <c r="I69" s="55" t="str">
        <f>IF(Inicial!N66="SI",Inicial!I66,"N/A")</f>
        <v>N/A</v>
      </c>
      <c r="L69" s="1"/>
      <c r="M69" s="1"/>
      <c r="N69" s="1"/>
      <c r="O69" s="1"/>
      <c r="P69" s="1"/>
      <c r="Q69" s="1"/>
      <c r="R69" s="1"/>
      <c r="S69" s="1"/>
      <c r="T69" s="1"/>
      <c r="U69" s="1"/>
      <c r="X69" s="66" t="str" cm="1">
        <f t="array" ref="X69">IF(OR(J69:W69="NO"),"No aceptable","Aceptable")</f>
        <v>Aceptable</v>
      </c>
      <c r="AN69" s="3" t="str" cm="1">
        <f t="array" ref="AN69">IF(OR(Y69:AM69="NO"),"Critico","No Critico")</f>
        <v>No Critico</v>
      </c>
    </row>
    <row r="70" spans="1:40" ht="25.5">
      <c r="A70" s="52">
        <f>Inicial!A67</f>
        <v>65</v>
      </c>
      <c r="B70" s="53" t="str">
        <f>Inicial!B67</f>
        <v>Desposte</v>
      </c>
      <c r="C70" s="53" t="str">
        <f>Inicial!C67</f>
        <v>Operador Línea paleta</v>
      </c>
      <c r="D70" s="54" t="str">
        <f>Inicial!D67</f>
        <v>Segrega Producto</v>
      </c>
      <c r="E70" s="52" t="str">
        <f>IF(Inicial!N67="SI",Inicial!E67,"N/A")</f>
        <v>N/A</v>
      </c>
      <c r="F70" s="53" t="str">
        <f>IF(Inicial!N67="SI",Inicial!F67,"N/A")</f>
        <v>N/A</v>
      </c>
      <c r="G70" s="53" t="str">
        <f>IF(Inicial!N67="SI",Inicial!G67,"N/A")</f>
        <v>N/A</v>
      </c>
      <c r="H70" s="53" t="str">
        <f>IF(Inicial!N67="SI",Inicial!H67,"N/A")</f>
        <v>N/A</v>
      </c>
      <c r="I70" s="55" t="str">
        <f>IF(Inicial!N67="SI",Inicial!I67,"N/A")</f>
        <v>N/A</v>
      </c>
      <c r="L70" s="1"/>
      <c r="M70" s="1"/>
      <c r="N70" s="1"/>
      <c r="O70" s="1"/>
      <c r="P70" s="1"/>
      <c r="Q70" s="1"/>
      <c r="R70" s="1"/>
      <c r="S70" s="1"/>
      <c r="T70" s="1"/>
      <c r="U70" s="1"/>
      <c r="X70" s="66" t="str" cm="1">
        <f t="array" ref="X70">IF(OR(J70:W70="NO"),"No aceptable","Aceptable")</f>
        <v>Aceptable</v>
      </c>
      <c r="AN70" s="3" t="str" cm="1">
        <f t="array" ref="AN70">IF(OR(Y70:AM70="NO"),"Critico","No Critico")</f>
        <v>No Critico</v>
      </c>
    </row>
    <row r="71" spans="1:40" ht="25.5">
      <c r="A71" s="52">
        <f>Inicial!A68</f>
        <v>66</v>
      </c>
      <c r="B71" s="53" t="str">
        <f>Inicial!B68</f>
        <v>Desposte</v>
      </c>
      <c r="C71" s="53" t="str">
        <f>Inicial!C68</f>
        <v>Operador Línea paleta</v>
      </c>
      <c r="D71" s="54" t="str">
        <f>Inicial!D68</f>
        <v>Papada</v>
      </c>
      <c r="E71" s="52" t="str">
        <f>IF(Inicial!N68="SI",Inicial!E68,"N/A")</f>
        <v>N/A</v>
      </c>
      <c r="F71" s="53" t="str">
        <f>IF(Inicial!N68="SI",Inicial!F68,"N/A")</f>
        <v>N/A</v>
      </c>
      <c r="G71" s="53" t="str">
        <f>IF(Inicial!N68="SI",Inicial!G68,"N/A")</f>
        <v>N/A</v>
      </c>
      <c r="H71" s="53" t="str">
        <f>IF(Inicial!N68="SI",Inicial!H68,"N/A")</f>
        <v>N/A</v>
      </c>
      <c r="I71" s="55" t="str">
        <f>IF(Inicial!N68="SI",Inicial!I68,"N/A")</f>
        <v>N/A</v>
      </c>
      <c r="L71" s="1"/>
      <c r="M71" s="1"/>
      <c r="N71" s="1"/>
      <c r="O71" s="1"/>
      <c r="P71" s="1"/>
      <c r="Q71" s="1"/>
      <c r="R71" s="1"/>
      <c r="S71" s="1"/>
      <c r="T71" s="1"/>
      <c r="U71" s="1"/>
      <c r="X71" s="66" t="str" cm="1">
        <f t="array" ref="X71">IF(OR(J71:W71="NO"),"No aceptable","Aceptable")</f>
        <v>Aceptable</v>
      </c>
      <c r="AN71" s="3" t="str" cm="1">
        <f t="array" ref="AN71">IF(OR(Y71:AM71="NO"),"Critico","No Critico")</f>
        <v>No Critico</v>
      </c>
    </row>
    <row r="72" spans="1:40" ht="25.5">
      <c r="A72" s="52">
        <f>Inicial!A69</f>
        <v>67</v>
      </c>
      <c r="B72" s="53" t="str">
        <f>Inicial!B69</f>
        <v>Desposte</v>
      </c>
      <c r="C72" s="53" t="str">
        <f>Inicial!C69</f>
        <v>Operador Línea paleta</v>
      </c>
      <c r="D72" s="54" t="str">
        <f>Inicial!D69</f>
        <v>Forrero</v>
      </c>
      <c r="E72" s="52" t="str">
        <f>IF(Inicial!N69="SI",Inicial!E69,"N/A")</f>
        <v>N/A</v>
      </c>
      <c r="F72" s="53" t="str">
        <f>IF(Inicial!N69="SI",Inicial!F69,"N/A")</f>
        <v>N/A</v>
      </c>
      <c r="G72" s="53" t="str">
        <f>IF(Inicial!N69="SI",Inicial!G69,"N/A")</f>
        <v>N/A</v>
      </c>
      <c r="H72" s="53" t="str">
        <f>IF(Inicial!N69="SI",Inicial!H69,"N/A")</f>
        <v>N/A</v>
      </c>
      <c r="I72" s="55" t="str">
        <f>IF(Inicial!N69="SI",Inicial!I69,"N/A")</f>
        <v>N/A</v>
      </c>
      <c r="L72" s="1"/>
      <c r="M72" s="1"/>
      <c r="N72" s="1"/>
      <c r="O72" s="1"/>
      <c r="P72" s="1"/>
      <c r="Q72" s="1"/>
      <c r="R72" s="1"/>
      <c r="S72" s="1"/>
      <c r="T72" s="1"/>
      <c r="U72" s="1"/>
      <c r="X72" s="66" t="str" cm="1">
        <f t="array" ref="X72">IF(OR(J72:W72="NO"),"No aceptable","Aceptable")</f>
        <v>Aceptable</v>
      </c>
      <c r="AN72" s="3" t="str" cm="1">
        <f t="array" ref="AN72">IF(OR(Y72:AM72="NO"),"Critico","No Critico")</f>
        <v>No Critico</v>
      </c>
    </row>
    <row r="73" spans="1:40" ht="25.5">
      <c r="A73" s="52">
        <f>Inicial!A70</f>
        <v>68</v>
      </c>
      <c r="B73" s="53" t="str">
        <f>Inicial!B70</f>
        <v>Desposte</v>
      </c>
      <c r="C73" s="53" t="str">
        <f>Inicial!C70</f>
        <v>Operador Línea paleta</v>
      </c>
      <c r="D73" s="54" t="str">
        <f>Inicial!D70</f>
        <v>Rayado</v>
      </c>
      <c r="E73" s="52" t="str">
        <f>IF(Inicial!N70="SI",Inicial!E70,"N/A")</f>
        <v>N/A</v>
      </c>
      <c r="F73" s="53" t="str">
        <f>IF(Inicial!N70="SI",Inicial!F70,"N/A")</f>
        <v>N/A</v>
      </c>
      <c r="G73" s="53" t="str">
        <f>IF(Inicial!N70="SI",Inicial!G70,"N/A")</f>
        <v>N/A</v>
      </c>
      <c r="H73" s="53" t="str">
        <f>IF(Inicial!N70="SI",Inicial!H70,"N/A")</f>
        <v>N/A</v>
      </c>
      <c r="I73" s="55" t="str">
        <f>IF(Inicial!N70="SI",Inicial!I70,"N/A")</f>
        <v>N/A</v>
      </c>
      <c r="L73" s="1"/>
      <c r="M73" s="1"/>
      <c r="N73" s="1"/>
      <c r="O73" s="1"/>
      <c r="P73" s="1"/>
      <c r="Q73" s="1"/>
      <c r="R73" s="1"/>
      <c r="S73" s="1"/>
      <c r="T73" s="1"/>
      <c r="U73" s="1"/>
      <c r="X73" s="66" t="str" cm="1">
        <f t="array" ref="X73">IF(OR(J73:W73="NO"),"No aceptable","Aceptable")</f>
        <v>Aceptable</v>
      </c>
      <c r="AN73" s="3" t="str" cm="1">
        <f t="array" ref="AN73">IF(OR(Y73:AM73="NO"),"Critico","No Critico")</f>
        <v>No Critico</v>
      </c>
    </row>
    <row r="74" spans="1:40" ht="25.5">
      <c r="A74" s="52">
        <f>Inicial!A71</f>
        <v>69</v>
      </c>
      <c r="B74" s="53" t="str">
        <f>Inicial!B71</f>
        <v>Desposte</v>
      </c>
      <c r="C74" s="53" t="str">
        <f>Inicial!C71</f>
        <v>Operador Línea paleta</v>
      </c>
      <c r="D74" s="54" t="str">
        <f>Inicial!D71</f>
        <v>Cortar Plateada</v>
      </c>
      <c r="E74" s="52" t="str">
        <f>IF(Inicial!N71="SI",Inicial!E71,"N/A")</f>
        <v>N/A</v>
      </c>
      <c r="F74" s="53" t="str">
        <f>IF(Inicial!N71="SI",Inicial!F71,"N/A")</f>
        <v>N/A</v>
      </c>
      <c r="G74" s="53" t="str">
        <f>IF(Inicial!N71="SI",Inicial!G71,"N/A")</f>
        <v>N/A</v>
      </c>
      <c r="H74" s="53" t="str">
        <f>IF(Inicial!N71="SI",Inicial!H71,"N/A")</f>
        <v>N/A</v>
      </c>
      <c r="I74" s="55" t="str">
        <f>IF(Inicial!N71="SI",Inicial!I71,"N/A")</f>
        <v>N/A</v>
      </c>
      <c r="L74" s="1"/>
      <c r="M74" s="1"/>
      <c r="N74" s="1"/>
      <c r="O74" s="1"/>
      <c r="P74" s="1"/>
      <c r="Q74" s="1"/>
      <c r="R74" s="1"/>
      <c r="S74" s="1"/>
      <c r="T74" s="1"/>
      <c r="U74" s="1"/>
      <c r="X74" s="66" t="str" cm="1">
        <f t="array" ref="X74">IF(OR(J74:W74="NO"),"No aceptable","Aceptable")</f>
        <v>Aceptable</v>
      </c>
      <c r="AN74" s="3" t="str" cm="1">
        <f t="array" ref="AN74">IF(OR(Y74:AM74="NO"),"Critico","No Critico")</f>
        <v>No Critico</v>
      </c>
    </row>
    <row r="75" spans="1:40" ht="25.5">
      <c r="A75" s="52">
        <f>Inicial!A72</f>
        <v>70</v>
      </c>
      <c r="B75" s="53" t="str">
        <f>Inicial!B72</f>
        <v>Desposte</v>
      </c>
      <c r="C75" s="53" t="str">
        <f>Inicial!C72</f>
        <v>Operador Línea paleta</v>
      </c>
      <c r="D75" s="54" t="str">
        <f>Inicial!D72</f>
        <v>Pistola Escapula</v>
      </c>
      <c r="E75" s="52" t="str">
        <f>IF(Inicial!N72="SI",Inicial!E72,"N/A")</f>
        <v>N/A</v>
      </c>
      <c r="F75" s="53" t="str">
        <f>IF(Inicial!N72="SI",Inicial!F72,"N/A")</f>
        <v>N/A</v>
      </c>
      <c r="G75" s="53" t="str">
        <f>IF(Inicial!N72="SI",Inicial!G72,"N/A")</f>
        <v>N/A</v>
      </c>
      <c r="H75" s="53" t="str">
        <f>IF(Inicial!N72="SI",Inicial!H72,"N/A")</f>
        <v>N/A</v>
      </c>
      <c r="I75" s="55" t="str">
        <f>IF(Inicial!N72="SI",Inicial!I72,"N/A")</f>
        <v>N/A</v>
      </c>
      <c r="L75" s="1"/>
      <c r="M75" s="1"/>
      <c r="N75" s="1"/>
      <c r="O75" s="1"/>
      <c r="P75" s="1"/>
      <c r="Q75" s="1"/>
      <c r="R75" s="1"/>
      <c r="S75" s="1"/>
      <c r="T75" s="1"/>
      <c r="U75" s="1"/>
      <c r="X75" s="66" t="str" cm="1">
        <f t="array" ref="X75">IF(OR(J75:W75="NO"),"No aceptable","Aceptable")</f>
        <v>Aceptable</v>
      </c>
      <c r="AN75" s="3" t="str" cm="1">
        <f t="array" ref="AN75">IF(OR(Y75:AM75="NO"),"Critico","No Critico")</f>
        <v>No Critico</v>
      </c>
    </row>
    <row r="76" spans="1:40" ht="25.5">
      <c r="A76" s="52">
        <f>Inicial!A73</f>
        <v>71</v>
      </c>
      <c r="B76" s="53" t="str">
        <f>Inicial!B73</f>
        <v>Desposte</v>
      </c>
      <c r="C76" s="53" t="str">
        <f>Inicial!C73</f>
        <v>Operador Línea paleta</v>
      </c>
      <c r="D76" s="54" t="str">
        <f>Inicial!D73</f>
        <v>Deshuesado Escapula</v>
      </c>
      <c r="E76" s="52" t="str">
        <f>IF(Inicial!N73="SI",Inicial!E73,"N/A")</f>
        <v>N/A</v>
      </c>
      <c r="F76" s="53" t="str">
        <f>IF(Inicial!N73="SI",Inicial!F73,"N/A")</f>
        <v>N/A</v>
      </c>
      <c r="G76" s="53" t="str">
        <f>IF(Inicial!N73="SI",Inicial!G73,"N/A")</f>
        <v>N/A</v>
      </c>
      <c r="H76" s="53" t="str">
        <f>IF(Inicial!N73="SI",Inicial!H73,"N/A")</f>
        <v>N/A</v>
      </c>
      <c r="I76" s="55" t="str">
        <f>IF(Inicial!N73="SI",Inicial!I73,"N/A")</f>
        <v>N/A</v>
      </c>
      <c r="L76" s="1"/>
      <c r="M76" s="1"/>
      <c r="N76" s="1"/>
      <c r="O76" s="1"/>
      <c r="P76" s="1"/>
      <c r="Q76" s="1"/>
      <c r="R76" s="1"/>
      <c r="S76" s="1"/>
      <c r="T76" s="1"/>
      <c r="U76" s="1"/>
      <c r="X76" s="66" t="str" cm="1">
        <f t="array" ref="X76">IF(OR(J76:W76="NO"),"No aceptable","Aceptable")</f>
        <v>Aceptable</v>
      </c>
      <c r="AN76" s="3" t="str" cm="1">
        <f t="array" ref="AN76">IF(OR(Y76:AM76="NO"),"Critico","No Critico")</f>
        <v>No Critico</v>
      </c>
    </row>
    <row r="77" spans="1:40" ht="25.5">
      <c r="A77" s="52">
        <f>Inicial!A74</f>
        <v>72</v>
      </c>
      <c r="B77" s="53" t="str">
        <f>Inicial!B74</f>
        <v>Desposte</v>
      </c>
      <c r="C77" s="53" t="str">
        <f>Inicial!C74</f>
        <v>Operador Línea paleta</v>
      </c>
      <c r="D77" s="54" t="str">
        <f>Inicial!D74</f>
        <v>Deshuesado Humero</v>
      </c>
      <c r="E77" s="52" t="str">
        <f>IF(Inicial!N74="SI",Inicial!E74,"N/A")</f>
        <v>N/A</v>
      </c>
      <c r="F77" s="53" t="str">
        <f>IF(Inicial!N74="SI",Inicial!F74,"N/A")</f>
        <v>N/A</v>
      </c>
      <c r="G77" s="53" t="str">
        <f>IF(Inicial!N74="SI",Inicial!G74,"N/A")</f>
        <v>N/A</v>
      </c>
      <c r="H77" s="53" t="str">
        <f>IF(Inicial!N74="SI",Inicial!H74,"N/A")</f>
        <v>N/A</v>
      </c>
      <c r="I77" s="55" t="str">
        <f>IF(Inicial!N74="SI",Inicial!I74,"N/A")</f>
        <v>N/A</v>
      </c>
      <c r="L77" s="1"/>
      <c r="M77" s="1"/>
      <c r="N77" s="1"/>
      <c r="O77" s="1"/>
      <c r="P77" s="1"/>
      <c r="Q77" s="1"/>
      <c r="R77" s="1"/>
      <c r="S77" s="1"/>
      <c r="T77" s="1"/>
      <c r="U77" s="1"/>
      <c r="X77" s="66" t="str" cm="1">
        <f t="array" ref="X77">IF(OR(J77:W77="NO"),"No aceptable","Aceptable")</f>
        <v>Aceptable</v>
      </c>
      <c r="AN77" s="3" t="str" cm="1">
        <f t="array" ref="AN77">IF(OR(Y77:AM77="NO"),"Critico","No Critico")</f>
        <v>No Critico</v>
      </c>
    </row>
    <row r="78" spans="1:40" ht="25.5">
      <c r="A78" s="52">
        <f>Inicial!A75</f>
        <v>73</v>
      </c>
      <c r="B78" s="53" t="str">
        <f>Inicial!B75</f>
        <v>Desposte</v>
      </c>
      <c r="C78" s="53" t="str">
        <f>Inicial!C75</f>
        <v>Operador Línea paleta</v>
      </c>
      <c r="D78" s="54" t="str">
        <f>Inicial!D75</f>
        <v>Embolsado</v>
      </c>
      <c r="E78" s="52" t="str">
        <f>IF(Inicial!N75="SI",Inicial!E75,"N/A")</f>
        <v>N/A</v>
      </c>
      <c r="F78" s="53" t="str">
        <f>IF(Inicial!N75="SI",Inicial!F75,"N/A")</f>
        <v>N/A</v>
      </c>
      <c r="G78" s="53" t="str">
        <f>IF(Inicial!N75="SI",Inicial!G75,"N/A")</f>
        <v>N/A</v>
      </c>
      <c r="H78" s="53" t="str">
        <f>IF(Inicial!N75="SI",Inicial!H75,"N/A")</f>
        <v>N/A</v>
      </c>
      <c r="I78" s="55" t="str">
        <f>IF(Inicial!N75="SI",Inicial!I75,"N/A")</f>
        <v>N/A</v>
      </c>
      <c r="L78" s="1"/>
      <c r="M78" s="1"/>
      <c r="N78" s="1"/>
      <c r="O78" s="1"/>
      <c r="P78" s="1"/>
      <c r="Q78" s="1"/>
      <c r="R78" s="1"/>
      <c r="S78" s="1"/>
      <c r="T78" s="1"/>
      <c r="U78" s="1"/>
      <c r="X78" s="66" t="str" cm="1">
        <f t="array" ref="X78">IF(OR(J78:W78="NO"),"No aceptable","Aceptable")</f>
        <v>Aceptable</v>
      </c>
      <c r="AN78" s="3" t="str" cm="1">
        <f t="array" ref="AN78">IF(OR(Y78:AM78="NO"),"Critico","No Critico")</f>
        <v>No Critico</v>
      </c>
    </row>
    <row r="79" spans="1:40" ht="25.5">
      <c r="A79" s="52">
        <f>Inicial!A76</f>
        <v>74</v>
      </c>
      <c r="B79" s="53" t="str">
        <f>Inicial!B76</f>
        <v>Desposte</v>
      </c>
      <c r="C79" s="53" t="str">
        <f>Inicial!C76</f>
        <v>Operador Línea paleta</v>
      </c>
      <c r="D79" s="54" t="str">
        <f>Inicial!D76</f>
        <v>Prolijado</v>
      </c>
      <c r="E79" s="52" t="str">
        <f>IF(Inicial!N76="SI",Inicial!E76,"N/A")</f>
        <v>N/A</v>
      </c>
      <c r="F79" s="53" t="str">
        <f>IF(Inicial!N76="SI",Inicial!F76,"N/A")</f>
        <v>N/A</v>
      </c>
      <c r="G79" s="53" t="str">
        <f>IF(Inicial!N76="SI",Inicial!G76,"N/A")</f>
        <v>N/A</v>
      </c>
      <c r="H79" s="53" t="str">
        <f>IF(Inicial!N76="SI",Inicial!H76,"N/A")</f>
        <v>N/A</v>
      </c>
      <c r="I79" s="55" t="str">
        <f>IF(Inicial!N76="SI",Inicial!I76,"N/A")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X79" s="66" t="str" cm="1">
        <f t="array" ref="X79">IF(OR(J79:W79="NO"),"No aceptable","Aceptable")</f>
        <v>Aceptable</v>
      </c>
      <c r="AN79" s="3" t="str" cm="1">
        <f t="array" ref="AN79">IF(OR(Y79:AM79="NO"),"Critico","No Critico")</f>
        <v>No Critico</v>
      </c>
    </row>
    <row r="80" spans="1:40" ht="25.5">
      <c r="A80" s="52">
        <f>Inicial!A77</f>
        <v>75</v>
      </c>
      <c r="B80" s="53" t="str">
        <f>Inicial!B77</f>
        <v>Desposte</v>
      </c>
      <c r="C80" s="53" t="str">
        <f>Inicial!C77</f>
        <v>Operador LíneaVetado</v>
      </c>
      <c r="D80" s="54" t="str">
        <f>Inicial!D77</f>
        <v xml:space="preserve">Abastecer máquina </v>
      </c>
      <c r="E80" s="52" t="str">
        <f>IF(Inicial!N77="SI",Inicial!E77,"N/A")</f>
        <v>N/A</v>
      </c>
      <c r="F80" s="53" t="str">
        <f>IF(Inicial!N77="SI",Inicial!F77,"N/A")</f>
        <v>N/A</v>
      </c>
      <c r="G80" s="53" t="str">
        <f>IF(Inicial!N77="SI",Inicial!G77,"N/A")</f>
        <v>N/A</v>
      </c>
      <c r="H80" s="53" t="str">
        <f>IF(Inicial!N77="SI",Inicial!H77,"N/A")</f>
        <v>N/A</v>
      </c>
      <c r="I80" s="55" t="str">
        <f>IF(Inicial!N77="SI",Inicial!I77,"N/A")</f>
        <v>N/A</v>
      </c>
      <c r="L80" s="1"/>
      <c r="M80" s="1"/>
      <c r="N80" s="1"/>
      <c r="O80" s="1"/>
      <c r="P80" s="1"/>
      <c r="Q80" s="1"/>
      <c r="R80" s="1"/>
      <c r="S80" s="1"/>
      <c r="T80" s="1"/>
      <c r="U80" s="1"/>
      <c r="X80" s="66" t="str" cm="1">
        <f t="array" ref="X80">IF(OR(J80:W80="NO"),"No aceptable","Aceptable")</f>
        <v>Aceptable</v>
      </c>
      <c r="AN80" s="3" t="str" cm="1">
        <f t="array" ref="AN80">IF(OR(Y80:AM80="NO"),"Critico","No Critico")</f>
        <v>No Critico</v>
      </c>
    </row>
    <row r="81" spans="1:40" ht="25.5">
      <c r="A81" s="52">
        <f>Inicial!A78</f>
        <v>76</v>
      </c>
      <c r="B81" s="53" t="str">
        <f>Inicial!B78</f>
        <v>Desposte</v>
      </c>
      <c r="C81" s="53" t="str">
        <f>Inicial!C78</f>
        <v>Operador LíneaVetado</v>
      </c>
      <c r="D81" s="54" t="str">
        <f>Inicial!D78</f>
        <v>Punta Costilla</v>
      </c>
      <c r="E81" s="52" t="str">
        <f>IF(Inicial!N78="SI",Inicial!E78,"N/A")</f>
        <v>N/A</v>
      </c>
      <c r="F81" s="53" t="str">
        <f>IF(Inicial!N78="SI",Inicial!F78,"N/A")</f>
        <v>N/A</v>
      </c>
      <c r="G81" s="53" t="str">
        <f>IF(Inicial!N78="SI",Inicial!G78,"N/A")</f>
        <v>N/A</v>
      </c>
      <c r="H81" s="53" t="str">
        <f>IF(Inicial!N78="SI",Inicial!H78,"N/A")</f>
        <v>N/A</v>
      </c>
      <c r="I81" s="55" t="str">
        <f>IF(Inicial!N78="SI",Inicial!I78,"N/A")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X81" s="66" t="str" cm="1">
        <f t="array" ref="X81">IF(OR(J81:W81="NO"),"No aceptable","Aceptable")</f>
        <v>Aceptable</v>
      </c>
      <c r="AN81" s="3" t="str" cm="1">
        <f t="array" ref="AN81">IF(OR(Y81:AM81="NO"),"Critico","No Critico")</f>
        <v>No Critico</v>
      </c>
    </row>
    <row r="82" spans="1:40" ht="25.5">
      <c r="A82" s="52">
        <f>Inicial!A79</f>
        <v>77</v>
      </c>
      <c r="B82" s="53" t="str">
        <f>Inicial!B79</f>
        <v>Desposte</v>
      </c>
      <c r="C82" s="53" t="str">
        <f>Inicial!C79</f>
        <v>Operador LíneaVetado</v>
      </c>
      <c r="D82" s="54" t="str">
        <f>Inicial!D79</f>
        <v xml:space="preserve">Hueso Externón </v>
      </c>
      <c r="E82" s="52" t="str">
        <f>IF(Inicial!N79="SI",Inicial!E79,"N/A")</f>
        <v>N/A</v>
      </c>
      <c r="F82" s="53" t="str">
        <f>IF(Inicial!N79="SI",Inicial!F79,"N/A")</f>
        <v>N/A</v>
      </c>
      <c r="G82" s="53" t="str">
        <f>IF(Inicial!N79="SI",Inicial!G79,"N/A")</f>
        <v>N/A</v>
      </c>
      <c r="H82" s="53" t="str">
        <f>IF(Inicial!N79="SI",Inicial!H79,"N/A")</f>
        <v>N/A</v>
      </c>
      <c r="I82" s="55" t="str">
        <f>IF(Inicial!N79="SI",Inicial!I79,"N/A")</f>
        <v>N/A</v>
      </c>
      <c r="L82" s="1"/>
      <c r="M82" s="1"/>
      <c r="N82" s="1"/>
      <c r="O82" s="1"/>
      <c r="P82" s="1"/>
      <c r="Q82" s="1"/>
      <c r="R82" s="1"/>
      <c r="S82" s="1"/>
      <c r="T82" s="1"/>
      <c r="U82" s="1"/>
      <c r="X82" s="66" t="str" cm="1">
        <f t="array" ref="X82">IF(OR(J82:W82="NO"),"No aceptable","Aceptable")</f>
        <v>Aceptable</v>
      </c>
      <c r="AN82" s="3" t="str" cm="1">
        <f t="array" ref="AN82">IF(OR(Y82:AM82="NO"),"Critico","No Critico")</f>
        <v>No Critico</v>
      </c>
    </row>
    <row r="83" spans="1:40" ht="25.5">
      <c r="A83" s="52">
        <f>Inicial!A80</f>
        <v>78</v>
      </c>
      <c r="B83" s="53" t="str">
        <f>Inicial!B80</f>
        <v>Desposte</v>
      </c>
      <c r="C83" s="53" t="str">
        <f>Inicial!C80</f>
        <v>Operador LíneaVetado</v>
      </c>
      <c r="D83" s="54" t="str">
        <f>Inicial!D80</f>
        <v>Costillita</v>
      </c>
      <c r="E83" s="52" t="str">
        <f>IF(Inicial!N80="SI",Inicial!E80,"N/A")</f>
        <v>N/A</v>
      </c>
      <c r="F83" s="53" t="str">
        <f>IF(Inicial!N80="SI",Inicial!F80,"N/A")</f>
        <v>N/A</v>
      </c>
      <c r="G83" s="53" t="str">
        <f>IF(Inicial!N80="SI",Inicial!G80,"N/A")</f>
        <v>N/A</v>
      </c>
      <c r="H83" s="53" t="str">
        <f>IF(Inicial!N80="SI",Inicial!H80,"N/A")</f>
        <v>N/A</v>
      </c>
      <c r="I83" s="55" t="str">
        <f>IF(Inicial!N80="SI",Inicial!I80,"N/A")</f>
        <v>N/A</v>
      </c>
      <c r="L83" s="1"/>
      <c r="M83" s="1"/>
      <c r="N83" s="1"/>
      <c r="O83" s="1"/>
      <c r="P83" s="1"/>
      <c r="Q83" s="1"/>
      <c r="R83" s="1"/>
      <c r="S83" s="1"/>
      <c r="T83" s="1"/>
      <c r="U83" s="1"/>
      <c r="X83" s="66" t="str" cm="1">
        <f t="array" ref="X83">IF(OR(J83:W83="NO"),"No aceptable","Aceptable")</f>
        <v>Aceptable</v>
      </c>
      <c r="AN83" s="3" t="str" cm="1">
        <f t="array" ref="AN83">IF(OR(Y83:AM83="NO"),"Critico","No Critico")</f>
        <v>No Critico</v>
      </c>
    </row>
    <row r="84" spans="1:40" ht="25.5">
      <c r="A84" s="52">
        <f>Inicial!A81</f>
        <v>79</v>
      </c>
      <c r="B84" s="53" t="str">
        <f>Inicial!B81</f>
        <v>Desposte</v>
      </c>
      <c r="C84" s="53" t="str">
        <f>Inicial!C81</f>
        <v>Operador LíneaVetado</v>
      </c>
      <c r="D84" s="54" t="str">
        <f>Inicial!D81</f>
        <v>Prolijado de Papada</v>
      </c>
      <c r="E84" s="52" t="str">
        <f>IF(Inicial!N81="SI",Inicial!E81,"N/A")</f>
        <v>N/A</v>
      </c>
      <c r="F84" s="53" t="str">
        <f>IF(Inicial!N81="SI",Inicial!F81,"N/A")</f>
        <v>N/A</v>
      </c>
      <c r="G84" s="53" t="str">
        <f>IF(Inicial!N81="SI",Inicial!G81,"N/A")</f>
        <v>N/A</v>
      </c>
      <c r="H84" s="53" t="str">
        <f>IF(Inicial!N81="SI",Inicial!H81,"N/A")</f>
        <v>N/A</v>
      </c>
      <c r="I84" s="55" t="str">
        <f>IF(Inicial!N81="SI",Inicial!I81,"N/A")</f>
        <v>N/A</v>
      </c>
      <c r="L84" s="1"/>
      <c r="M84" s="1"/>
      <c r="N84" s="1"/>
      <c r="O84" s="1"/>
      <c r="P84" s="1"/>
      <c r="Q84" s="1"/>
      <c r="R84" s="1"/>
      <c r="S84" s="1"/>
      <c r="T84" s="1"/>
      <c r="U84" s="1"/>
      <c r="X84" s="66" t="str" cm="1">
        <f t="array" ref="X84">IF(OR(J84:W84="NO"),"No aceptable","Aceptable")</f>
        <v>Aceptable</v>
      </c>
      <c r="AN84" s="3" t="str" cm="1">
        <f t="array" ref="AN84">IF(OR(Y84:AM84="NO"),"Critico","No Critico")</f>
        <v>No Critico</v>
      </c>
    </row>
    <row r="85" spans="1:40" ht="25.5">
      <c r="A85" s="52">
        <f>Inicial!A82</f>
        <v>80</v>
      </c>
      <c r="B85" s="53" t="str">
        <f>Inicial!B82</f>
        <v>Desposte</v>
      </c>
      <c r="C85" s="53" t="str">
        <f>Inicial!C82</f>
        <v>Operador LíneaVetado</v>
      </c>
      <c r="D85" s="54" t="str">
        <f>Inicial!D82</f>
        <v>Ganglios</v>
      </c>
      <c r="E85" s="52" t="str">
        <f>IF(Inicial!N82="SI",Inicial!E82,"N/A")</f>
        <v>N/A</v>
      </c>
      <c r="F85" s="53" t="str">
        <f>IF(Inicial!N82="SI",Inicial!F82,"N/A")</f>
        <v>N/A</v>
      </c>
      <c r="G85" s="53" t="str">
        <f>IF(Inicial!N82="SI",Inicial!G82,"N/A")</f>
        <v>N/A</v>
      </c>
      <c r="H85" s="53" t="str">
        <f>IF(Inicial!N82="SI",Inicial!H82,"N/A")</f>
        <v>N/A</v>
      </c>
      <c r="I85" s="55" t="str">
        <f>IF(Inicial!N82="SI",Inicial!I82,"N/A")</f>
        <v>N/A</v>
      </c>
      <c r="L85" s="1"/>
      <c r="M85" s="1"/>
      <c r="N85" s="1"/>
      <c r="O85" s="1"/>
      <c r="P85" s="1"/>
      <c r="Q85" s="1"/>
      <c r="R85" s="1"/>
      <c r="S85" s="1"/>
      <c r="T85" s="1"/>
      <c r="U85" s="1"/>
      <c r="X85" s="66" t="str" cm="1">
        <f t="array" ref="X85">IF(OR(J85:W85="NO"),"No aceptable","Aceptable")</f>
        <v>Aceptable</v>
      </c>
      <c r="AN85" s="3" t="str" cm="1">
        <f t="array" ref="AN85">IF(OR(Y85:AM85="NO"),"Critico","No Critico")</f>
        <v>No Critico</v>
      </c>
    </row>
    <row r="86" spans="1:40" ht="25.5">
      <c r="A86" s="52">
        <f>Inicial!A83</f>
        <v>81</v>
      </c>
      <c r="B86" s="53" t="str">
        <f>Inicial!B83</f>
        <v>Desposte</v>
      </c>
      <c r="C86" s="53" t="str">
        <f>Inicial!C83</f>
        <v>Operador LíneaVetado</v>
      </c>
      <c r="D86" s="54" t="str">
        <f>Inicial!D83</f>
        <v>Deshuesado de Chuleta</v>
      </c>
      <c r="E86" s="52" t="str">
        <f>IF(Inicial!N83="SI",Inicial!E83,"N/A")</f>
        <v>N/A</v>
      </c>
      <c r="F86" s="53" t="str">
        <f>IF(Inicial!N83="SI",Inicial!F83,"N/A")</f>
        <v>N/A</v>
      </c>
      <c r="G86" s="53" t="str">
        <f>IF(Inicial!N83="SI",Inicial!G83,"N/A")</f>
        <v>N/A</v>
      </c>
      <c r="H86" s="53" t="str">
        <f>IF(Inicial!N83="SI",Inicial!H83,"N/A")</f>
        <v>N/A</v>
      </c>
      <c r="I86" s="55" t="str">
        <f>IF(Inicial!N83="SI",Inicial!I83,"N/A")</f>
        <v>N/A</v>
      </c>
      <c r="L86" s="1"/>
      <c r="M86" s="1"/>
      <c r="N86" s="1"/>
      <c r="O86" s="1"/>
      <c r="P86" s="1"/>
      <c r="Q86" s="1"/>
      <c r="R86" s="1"/>
      <c r="S86" s="1"/>
      <c r="T86" s="1"/>
      <c r="U86" s="1"/>
      <c r="X86" s="66" t="str" cm="1">
        <f t="array" ref="X86">IF(OR(J86:W86="NO"),"No aceptable","Aceptable")</f>
        <v>Aceptable</v>
      </c>
      <c r="AN86" s="3" t="str" cm="1">
        <f t="array" ref="AN86">IF(OR(Y86:AM86="NO"),"Critico","No Critico")</f>
        <v>No Critico</v>
      </c>
    </row>
    <row r="87" spans="1:40" ht="25.5">
      <c r="A87" s="52">
        <f>Inicial!A84</f>
        <v>82</v>
      </c>
      <c r="B87" s="53" t="str">
        <f>Inicial!B84</f>
        <v>Desposte</v>
      </c>
      <c r="C87" s="53" t="str">
        <f>Inicial!C84</f>
        <v>Operador LíneaVetado</v>
      </c>
      <c r="D87" s="54" t="str">
        <f>Inicial!D84</f>
        <v>Embalado de hueso</v>
      </c>
      <c r="E87" s="52" t="str">
        <f>IF(Inicial!N84="SI",Inicial!E84,"N/A")</f>
        <v>N/A</v>
      </c>
      <c r="F87" s="53" t="str">
        <f>IF(Inicial!N84="SI",Inicial!F84,"N/A")</f>
        <v>N/A</v>
      </c>
      <c r="G87" s="53" t="str">
        <f>IF(Inicial!N84="SI",Inicial!G84,"N/A")</f>
        <v>N/A</v>
      </c>
      <c r="H87" s="53" t="str">
        <f>IF(Inicial!N84="SI",Inicial!H84,"N/A")</f>
        <v>N/A</v>
      </c>
      <c r="I87" s="55" t="str">
        <f>IF(Inicial!N84="SI",Inicial!I84,"N/A")</f>
        <v>N/A</v>
      </c>
      <c r="L87" s="1"/>
      <c r="M87" s="1"/>
      <c r="N87" s="1"/>
      <c r="O87" s="1"/>
      <c r="P87" s="1"/>
      <c r="Q87" s="1"/>
      <c r="R87" s="1"/>
      <c r="S87" s="1"/>
      <c r="T87" s="1"/>
      <c r="U87" s="1"/>
      <c r="X87" s="66" t="str" cm="1">
        <f t="array" ref="X87">IF(OR(J87:W87="NO"),"No aceptable","Aceptable")</f>
        <v>Aceptable</v>
      </c>
      <c r="AN87" s="3" t="str" cm="1">
        <f t="array" ref="AN87">IF(OR(Y87:AM87="NO"),"Critico","No Critico")</f>
        <v>No Critico</v>
      </c>
    </row>
    <row r="88" spans="1:40" ht="25.5">
      <c r="A88" s="52">
        <f>Inicial!A85</f>
        <v>83</v>
      </c>
      <c r="B88" s="53" t="str">
        <f>Inicial!B85</f>
        <v>Desposte</v>
      </c>
      <c r="C88" s="53" t="str">
        <f>Inicial!C85</f>
        <v>Operador LíneaVetado</v>
      </c>
      <c r="D88" s="54" t="str">
        <f>Inicial!D85</f>
        <v xml:space="preserve">extracción Cinta de Despunte </v>
      </c>
      <c r="E88" s="52" t="str">
        <f>IF(Inicial!N85="SI",Inicial!E85,"N/A")</f>
        <v>N/A</v>
      </c>
      <c r="F88" s="53" t="str">
        <f>IF(Inicial!N85="SI",Inicial!F85,"N/A")</f>
        <v>N/A</v>
      </c>
      <c r="G88" s="53" t="str">
        <f>IF(Inicial!N85="SI",Inicial!G85,"N/A")</f>
        <v>N/A</v>
      </c>
      <c r="H88" s="53" t="str">
        <f>IF(Inicial!N85="SI",Inicial!H85,"N/A")</f>
        <v>N/A</v>
      </c>
      <c r="I88" s="55" t="str">
        <f>IF(Inicial!N85="SI",Inicial!I85,"N/A")</f>
        <v>N/A</v>
      </c>
      <c r="L88" s="1"/>
      <c r="M88" s="1"/>
      <c r="N88" s="1"/>
      <c r="O88" s="1"/>
      <c r="P88" s="1"/>
      <c r="Q88" s="1"/>
      <c r="R88" s="1"/>
      <c r="S88" s="1"/>
      <c r="T88" s="1"/>
      <c r="U88" s="1"/>
      <c r="X88" s="66" t="str" cm="1">
        <f t="array" ref="X88">IF(OR(J88:W88="NO"),"No aceptable","Aceptable")</f>
        <v>Aceptable</v>
      </c>
      <c r="AN88" s="3" t="str" cm="1">
        <f t="array" ref="AN88">IF(OR(Y88:AM88="NO"),"Critico","No Critico")</f>
        <v>No Critico</v>
      </c>
    </row>
    <row r="89" spans="1:40" ht="25.5">
      <c r="A89" s="52">
        <f>Inicial!A86</f>
        <v>84</v>
      </c>
      <c r="B89" s="53" t="str">
        <f>Inicial!B86</f>
        <v>Desposte</v>
      </c>
      <c r="C89" s="53" t="str">
        <f>Inicial!C86</f>
        <v>Operador LíneaVetado</v>
      </c>
      <c r="D89" s="54" t="str">
        <f>Inicial!D86</f>
        <v>Prolijado Cartilago Hueso</v>
      </c>
      <c r="E89" s="52" t="str">
        <f>IF(Inicial!N86="SI",Inicial!E86,"N/A")</f>
        <v>N/A</v>
      </c>
      <c r="F89" s="53" t="str">
        <f>IF(Inicial!N86="SI",Inicial!F86,"N/A")</f>
        <v>N/A</v>
      </c>
      <c r="G89" s="53" t="str">
        <f>IF(Inicial!N86="SI",Inicial!G86,"N/A")</f>
        <v>N/A</v>
      </c>
      <c r="H89" s="53" t="str">
        <f>IF(Inicial!N86="SI",Inicial!H86,"N/A")</f>
        <v>N/A</v>
      </c>
      <c r="I89" s="55" t="str">
        <f>IF(Inicial!N86="SI",Inicial!I86,"N/A")</f>
        <v>N/A</v>
      </c>
      <c r="L89" s="1"/>
      <c r="M89" s="1"/>
      <c r="N89" s="1"/>
      <c r="O89" s="1"/>
      <c r="P89" s="1"/>
      <c r="Q89" s="1"/>
      <c r="R89" s="1"/>
      <c r="S89" s="1"/>
      <c r="T89" s="1"/>
      <c r="U89" s="1"/>
      <c r="X89" s="66" t="str" cm="1">
        <f t="array" ref="X89">IF(OR(J89:W89="NO"),"No aceptable","Aceptable")</f>
        <v>Aceptable</v>
      </c>
      <c r="AN89" s="3" t="str" cm="1">
        <f t="array" ref="AN89">IF(OR(Y89:AM89="NO"),"Critico","No Critico")</f>
        <v>No Critico</v>
      </c>
    </row>
    <row r="90" spans="1:40" ht="25.5">
      <c r="A90" s="52">
        <f>Inicial!A87</f>
        <v>85</v>
      </c>
      <c r="B90" s="53" t="str">
        <f>Inicial!B87</f>
        <v>Desposte</v>
      </c>
      <c r="C90" s="53" t="str">
        <f>Inicial!C87</f>
        <v>Operador LíneaVetado</v>
      </c>
      <c r="D90" s="54" t="str">
        <f>Inicial!D87</f>
        <v>Prolijado Carne Longaniza</v>
      </c>
      <c r="E90" s="52" t="str">
        <f>IF(Inicial!N87="SI",Inicial!E87,"N/A")</f>
        <v>N/A</v>
      </c>
      <c r="F90" s="53" t="str">
        <f>IF(Inicial!N87="SI",Inicial!F87,"N/A")</f>
        <v>N/A</v>
      </c>
      <c r="G90" s="53" t="str">
        <f>IF(Inicial!N87="SI",Inicial!G87,"N/A")</f>
        <v>N/A</v>
      </c>
      <c r="H90" s="53" t="str">
        <f>IF(Inicial!N87="SI",Inicial!H87,"N/A")</f>
        <v>N/A</v>
      </c>
      <c r="I90" s="55" t="str">
        <f>IF(Inicial!N87="SI",Inicial!I87,"N/A")</f>
        <v>N/A</v>
      </c>
      <c r="L90" s="1"/>
      <c r="M90" s="1"/>
      <c r="N90" s="1"/>
      <c r="O90" s="1"/>
      <c r="P90" s="1"/>
      <c r="Q90" s="1"/>
      <c r="R90" s="1"/>
      <c r="S90" s="1"/>
      <c r="T90" s="1"/>
      <c r="U90" s="1"/>
      <c r="X90" s="66" t="str" cm="1">
        <f t="array" ref="X90">IF(OR(J90:W90="NO"),"No aceptable","Aceptable")</f>
        <v>Aceptable</v>
      </c>
      <c r="AN90" s="3" t="str" cm="1">
        <f t="array" ref="AN90">IF(OR(Y90:AM90="NO"),"Critico","No Critico")</f>
        <v>No Critico</v>
      </c>
    </row>
    <row r="91" spans="1:40" ht="25.5">
      <c r="A91" s="52">
        <f>Inicial!A88</f>
        <v>86</v>
      </c>
      <c r="B91" s="53" t="str">
        <f>Inicial!B88</f>
        <v>Desposte</v>
      </c>
      <c r="C91" s="53" t="str">
        <f>Inicial!C88</f>
        <v>Operador LíneaVetado</v>
      </c>
      <c r="D91" s="54" t="str">
        <f>Inicial!D88</f>
        <v xml:space="preserve">Prolijado Lomo Vetado </v>
      </c>
      <c r="E91" s="52" t="str">
        <f>IF(Inicial!N88="SI",Inicial!E88,"N/A")</f>
        <v>N/A</v>
      </c>
      <c r="F91" s="53" t="str">
        <f>IF(Inicial!N88="SI",Inicial!F88,"N/A")</f>
        <v>N/A</v>
      </c>
      <c r="G91" s="53" t="str">
        <f>IF(Inicial!N88="SI",Inicial!G88,"N/A")</f>
        <v>N/A</v>
      </c>
      <c r="H91" s="53" t="str">
        <f>IF(Inicial!N88="SI",Inicial!H88,"N/A")</f>
        <v>N/A</v>
      </c>
      <c r="I91" s="55" t="str">
        <f>IF(Inicial!N88="SI",Inicial!I88,"N/A")</f>
        <v>N/A</v>
      </c>
      <c r="L91" s="1"/>
      <c r="M91" s="1"/>
      <c r="N91" s="1"/>
      <c r="O91" s="1"/>
      <c r="P91" s="1"/>
      <c r="Q91" s="1"/>
      <c r="R91" s="1"/>
      <c r="S91" s="1"/>
      <c r="T91" s="1"/>
      <c r="U91" s="1"/>
      <c r="X91" s="66" t="str" cm="1">
        <f t="array" ref="X91">IF(OR(J91:W91="NO"),"No aceptable","Aceptable")</f>
        <v>Aceptable</v>
      </c>
      <c r="AN91" s="3" t="str" cm="1">
        <f t="array" ref="AN91">IF(OR(Y91:AM91="NO"),"Critico","No Critico")</f>
        <v>No Critico</v>
      </c>
    </row>
    <row r="92" spans="1:40" ht="25.5">
      <c r="A92" s="52">
        <f>Inicial!A89</f>
        <v>87</v>
      </c>
      <c r="B92" s="53" t="str">
        <f>Inicial!B89</f>
        <v>Desposte</v>
      </c>
      <c r="C92" s="53" t="str">
        <f>Inicial!C89</f>
        <v>Operador LíneaVetado</v>
      </c>
      <c r="D92" s="54" t="str">
        <f>Inicial!D89</f>
        <v>Calibrado</v>
      </c>
      <c r="E92" s="52" t="str">
        <f>IF(Inicial!N89="SI",Inicial!E89,"N/A")</f>
        <v>N/A</v>
      </c>
      <c r="F92" s="53" t="str">
        <f>IF(Inicial!N89="SI",Inicial!F89,"N/A")</f>
        <v>N/A</v>
      </c>
      <c r="G92" s="53" t="str">
        <f>IF(Inicial!N89="SI",Inicial!G89,"N/A")</f>
        <v>N/A</v>
      </c>
      <c r="H92" s="53" t="str">
        <f>IF(Inicial!N89="SI",Inicial!H89,"N/A")</f>
        <v>N/A</v>
      </c>
      <c r="I92" s="55" t="str">
        <f>IF(Inicial!N89="SI",Inicial!I89,"N/A")</f>
        <v>N/A</v>
      </c>
      <c r="X92" s="66" t="str" cm="1">
        <f t="array" ref="X92">IF(OR(J92:W92="NO"),"No aceptable","Aceptable")</f>
        <v>Aceptable</v>
      </c>
      <c r="AN92" s="3" t="str" cm="1">
        <f t="array" ref="AN92">IF(OR(Y92:AM92="NO"),"Critico","No Critico")</f>
        <v>No Critico</v>
      </c>
    </row>
    <row r="93" spans="1:40">
      <c r="A93" s="52" t="e">
        <f>Inicial!#REF!</f>
        <v>#REF!</v>
      </c>
      <c r="B93" s="53" t="e">
        <f>Inicial!#REF!</f>
        <v>#REF!</v>
      </c>
      <c r="C93" s="53" t="e">
        <f>Inicial!#REF!</f>
        <v>#REF!</v>
      </c>
      <c r="D93" s="54" t="e">
        <f>Inicial!#REF!</f>
        <v>#REF!</v>
      </c>
      <c r="E93" s="52" t="e">
        <f>IF(Inicial!#REF!="SI",Inicial!#REF!,"N/A")</f>
        <v>#REF!</v>
      </c>
      <c r="F93" s="53" t="e">
        <f>IF(Inicial!#REF!="SI",Inicial!#REF!,"N/A")</f>
        <v>#REF!</v>
      </c>
      <c r="G93" s="53" t="e">
        <f>IF(Inicial!#REF!="SI",Inicial!#REF!,"N/A")</f>
        <v>#REF!</v>
      </c>
      <c r="H93" s="53" t="e">
        <f>IF(Inicial!#REF!="SI",Inicial!#REF!,"N/A")</f>
        <v>#REF!</v>
      </c>
      <c r="I93" s="55" t="e">
        <f>IF(Inicial!#REF!="SI",Inicial!#REF!,"N/A")</f>
        <v>#REF!</v>
      </c>
      <c r="X93" s="66" t="str" cm="1">
        <f t="array" ref="X93">IF(OR(J93:W93="NO"),"No aceptable","Aceptable")</f>
        <v>Aceptable</v>
      </c>
      <c r="AN93" s="3" t="str" cm="1">
        <f t="array" ref="AN93">IF(OR(Y93:AM93="NO"),"Critico","No Critico")</f>
        <v>No Critico</v>
      </c>
    </row>
    <row r="94" spans="1:40" ht="25.5">
      <c r="A94" s="52">
        <f>Inicial!A90</f>
        <v>88</v>
      </c>
      <c r="B94" s="53" t="str">
        <f>Inicial!B90</f>
        <v>Desposte</v>
      </c>
      <c r="C94" s="53" t="str">
        <f>Inicial!C90</f>
        <v>Operador Linea Piernas</v>
      </c>
      <c r="D94" s="54" t="str">
        <f>Inicial!D90</f>
        <v>Extraer Cola-Cazuela</v>
      </c>
      <c r="E94" s="52" t="str">
        <f>IF(Inicial!N90="SI",Inicial!E90,"N/A")</f>
        <v>N/A</v>
      </c>
      <c r="F94" s="53" t="str">
        <f>IF(Inicial!N90="SI",Inicial!F90,"N/A")</f>
        <v>N/A</v>
      </c>
      <c r="G94" s="53" t="str">
        <f>IF(Inicial!N90="SI",Inicial!G90,"N/A")</f>
        <v>N/A</v>
      </c>
      <c r="H94" s="53" t="str">
        <f>IF(Inicial!N90="SI",Inicial!H90,"N/A")</f>
        <v>N/A</v>
      </c>
      <c r="I94" s="55" t="str">
        <f>IF(Inicial!N90="SI",Inicial!I90,"N/A")</f>
        <v>N/A</v>
      </c>
      <c r="X94" s="66" t="str" cm="1">
        <f t="array" ref="X94">IF(OR(J94:W94="NO"),"No aceptable","Aceptable")</f>
        <v>Aceptable</v>
      </c>
      <c r="AN94" s="3" t="str" cm="1">
        <f t="array" ref="AN94">IF(OR(Y94:AM94="NO"),"Critico","No Critico")</f>
        <v>No Critico</v>
      </c>
    </row>
    <row r="95" spans="1:40" ht="25.5">
      <c r="A95" s="52">
        <f>Inicial!A91</f>
        <v>89</v>
      </c>
      <c r="B95" s="53" t="str">
        <f>Inicial!B91</f>
        <v>Desposte</v>
      </c>
      <c r="C95" s="53" t="str">
        <f>Inicial!C91</f>
        <v>Operador Linea Piernas</v>
      </c>
      <c r="D95" s="54" t="str">
        <f>Inicial!D91</f>
        <v>Exraer Pernil</v>
      </c>
      <c r="E95" s="52" t="str">
        <f>IF(Inicial!N91="SI",Inicial!E91,"N/A")</f>
        <v>N/A</v>
      </c>
      <c r="F95" s="53" t="str">
        <f>IF(Inicial!N91="SI",Inicial!F91,"N/A")</f>
        <v>N/A</v>
      </c>
      <c r="G95" s="53" t="str">
        <f>IF(Inicial!N91="SI",Inicial!G91,"N/A")</f>
        <v>N/A</v>
      </c>
      <c r="H95" s="53" t="str">
        <f>IF(Inicial!N91="SI",Inicial!H91,"N/A")</f>
        <v>N/A</v>
      </c>
      <c r="I95" s="55" t="str">
        <f>IF(Inicial!N91="SI",Inicial!I91,"N/A")</f>
        <v>N/A</v>
      </c>
      <c r="X95" s="66" t="str" cm="1">
        <f t="array" ref="X95">IF(OR(J95:W95="NO"),"No aceptable","Aceptable")</f>
        <v>Aceptable</v>
      </c>
      <c r="AN95" s="3" t="str" cm="1">
        <f t="array" ref="AN95">IF(OR(Y95:AM95="NO"),"Critico","No Critico")</f>
        <v>No Critico</v>
      </c>
    </row>
    <row r="96" spans="1:40" ht="25.5">
      <c r="A96" s="52">
        <f>Inicial!A92</f>
        <v>90</v>
      </c>
      <c r="B96" s="53" t="str">
        <f>Inicial!B92</f>
        <v>Desposte</v>
      </c>
      <c r="C96" s="53" t="str">
        <f>Inicial!C92</f>
        <v>Operador Linea Piernas</v>
      </c>
      <c r="D96" s="54" t="str">
        <f>Inicial!D92</f>
        <v xml:space="preserve">Evacuar Bandejas </v>
      </c>
      <c r="E96" s="52" t="str">
        <f>IF(Inicial!N92="SI",Inicial!E92,"N/A")</f>
        <v>N/A</v>
      </c>
      <c r="F96" s="53" t="str">
        <f>IF(Inicial!N92="SI",Inicial!F92,"N/A")</f>
        <v>N/A</v>
      </c>
      <c r="G96" s="53" t="str">
        <f>IF(Inicial!N92="SI",Inicial!G92,"N/A")</f>
        <v>N/A</v>
      </c>
      <c r="H96" s="53" t="str">
        <f>IF(Inicial!N92="SI",Inicial!H92,"N/A")</f>
        <v>N/A</v>
      </c>
      <c r="I96" s="55" t="str">
        <f>IF(Inicial!N92="SI",Inicial!I92,"N/A")</f>
        <v>N/A</v>
      </c>
      <c r="X96" s="66" t="str" cm="1">
        <f t="array" ref="X96">IF(OR(J96:W96="NO"),"No aceptable","Aceptable")</f>
        <v>Aceptable</v>
      </c>
      <c r="AN96" s="3" t="str" cm="1">
        <f t="array" ref="AN96">IF(OR(Y96:AM96="NO"),"Critico","No Critico")</f>
        <v>No Critico</v>
      </c>
    </row>
    <row r="97" spans="1:40">
      <c r="A97" s="52" t="e">
        <f>Inicial!#REF!</f>
        <v>#REF!</v>
      </c>
      <c r="B97" s="53" t="e">
        <f>Inicial!#REF!</f>
        <v>#REF!</v>
      </c>
      <c r="C97" s="53" t="e">
        <f>Inicial!#REF!</f>
        <v>#REF!</v>
      </c>
      <c r="D97" s="54" t="e">
        <f>Inicial!#REF!</f>
        <v>#REF!</v>
      </c>
      <c r="E97" s="52" t="e">
        <f>IF(Inicial!#REF!="SI",Inicial!#REF!,"N/A")</f>
        <v>#REF!</v>
      </c>
      <c r="F97" s="53" t="e">
        <f>IF(Inicial!#REF!="SI",Inicial!#REF!,"N/A")</f>
        <v>#REF!</v>
      </c>
      <c r="G97" s="53" t="e">
        <f>IF(Inicial!#REF!="SI",Inicial!#REF!,"N/A")</f>
        <v>#REF!</v>
      </c>
      <c r="H97" s="53" t="e">
        <f>IF(Inicial!#REF!="SI",Inicial!#REF!,"N/A")</f>
        <v>#REF!</v>
      </c>
      <c r="I97" s="55" t="e">
        <f>IF(Inicial!#REF!="SI",Inicial!#REF!,"N/A")</f>
        <v>#REF!</v>
      </c>
      <c r="X97" s="66" t="str" cm="1">
        <f t="array" ref="X97">IF(OR(J97:W97="NO"),"No aceptable","Aceptable")</f>
        <v>Aceptable</v>
      </c>
      <c r="AN97" s="3" t="str" cm="1">
        <f t="array" ref="AN97">IF(OR(Y97:AM97="NO"),"Critico","No Critico")</f>
        <v>No Critico</v>
      </c>
    </row>
    <row r="98" spans="1:40">
      <c r="A98" s="52" t="e">
        <f>Inicial!#REF!</f>
        <v>#REF!</v>
      </c>
      <c r="B98" s="53" t="e">
        <f>Inicial!#REF!</f>
        <v>#REF!</v>
      </c>
      <c r="C98" s="53" t="e">
        <f>Inicial!#REF!</f>
        <v>#REF!</v>
      </c>
      <c r="D98" s="54" t="e">
        <f>Inicial!#REF!</f>
        <v>#REF!</v>
      </c>
      <c r="E98" s="52" t="e">
        <f>IF(Inicial!#REF!="SI",Inicial!#REF!,"N/A")</f>
        <v>#REF!</v>
      </c>
      <c r="F98" s="53" t="e">
        <f>IF(Inicial!#REF!="SI",Inicial!#REF!,"N/A")</f>
        <v>#REF!</v>
      </c>
      <c r="G98" s="53" t="e">
        <f>IF(Inicial!#REF!="SI",Inicial!#REF!,"N/A")</f>
        <v>#REF!</v>
      </c>
      <c r="H98" s="53" t="e">
        <f>IF(Inicial!#REF!="SI",Inicial!#REF!,"N/A")</f>
        <v>#REF!</v>
      </c>
      <c r="I98" s="55" t="e">
        <f>IF(Inicial!#REF!="SI",Inicial!#REF!,"N/A")</f>
        <v>#REF!</v>
      </c>
      <c r="X98" s="66" t="str" cm="1">
        <f t="array" ref="X98">IF(OR(J98:W98="NO"),"No aceptable","Aceptable")</f>
        <v>Aceptable</v>
      </c>
      <c r="AN98" s="3" t="str" cm="1">
        <f t="array" ref="AN98">IF(OR(Y98:AM98="NO"),"Critico","No Critico")</f>
        <v>No Critico</v>
      </c>
    </row>
    <row r="99" spans="1:40" ht="25.5">
      <c r="A99" s="52">
        <f>Inicial!A93</f>
        <v>91</v>
      </c>
      <c r="B99" s="53" t="str">
        <f>Inicial!B93</f>
        <v>Desposte</v>
      </c>
      <c r="C99" s="53" t="str">
        <f>Inicial!C93</f>
        <v>Operador Linea Piernas</v>
      </c>
      <c r="D99" s="54" t="str">
        <f>Inicial!D93</f>
        <v>Peladora Maja</v>
      </c>
      <c r="E99" s="52" t="str">
        <f>IF(Inicial!N93="SI",Inicial!E93,"N/A")</f>
        <v>N/A</v>
      </c>
      <c r="F99" s="53" t="str">
        <f>IF(Inicial!N93="SI",Inicial!F93,"N/A")</f>
        <v>N/A</v>
      </c>
      <c r="G99" s="53" t="str">
        <f>IF(Inicial!N93="SI",Inicial!G93,"N/A")</f>
        <v>N/A</v>
      </c>
      <c r="H99" s="53" t="str">
        <f>IF(Inicial!N93="SI",Inicial!H93,"N/A")</f>
        <v>N/A</v>
      </c>
      <c r="I99" s="55" t="str">
        <f>IF(Inicial!N93="SI",Inicial!I93,"N/A")</f>
        <v>N/A</v>
      </c>
      <c r="X99" s="66" t="str" cm="1">
        <f t="array" ref="X99">IF(OR(J99:W99="NO"),"No aceptable","Aceptable")</f>
        <v>Aceptable</v>
      </c>
      <c r="AN99" s="3" t="str" cm="1">
        <f t="array" ref="AN99">IF(OR(Y99:AM99="NO"),"Critico","No Critico")</f>
        <v>No Critico</v>
      </c>
    </row>
    <row r="100" spans="1:40" ht="25.5">
      <c r="A100" s="52">
        <f>Inicial!A94</f>
        <v>92</v>
      </c>
      <c r="B100" s="53" t="str">
        <f>Inicial!B94</f>
        <v>Desposte</v>
      </c>
      <c r="C100" s="53" t="str">
        <f>Inicial!C94</f>
        <v>Operador Linea Piernas</v>
      </c>
      <c r="D100" s="54" t="str">
        <f>Inicial!D94</f>
        <v>Whizard</v>
      </c>
      <c r="E100" s="52" t="str">
        <f>IF(Inicial!N94="SI",Inicial!E94,"N/A")</f>
        <v>N/A</v>
      </c>
      <c r="F100" s="53" t="str">
        <f>IF(Inicial!N94="SI",Inicial!F94,"N/A")</f>
        <v>N/A</v>
      </c>
      <c r="G100" s="53" t="str">
        <f>IF(Inicial!N94="SI",Inicial!G94,"N/A")</f>
        <v>N/A</v>
      </c>
      <c r="H100" s="53" t="str">
        <f>IF(Inicial!N94="SI",Inicial!H94,"N/A")</f>
        <v>N/A</v>
      </c>
      <c r="I100" s="55" t="str">
        <f>IF(Inicial!N94="SI",Inicial!I94,"N/A")</f>
        <v>N/A</v>
      </c>
      <c r="X100" s="66" t="str" cm="1">
        <f t="array" ref="X100">IF(OR(J100:W100="NO"),"No aceptable","Aceptable")</f>
        <v>Aceptable</v>
      </c>
      <c r="AN100" s="3" t="str" cm="1">
        <f t="array" ref="AN100">IF(OR(Y100:AM100="NO"),"Critico","No Critico")</f>
        <v>No Critico</v>
      </c>
    </row>
    <row r="101" spans="1:40" ht="25.5">
      <c r="A101" s="52">
        <f>Inicial!A95</f>
        <v>93</v>
      </c>
      <c r="B101" s="53" t="str">
        <f>Inicial!B95</f>
        <v>Desposte</v>
      </c>
      <c r="C101" s="53" t="str">
        <f>Inicial!C95</f>
        <v>Operador Linea Piernas</v>
      </c>
      <c r="D101" s="54" t="str">
        <f>Inicial!D95</f>
        <v>Deshuesado Coxal</v>
      </c>
      <c r="E101" s="52" t="str">
        <f>IF(Inicial!N95="SI",Inicial!E95,"N/A")</f>
        <v>N/A</v>
      </c>
      <c r="F101" s="53" t="str">
        <f>IF(Inicial!N95="SI",Inicial!F95,"N/A")</f>
        <v>N/A</v>
      </c>
      <c r="G101" s="53" t="str">
        <f>IF(Inicial!N95="SI",Inicial!G95,"N/A")</f>
        <v>N/A</v>
      </c>
      <c r="H101" s="53" t="str">
        <f>IF(Inicial!N95="SI",Inicial!H95,"N/A")</f>
        <v>N/A</v>
      </c>
      <c r="I101" s="55" t="str">
        <f>IF(Inicial!N95="SI",Inicial!I95,"N/A")</f>
        <v>N/A</v>
      </c>
      <c r="X101" s="66" t="str" cm="1">
        <f t="array" ref="X101">IF(OR(J101:W101="NO"),"No aceptable","Aceptable")</f>
        <v>Aceptable</v>
      </c>
      <c r="AN101" s="3" t="str" cm="1">
        <f t="array" ref="AN101">IF(OR(Y101:AM101="NO"),"Critico","No Critico")</f>
        <v>No Critico</v>
      </c>
    </row>
    <row r="102" spans="1:40" ht="25.5">
      <c r="A102" s="52">
        <f>Inicial!A96</f>
        <v>94</v>
      </c>
      <c r="B102" s="53" t="str">
        <f>Inicial!B96</f>
        <v>Desposte</v>
      </c>
      <c r="C102" s="53" t="str">
        <f>Inicial!C96</f>
        <v>Operador Linea Piernas</v>
      </c>
      <c r="D102" s="54" t="str">
        <f>Inicial!D96</f>
        <v xml:space="preserve">Deshuesadores Femur </v>
      </c>
      <c r="E102" s="52" t="str">
        <f>IF(Inicial!N96="SI",Inicial!E96,"N/A")</f>
        <v>N/A</v>
      </c>
      <c r="F102" s="53" t="str">
        <f>IF(Inicial!N96="SI",Inicial!F96,"N/A")</f>
        <v>N/A</v>
      </c>
      <c r="G102" s="53" t="str">
        <f>IF(Inicial!N96="SI",Inicial!G96,"N/A")</f>
        <v>N/A</v>
      </c>
      <c r="H102" s="53" t="str">
        <f>IF(Inicial!N96="SI",Inicial!H96,"N/A")</f>
        <v>N/A</v>
      </c>
      <c r="I102" s="55" t="str">
        <f>IF(Inicial!N96="SI",Inicial!I96,"N/A")</f>
        <v>N/A</v>
      </c>
      <c r="X102" s="66" t="str" cm="1">
        <f t="array" ref="X102">IF(OR(J102:W102="NO"),"No aceptable","Aceptable")</f>
        <v>Aceptable</v>
      </c>
      <c r="AN102" s="3" t="str" cm="1">
        <f t="array" ref="AN102">IF(OR(Y102:AM102="NO"),"Critico","No Critico")</f>
        <v>No Critico</v>
      </c>
    </row>
    <row r="103" spans="1:40" ht="25.5">
      <c r="A103" s="52">
        <f>Inicial!A97</f>
        <v>95</v>
      </c>
      <c r="B103" s="53" t="str">
        <f>Inicial!B97</f>
        <v>Desposte</v>
      </c>
      <c r="C103" s="53" t="str">
        <f>Inicial!C97</f>
        <v>Operador Linea Piernas</v>
      </c>
      <c r="D103" s="54" t="str">
        <f>Inicial!D97</f>
        <v>Prolijadores</v>
      </c>
      <c r="E103" s="52" t="str">
        <f>IF(Inicial!N97="SI",Inicial!E97,"N/A")</f>
        <v>N/A</v>
      </c>
      <c r="F103" s="53" t="str">
        <f>IF(Inicial!N97="SI",Inicial!F97,"N/A")</f>
        <v>N/A</v>
      </c>
      <c r="G103" s="53" t="str">
        <f>IF(Inicial!N97="SI",Inicial!G97,"N/A")</f>
        <v>N/A</v>
      </c>
      <c r="H103" s="53" t="str">
        <f>IF(Inicial!N97="SI",Inicial!H97,"N/A")</f>
        <v>N/A</v>
      </c>
      <c r="I103" s="55" t="str">
        <f>IF(Inicial!N97="SI",Inicial!I97,"N/A")</f>
        <v>N/A</v>
      </c>
      <c r="X103" s="66" t="str" cm="1">
        <f t="array" ref="X103">IF(OR(J103:W103="NO"),"No aceptable","Aceptable")</f>
        <v>Aceptable</v>
      </c>
      <c r="AN103" s="3" t="str" cm="1">
        <f t="array" ref="AN103">IF(OR(Y103:AM103="NO"),"Critico","No Critico")</f>
        <v>No Critico</v>
      </c>
    </row>
    <row r="104" spans="1:40" ht="25.5">
      <c r="A104" s="52">
        <f>Inicial!A98</f>
        <v>96</v>
      </c>
      <c r="B104" s="53" t="str">
        <f>Inicial!B98</f>
        <v>Desposte</v>
      </c>
      <c r="C104" s="53" t="str">
        <f>Inicial!C98</f>
        <v>Operador Linea Piernas</v>
      </c>
      <c r="D104" s="54" t="str">
        <f>Inicial!D98</f>
        <v xml:space="preserve">Calibrado </v>
      </c>
      <c r="E104" s="52" t="str">
        <f>IF(Inicial!N98="SI",Inicial!E98,"N/A")</f>
        <v>N/A</v>
      </c>
      <c r="F104" s="53" t="str">
        <f>IF(Inicial!N98="SI",Inicial!F98,"N/A")</f>
        <v>N/A</v>
      </c>
      <c r="G104" s="53" t="str">
        <f>IF(Inicial!N98="SI",Inicial!G98,"N/A")</f>
        <v>N/A</v>
      </c>
      <c r="H104" s="53" t="str">
        <f>IF(Inicial!N98="SI",Inicial!H98,"N/A")</f>
        <v>N/A</v>
      </c>
      <c r="I104" s="55" t="str">
        <f>IF(Inicial!N98="SI",Inicial!I98,"N/A")</f>
        <v>N/A</v>
      </c>
      <c r="X104" s="66" t="str" cm="1">
        <f t="array" ref="X104">IF(OR(J104:W104="NO"),"No aceptable","Aceptable")</f>
        <v>Aceptable</v>
      </c>
      <c r="AN104" s="3" t="str" cm="1">
        <f t="array" ref="AN104">IF(OR(Y104:AM104="NO"),"Critico","No Critico")</f>
        <v>No Critico</v>
      </c>
    </row>
    <row r="105" spans="1:40" ht="25.5">
      <c r="A105" s="52">
        <f>Inicial!A99</f>
        <v>97</v>
      </c>
      <c r="B105" s="53" t="str">
        <f>Inicial!B99</f>
        <v>Desposte</v>
      </c>
      <c r="C105" s="53" t="str">
        <f>Inicial!C99</f>
        <v>Operador Linea Piernas</v>
      </c>
      <c r="D105" s="54" t="str">
        <f>Inicial!D99</f>
        <v>Peladora Maja</v>
      </c>
      <c r="E105" s="52" t="str">
        <f>IF(Inicial!N99="SI",Inicial!E99,"N/A")</f>
        <v>N/A</v>
      </c>
      <c r="F105" s="53" t="str">
        <f>IF(Inicial!N99="SI",Inicial!F99,"N/A")</f>
        <v>N/A</v>
      </c>
      <c r="G105" s="53" t="str">
        <f>IF(Inicial!N99="SI",Inicial!G99,"N/A")</f>
        <v>N/A</v>
      </c>
      <c r="H105" s="53" t="str">
        <f>IF(Inicial!N99="SI",Inicial!H99,"N/A")</f>
        <v>N/A</v>
      </c>
      <c r="I105" s="55" t="str">
        <f>IF(Inicial!N99="SI",Inicial!I99,"N/A")</f>
        <v>N/A</v>
      </c>
      <c r="X105" s="66" t="str" cm="1">
        <f t="array" ref="X105">IF(OR(J105:W105="NO"),"No aceptable","Aceptable")</f>
        <v>Aceptable</v>
      </c>
      <c r="AN105" s="3" t="str" cm="1">
        <f t="array" ref="AN105">IF(OR(Y105:AM105="NO"),"Critico","No Critico")</f>
        <v>No Critico</v>
      </c>
    </row>
    <row r="106" spans="1:40" ht="25.5">
      <c r="A106" s="52">
        <f>Inicial!A100</f>
        <v>98</v>
      </c>
      <c r="B106" s="53" t="str">
        <f>Inicial!B100</f>
        <v>Desposte</v>
      </c>
      <c r="C106" s="53" t="str">
        <f>Inicial!C100</f>
        <v>Operador Linea Piernas</v>
      </c>
      <c r="D106" s="54" t="str">
        <f>Inicial!D100</f>
        <v>Abastecer Varivac</v>
      </c>
      <c r="E106" s="52" t="str">
        <f>IF(Inicial!N100="SI",Inicial!E100,"N/A")</f>
        <v>N/A</v>
      </c>
      <c r="F106" s="53" t="str">
        <f>IF(Inicial!N100="SI",Inicial!F100,"N/A")</f>
        <v>N/A</v>
      </c>
      <c r="G106" s="53" t="str">
        <f>IF(Inicial!N100="SI",Inicial!G100,"N/A")</f>
        <v>N/A</v>
      </c>
      <c r="H106" s="53" t="str">
        <f>IF(Inicial!N100="SI",Inicial!H100,"N/A")</f>
        <v>N/A</v>
      </c>
      <c r="I106" s="55" t="str">
        <f>IF(Inicial!N100="SI",Inicial!I100,"N/A")</f>
        <v>N/A</v>
      </c>
      <c r="X106" s="66" t="str" cm="1">
        <f t="array" ref="X106">IF(OR(J106:W106="NO"),"No aceptable","Aceptable")</f>
        <v>Aceptable</v>
      </c>
      <c r="AN106" s="3" t="str" cm="1">
        <f t="array" ref="AN106">IF(OR(Y106:AM106="NO"),"Critico","No Critico")</f>
        <v>No Critico</v>
      </c>
    </row>
    <row r="107" spans="1:40" ht="25.5">
      <c r="A107" s="52">
        <f>Inicial!A101</f>
        <v>99</v>
      </c>
      <c r="B107" s="53" t="str">
        <f>Inicial!B101</f>
        <v>Desposte</v>
      </c>
      <c r="C107" s="53" t="str">
        <f>Inicial!C101</f>
        <v>Operador Linea Piernas</v>
      </c>
      <c r="D107" s="54" t="str">
        <f>Inicial!D101</f>
        <v>Recibir producto</v>
      </c>
      <c r="E107" s="52" t="str">
        <f>IF(Inicial!N101="SI",Inicial!E101,"N/A")</f>
        <v>N/A</v>
      </c>
      <c r="F107" s="53" t="str">
        <f>IF(Inicial!N101="SI",Inicial!F101,"N/A")</f>
        <v>N/A</v>
      </c>
      <c r="G107" s="53" t="str">
        <f>IF(Inicial!N101="SI",Inicial!G101,"N/A")</f>
        <v>N/A</v>
      </c>
      <c r="H107" s="53" t="str">
        <f>IF(Inicial!N101="SI",Inicial!H101,"N/A")</f>
        <v>N/A</v>
      </c>
      <c r="I107" s="55" t="str">
        <f>IF(Inicial!N101="SI",Inicial!I101,"N/A")</f>
        <v>N/A</v>
      </c>
      <c r="X107" s="66" t="str" cm="1">
        <f t="array" ref="X107">IF(OR(J107:W107="NO"),"No aceptable","Aceptable")</f>
        <v>Aceptable</v>
      </c>
      <c r="AN107" s="3" t="str" cm="1">
        <f t="array" ref="AN107">IF(OR(Y107:AM107="NO"),"Critico","No Critico")</f>
        <v>No Critico</v>
      </c>
    </row>
    <row r="108" spans="1:40" ht="25.5">
      <c r="A108" s="52">
        <f>Inicial!A102</f>
        <v>100</v>
      </c>
      <c r="B108" s="53" t="str">
        <f>Inicial!B102</f>
        <v>Desposte</v>
      </c>
      <c r="C108" s="53" t="str">
        <f>Inicial!C102</f>
        <v>Operador Linea Piernas</v>
      </c>
      <c r="D108" s="54" t="str">
        <f>Inicial!D102</f>
        <v>Pegar etiqueta</v>
      </c>
      <c r="E108" s="52" t="str">
        <f>IF(Inicial!N102="SI",Inicial!E102,"N/A")</f>
        <v>N/A</v>
      </c>
      <c r="F108" s="53" t="str">
        <f>IF(Inicial!N102="SI",Inicial!F102,"N/A")</f>
        <v>N/A</v>
      </c>
      <c r="G108" s="53" t="str">
        <f>IF(Inicial!N102="SI",Inicial!G102,"N/A")</f>
        <v>N/A</v>
      </c>
      <c r="H108" s="53" t="str">
        <f>IF(Inicial!N102="SI",Inicial!H102,"N/A")</f>
        <v>N/A</v>
      </c>
      <c r="I108" s="55" t="str">
        <f>IF(Inicial!N102="SI",Inicial!I102,"N/A")</f>
        <v>N/A</v>
      </c>
      <c r="X108" s="66" t="str" cm="1">
        <f t="array" ref="X108">IF(OR(J108:W108="NO"),"No aceptable","Aceptable")</f>
        <v>Aceptable</v>
      </c>
      <c r="AN108" s="3" t="str" cm="1">
        <f t="array" ref="AN108">IF(OR(Y108:AM108="NO"),"Critico","No Critico")</f>
        <v>No Critico</v>
      </c>
    </row>
    <row r="109" spans="1:40" ht="25.5">
      <c r="A109" s="52">
        <f>Inicial!A103</f>
        <v>101</v>
      </c>
      <c r="B109" s="53" t="str">
        <f>Inicial!B103</f>
        <v>Desposte</v>
      </c>
      <c r="C109" s="53" t="str">
        <f>Inicial!C103</f>
        <v>Operador Linea Piernas</v>
      </c>
      <c r="D109" s="54" t="str">
        <f>Inicial!D103</f>
        <v>evacuar bandeja</v>
      </c>
      <c r="E109" s="52" t="str">
        <f>IF(Inicial!N103="SI",Inicial!E103,"N/A")</f>
        <v>N/A</v>
      </c>
      <c r="F109" s="53" t="str">
        <f>IF(Inicial!N103="SI",Inicial!F103,"N/A")</f>
        <v>N/A</v>
      </c>
      <c r="G109" s="53" t="str">
        <f>IF(Inicial!N103="SI",Inicial!G103,"N/A")</f>
        <v>N/A</v>
      </c>
      <c r="H109" s="53" t="str">
        <f>IF(Inicial!N103="SI",Inicial!H103,"N/A")</f>
        <v>N/A</v>
      </c>
      <c r="I109" s="55" t="str">
        <f>IF(Inicial!N103="SI",Inicial!I103,"N/A")</f>
        <v>N/A</v>
      </c>
      <c r="X109" s="66" t="str" cm="1">
        <f t="array" ref="X109">IF(OR(J109:W109="NO"),"No aceptable","Aceptable")</f>
        <v>Aceptable</v>
      </c>
      <c r="AN109" s="3" t="str" cm="1">
        <f t="array" ref="AN109">IF(OR(Y109:AM109="NO"),"Critico","No Critico")</f>
        <v>No Critico</v>
      </c>
    </row>
    <row r="110" spans="1:40" ht="38.25">
      <c r="A110" s="52">
        <f>Inicial!A104</f>
        <v>102</v>
      </c>
      <c r="B110" s="53" t="str">
        <f>Inicial!B104</f>
        <v>Desposte</v>
      </c>
      <c r="C110" s="53" t="str">
        <f>Inicial!C104</f>
        <v xml:space="preserve">Operador Línea Empaque </v>
      </c>
      <c r="D110" s="54" t="str">
        <f>Inicial!D104</f>
        <v>Palletizado</v>
      </c>
      <c r="E110" s="52" t="str">
        <f>IF(Inicial!N104="SI",Inicial!E104,"N/A")</f>
        <v>N/A</v>
      </c>
      <c r="F110" s="53" t="str">
        <f>IF(Inicial!N104="SI",Inicial!F104,"N/A")</f>
        <v>N/A</v>
      </c>
      <c r="G110" s="53" t="str">
        <f>IF(Inicial!N104="SI",Inicial!G104,"N/A")</f>
        <v>N/A</v>
      </c>
      <c r="H110" s="53" t="str">
        <f>IF(Inicial!N104="SI",Inicial!H104,"N/A")</f>
        <v>N/A</v>
      </c>
      <c r="I110" s="55" t="str">
        <f>IF(Inicial!N104="SI",Inicial!I104,"N/A")</f>
        <v>N/A</v>
      </c>
      <c r="X110" s="66" t="str" cm="1">
        <f t="array" ref="X110">IF(OR(J110:W110="NO"),"No aceptable","Aceptable")</f>
        <v>Aceptable</v>
      </c>
      <c r="AN110" s="3" t="str" cm="1">
        <f t="array" ref="AN110">IF(OR(Y110:AM110="NO"),"Critico","No Critico")</f>
        <v>No Critico</v>
      </c>
    </row>
    <row r="111" spans="1:40" ht="38.25">
      <c r="A111" s="52">
        <f>Inicial!A105</f>
        <v>103</v>
      </c>
      <c r="B111" s="53" t="str">
        <f>Inicial!B105</f>
        <v>Desposte</v>
      </c>
      <c r="C111" s="53" t="str">
        <f>Inicial!C105</f>
        <v xml:space="preserve">Operador Línea Empaque </v>
      </c>
      <c r="D111" s="54" t="str">
        <f>Inicial!D105</f>
        <v xml:space="preserve">Calibrado </v>
      </c>
      <c r="E111" s="52" t="str">
        <f>IF(Inicial!N105="SI",Inicial!E105,"N/A")</f>
        <v>N/A</v>
      </c>
      <c r="F111" s="53" t="str">
        <f>IF(Inicial!N105="SI",Inicial!F105,"N/A")</f>
        <v>N/A</v>
      </c>
      <c r="G111" s="53" t="str">
        <f>IF(Inicial!N105="SI",Inicial!G105,"N/A")</f>
        <v>N/A</v>
      </c>
      <c r="H111" s="53" t="str">
        <f>IF(Inicial!N105="SI",Inicial!H105,"N/A")</f>
        <v>N/A</v>
      </c>
      <c r="I111" s="55" t="str">
        <f>IF(Inicial!N105="SI",Inicial!I105,"N/A")</f>
        <v>N/A</v>
      </c>
      <c r="X111" s="66" t="str" cm="1">
        <f t="array" ref="X111">IF(OR(J111:W111="NO"),"No aceptable","Aceptable")</f>
        <v>Aceptable</v>
      </c>
      <c r="AN111" s="3" t="str" cm="1">
        <f t="array" ref="AN111">IF(OR(Y111:AM111="NO"),"Critico","No Critico")</f>
        <v>No Critico</v>
      </c>
    </row>
    <row r="112" spans="1:40" ht="38.25">
      <c r="A112" s="52">
        <f>Inicial!A106</f>
        <v>104</v>
      </c>
      <c r="B112" s="53" t="str">
        <f>Inicial!B106</f>
        <v>Desposte</v>
      </c>
      <c r="C112" s="53" t="str">
        <f>Inicial!C106</f>
        <v xml:space="preserve">Operador Línea Empaque </v>
      </c>
      <c r="D112" s="54" t="str">
        <f>Inicial!D106</f>
        <v xml:space="preserve"> Volteador 500</v>
      </c>
      <c r="E112" s="52" t="str">
        <f>IF(Inicial!N106="SI",Inicial!E106,"N/A")</f>
        <v>N/A</v>
      </c>
      <c r="F112" s="53" t="str">
        <f>IF(Inicial!N106="SI",Inicial!F106,"N/A")</f>
        <v>N/A</v>
      </c>
      <c r="G112" s="53" t="str">
        <f>IF(Inicial!N106="SI",Inicial!G106,"N/A")</f>
        <v>N/A</v>
      </c>
      <c r="H112" s="53" t="str">
        <f>IF(Inicial!N106="SI",Inicial!H106,"N/A")</f>
        <v>N/A</v>
      </c>
      <c r="I112" s="55" t="str">
        <f>IF(Inicial!N106="SI",Inicial!I106,"N/A")</f>
        <v>N/A</v>
      </c>
      <c r="X112" s="66" t="str" cm="1">
        <f t="array" ref="X112">IF(OR(J112:W112="NO"),"No aceptable","Aceptable")</f>
        <v>Aceptable</v>
      </c>
      <c r="AN112" s="3" t="str" cm="1">
        <f t="array" ref="AN112">IF(OR(Y112:AM112="NO"),"Critico","No Critico")</f>
        <v>No Critico</v>
      </c>
    </row>
    <row r="113" spans="1:40" ht="38.25">
      <c r="A113" s="52">
        <f>Inicial!A107</f>
        <v>105</v>
      </c>
      <c r="B113" s="53" t="str">
        <f>Inicial!B107</f>
        <v>Desposte</v>
      </c>
      <c r="C113" s="53" t="str">
        <f>Inicial!C107</f>
        <v xml:space="preserve">Operador Línea Empaque </v>
      </c>
      <c r="D113" s="54" t="str">
        <f>Inicial!D107</f>
        <v>Direccionado</v>
      </c>
      <c r="E113" s="52" t="str">
        <f>IF(Inicial!N107="SI",Inicial!E107,"N/A")</f>
        <v>N/A</v>
      </c>
      <c r="F113" s="53" t="str">
        <f>IF(Inicial!N107="SI",Inicial!F107,"N/A")</f>
        <v>N/A</v>
      </c>
      <c r="G113" s="53" t="str">
        <f>IF(Inicial!N107="SI",Inicial!G107,"N/A")</f>
        <v>N/A</v>
      </c>
      <c r="H113" s="53" t="str">
        <f>IF(Inicial!N107="SI",Inicial!H107,"N/A")</f>
        <v>N/A</v>
      </c>
      <c r="I113" s="55" t="str">
        <f>IF(Inicial!N107="SI",Inicial!I107,"N/A")</f>
        <v>N/A</v>
      </c>
      <c r="X113" s="66" t="str" cm="1">
        <f t="array" ref="X113">IF(OR(J113:W113="NO"),"No aceptable","Aceptable")</f>
        <v>Aceptable</v>
      </c>
      <c r="AN113" s="3" t="str" cm="1">
        <f t="array" ref="AN113">IF(OR(Y113:AM113="NO"),"Critico","No Critico")</f>
        <v>No Critico</v>
      </c>
    </row>
    <row r="114" spans="1:40" ht="38.25">
      <c r="A114" s="52">
        <f>Inicial!A108</f>
        <v>106</v>
      </c>
      <c r="B114" s="53" t="str">
        <f>Inicial!B108</f>
        <v>Desposte</v>
      </c>
      <c r="C114" s="53" t="str">
        <f>Inicial!C108</f>
        <v xml:space="preserve">Operador Línea Empaque </v>
      </c>
      <c r="D114" s="54" t="str">
        <f>Inicial!D108</f>
        <v>Embalado</v>
      </c>
      <c r="E114" s="52" t="str">
        <f>IF(Inicial!N108="SI",Inicial!E108,"N/A")</f>
        <v>N/A</v>
      </c>
      <c r="F114" s="53" t="str">
        <f>IF(Inicial!N108="SI",Inicial!F108,"N/A")</f>
        <v>N/A</v>
      </c>
      <c r="G114" s="53" t="str">
        <f>IF(Inicial!N108="SI",Inicial!G108,"N/A")</f>
        <v>N/A</v>
      </c>
      <c r="H114" s="53" t="str">
        <f>IF(Inicial!N108="SI",Inicial!H108,"N/A")</f>
        <v>N/A</v>
      </c>
      <c r="I114" s="55" t="str">
        <f>IF(Inicial!N108="SI",Inicial!I108,"N/A")</f>
        <v>N/A</v>
      </c>
      <c r="X114" s="66" t="str" cm="1">
        <f t="array" ref="X114">IF(OR(J114:W114="NO"),"No aceptable","Aceptable")</f>
        <v>Aceptable</v>
      </c>
      <c r="AN114" s="3" t="str" cm="1">
        <f t="array" ref="AN114">IF(OR(Y114:AM114="NO"),"Critico","No Critico")</f>
        <v>No Critico</v>
      </c>
    </row>
    <row r="115" spans="1:40" ht="38.25">
      <c r="A115" s="52">
        <f>Inicial!A109</f>
        <v>107</v>
      </c>
      <c r="B115" s="53" t="str">
        <f>Inicial!B109</f>
        <v>Desposte</v>
      </c>
      <c r="C115" s="53" t="str">
        <f>Inicial!C109</f>
        <v xml:space="preserve">Operador Línea Empaque </v>
      </c>
      <c r="D115" s="54" t="str">
        <f>Inicial!D109</f>
        <v>PC</v>
      </c>
      <c r="E115" s="52" t="str">
        <f>IF(Inicial!N109="SI",Inicial!E109,"N/A")</f>
        <v>N/A</v>
      </c>
      <c r="F115" s="53" t="str">
        <f>IF(Inicial!N109="SI",Inicial!F109,"N/A")</f>
        <v>N/A</v>
      </c>
      <c r="G115" s="53" t="str">
        <f>IF(Inicial!N109="SI",Inicial!G109,"N/A")</f>
        <v>N/A</v>
      </c>
      <c r="H115" s="53" t="str">
        <f>IF(Inicial!N109="SI",Inicial!H109,"N/A")</f>
        <v>N/A</v>
      </c>
      <c r="I115" s="55" t="str">
        <f>IF(Inicial!N109="SI",Inicial!I109,"N/A")</f>
        <v>N/A</v>
      </c>
      <c r="X115" s="66" t="str" cm="1">
        <f t="array" ref="X115">IF(OR(J115:W115="NO"),"No aceptable","Aceptable")</f>
        <v>Aceptable</v>
      </c>
      <c r="AN115" s="3" t="str" cm="1">
        <f t="array" ref="AN115">IF(OR(Y115:AM115="NO"),"Critico","No Critico")</f>
        <v>No Critico</v>
      </c>
    </row>
    <row r="116" spans="1:40" ht="38.25">
      <c r="A116" s="52">
        <f>Inicial!A110</f>
        <v>108</v>
      </c>
      <c r="B116" s="53" t="str">
        <f>Inicial!B110</f>
        <v>Desposte</v>
      </c>
      <c r="C116" s="53" t="str">
        <f>Inicial!C110</f>
        <v xml:space="preserve">Operador Línea Empaque </v>
      </c>
      <c r="D116" s="54" t="str">
        <f>Inicial!D110</f>
        <v>Volteado 100</v>
      </c>
      <c r="E116" s="52" t="str">
        <f>IF(Inicial!N110="SI",Inicial!E110,"N/A")</f>
        <v>N/A</v>
      </c>
      <c r="F116" s="53" t="str">
        <f>IF(Inicial!N110="SI",Inicial!F110,"N/A")</f>
        <v>N/A</v>
      </c>
      <c r="G116" s="53" t="str">
        <f>IF(Inicial!N110="SI",Inicial!G110,"N/A")</f>
        <v>N/A</v>
      </c>
      <c r="H116" s="53" t="str">
        <f>IF(Inicial!N110="SI",Inicial!H110,"N/A")</f>
        <v>N/A</v>
      </c>
      <c r="I116" s="55" t="str">
        <f>IF(Inicial!N110="SI",Inicial!I110,"N/A")</f>
        <v>N/A</v>
      </c>
      <c r="X116" s="66" t="str" cm="1">
        <f t="array" ref="X116">IF(OR(J116:W116="NO"),"No aceptable","Aceptable")</f>
        <v>Aceptable</v>
      </c>
      <c r="AN116" s="3" t="str" cm="1">
        <f t="array" ref="AN116">IF(OR(Y116:AM116="NO"),"Critico","No Critico")</f>
        <v>No Critico</v>
      </c>
    </row>
    <row r="117" spans="1:40" ht="38.25">
      <c r="A117" s="52">
        <f>Inicial!A111</f>
        <v>109</v>
      </c>
      <c r="B117" s="53" t="str">
        <f>Inicial!B111</f>
        <v>Desposte</v>
      </c>
      <c r="C117" s="53" t="str">
        <f>Inicial!C111</f>
        <v>Operador Línea Filete y Cabeza</v>
      </c>
      <c r="D117" s="54" t="str">
        <f>Inicial!D111</f>
        <v>Cortar Cabeza</v>
      </c>
      <c r="E117" s="52" t="str">
        <f>IF(Inicial!N111="SI",Inicial!E111,"N/A")</f>
        <v>N/A</v>
      </c>
      <c r="F117" s="53" t="str">
        <f>IF(Inicial!N111="SI",Inicial!F111,"N/A")</f>
        <v>N/A</v>
      </c>
      <c r="G117" s="53" t="str">
        <f>IF(Inicial!N111="SI",Inicial!G111,"N/A")</f>
        <v>N/A</v>
      </c>
      <c r="H117" s="53" t="str">
        <f>IF(Inicial!N111="SI",Inicial!H111,"N/A")</f>
        <v>N/A</v>
      </c>
      <c r="I117" s="55" t="str">
        <f>IF(Inicial!N111="SI",Inicial!I111,"N/A")</f>
        <v>N/A</v>
      </c>
      <c r="X117" s="66" t="str" cm="1">
        <f t="array" ref="X117">IF(OR(J117:W117="NO"),"No aceptable","Aceptable")</f>
        <v>Aceptable</v>
      </c>
      <c r="AN117" s="3" t="str" cm="1">
        <f t="array" ref="AN117">IF(OR(Y117:AM117="NO"),"Critico","No Critico")</f>
        <v>No Critico</v>
      </c>
    </row>
    <row r="118" spans="1:40" ht="38.25">
      <c r="A118" s="52">
        <f>Inicial!A112</f>
        <v>110</v>
      </c>
      <c r="B118" s="53" t="str">
        <f>Inicial!B112</f>
        <v>Desposte</v>
      </c>
      <c r="C118" s="53" t="str">
        <f>Inicial!C112</f>
        <v>Operador Línea Filete y Cabeza</v>
      </c>
      <c r="D118" s="54" t="str">
        <f>Inicial!D112</f>
        <v>Filetero</v>
      </c>
      <c r="E118" s="52" t="str">
        <f>IF(Inicial!N112="SI",Inicial!E112,"N/A")</f>
        <v>N/A</v>
      </c>
      <c r="F118" s="53" t="str">
        <f>IF(Inicial!N112="SI",Inicial!F112,"N/A")</f>
        <v>N/A</v>
      </c>
      <c r="G118" s="53" t="str">
        <f>IF(Inicial!N112="SI",Inicial!G112,"N/A")</f>
        <v>N/A</v>
      </c>
      <c r="H118" s="53" t="str">
        <f>IF(Inicial!N112="SI",Inicial!H112,"N/A")</f>
        <v>N/A</v>
      </c>
      <c r="I118" s="55" t="str">
        <f>IF(Inicial!N112="SI",Inicial!I112,"N/A")</f>
        <v>N/A</v>
      </c>
      <c r="X118" s="66" t="str" cm="1">
        <f t="array" ref="X118">IF(OR(J118:W118="NO"),"No aceptable","Aceptable")</f>
        <v>Aceptable</v>
      </c>
      <c r="AN118" s="3" t="str" cm="1">
        <f t="array" ref="AN118">IF(OR(Y118:AM118="NO"),"Critico","No Critico")</f>
        <v>No Critico</v>
      </c>
    </row>
    <row r="119" spans="1:40" ht="38.25">
      <c r="A119" s="52">
        <f>Inicial!A113</f>
        <v>111</v>
      </c>
      <c r="B119" s="53" t="str">
        <f>Inicial!B113</f>
        <v>Desposte</v>
      </c>
      <c r="C119" s="53" t="str">
        <f>Inicial!C113</f>
        <v>Operador Línea Filete y Cabeza</v>
      </c>
      <c r="D119" s="54" t="str">
        <f>Inicial!D113</f>
        <v>Exracción de cuero Axilar</v>
      </c>
      <c r="E119" s="52" t="str">
        <f>IF(Inicial!N113="SI",Inicial!E113,"N/A")</f>
        <v>N/A</v>
      </c>
      <c r="F119" s="53" t="str">
        <f>IF(Inicial!N113="SI",Inicial!F113,"N/A")</f>
        <v>N/A</v>
      </c>
      <c r="G119" s="53" t="str">
        <f>IF(Inicial!N113="SI",Inicial!G113,"N/A")</f>
        <v>N/A</v>
      </c>
      <c r="H119" s="53" t="str">
        <f>IF(Inicial!N113="SI",Inicial!H113,"N/A")</f>
        <v>N/A</v>
      </c>
      <c r="I119" s="55" t="str">
        <f>IF(Inicial!N113="SI",Inicial!I113,"N/A")</f>
        <v>N/A</v>
      </c>
      <c r="X119" s="66" t="str" cm="1">
        <f t="array" ref="X119">IF(OR(J119:W119="NO"),"No aceptable","Aceptable")</f>
        <v>Aceptable</v>
      </c>
      <c r="AN119" s="3" t="str" cm="1">
        <f t="array" ref="AN119">IF(OR(Y119:AM119="NO"),"Critico","No Critico")</f>
        <v>No Critico</v>
      </c>
    </row>
    <row r="120" spans="1:40" ht="38.25">
      <c r="A120" s="52">
        <f>Inicial!A114</f>
        <v>112</v>
      </c>
      <c r="B120" s="53" t="str">
        <f>Inicial!B114</f>
        <v>Desposte</v>
      </c>
      <c r="C120" s="53" t="str">
        <f>Inicial!C114</f>
        <v>Operador Línea Filete y Cabeza</v>
      </c>
      <c r="D120" s="54" t="str">
        <f>Inicial!D114</f>
        <v>Embalar Perniles</v>
      </c>
      <c r="E120" s="52" t="str">
        <f>IF(Inicial!N114="SI",Inicial!E114,"N/A")</f>
        <v>N/A</v>
      </c>
      <c r="F120" s="53" t="str">
        <f>IF(Inicial!N114="SI",Inicial!F114,"N/A")</f>
        <v>N/A</v>
      </c>
      <c r="G120" s="53" t="str">
        <f>IF(Inicial!N114="SI",Inicial!G114,"N/A")</f>
        <v>N/A</v>
      </c>
      <c r="H120" s="53" t="str">
        <f>IF(Inicial!N114="SI",Inicial!H114,"N/A")</f>
        <v>N/A</v>
      </c>
      <c r="I120" s="55" t="str">
        <f>IF(Inicial!N114="SI",Inicial!I114,"N/A")</f>
        <v>N/A</v>
      </c>
      <c r="X120" s="66" t="str" cm="1">
        <f t="array" ref="X120">IF(OR(J120:W120="NO"),"No aceptable","Aceptable")</f>
        <v>Aceptable</v>
      </c>
      <c r="AN120" s="3" t="str" cm="1">
        <f t="array" ref="AN120">IF(OR(Y120:AM120="NO"),"Critico","No Critico")</f>
        <v>No Critico</v>
      </c>
    </row>
    <row r="121" spans="1:40" ht="38.25">
      <c r="A121" s="52">
        <f>Inicial!A115</f>
        <v>113</v>
      </c>
      <c r="B121" s="53" t="str">
        <f>Inicial!B115</f>
        <v>Desposte</v>
      </c>
      <c r="C121" s="53" t="str">
        <f>Inicial!C115</f>
        <v>Operador Línea Filete y Cabeza</v>
      </c>
      <c r="D121" s="54" t="str">
        <f>Inicial!D115</f>
        <v>Embalador Perniles</v>
      </c>
      <c r="E121" s="52" t="str">
        <f>IF(Inicial!N115="SI",Inicial!E115,"N/A")</f>
        <v>N/A</v>
      </c>
      <c r="F121" s="53" t="str">
        <f>IF(Inicial!N115="SI",Inicial!F115,"N/A")</f>
        <v>N/A</v>
      </c>
      <c r="G121" s="53" t="str">
        <f>IF(Inicial!N115="SI",Inicial!G115,"N/A")</f>
        <v>N/A</v>
      </c>
      <c r="H121" s="53" t="str">
        <f>IF(Inicial!N115="SI",Inicial!H115,"N/A")</f>
        <v>N/A</v>
      </c>
      <c r="I121" s="55" t="str">
        <f>IF(Inicial!N115="SI",Inicial!I115,"N/A")</f>
        <v>N/A</v>
      </c>
      <c r="X121" s="66" t="str" cm="1">
        <f t="array" ref="X121">IF(OR(J121:W121="NO"),"No aceptable","Aceptable")</f>
        <v>Aceptable</v>
      </c>
      <c r="AN121" s="3" t="str" cm="1">
        <f t="array" ref="AN121">IF(OR(Y121:AM121="NO"),"Critico","No Critico")</f>
        <v>No Critico</v>
      </c>
    </row>
    <row r="122" spans="1:40" ht="38.25">
      <c r="A122" s="52">
        <f>Inicial!A116</f>
        <v>114</v>
      </c>
      <c r="B122" s="53" t="str">
        <f>Inicial!B116</f>
        <v>Desposte</v>
      </c>
      <c r="C122" s="53" t="str">
        <f>Inicial!C116</f>
        <v>Operador Línea Filete y Cabeza</v>
      </c>
      <c r="D122" s="54" t="str">
        <f>Inicial!D116</f>
        <v>Prolijado Entraña</v>
      </c>
      <c r="E122" s="52" t="str">
        <f>IF(Inicial!N116="SI",Inicial!E116,"N/A")</f>
        <v>N/A</v>
      </c>
      <c r="F122" s="53" t="str">
        <f>IF(Inicial!N116="SI",Inicial!F116,"N/A")</f>
        <v>N/A</v>
      </c>
      <c r="G122" s="53" t="str">
        <f>IF(Inicial!N116="SI",Inicial!G116,"N/A")</f>
        <v>N/A</v>
      </c>
      <c r="H122" s="53" t="str">
        <f>IF(Inicial!N116="SI",Inicial!H116,"N/A")</f>
        <v>N/A</v>
      </c>
      <c r="I122" s="55" t="str">
        <f>IF(Inicial!N116="SI",Inicial!I116,"N/A")</f>
        <v>N/A</v>
      </c>
      <c r="X122" s="66" t="str" cm="1">
        <f t="array" ref="X122">IF(OR(J122:W122="NO"),"No aceptable","Aceptable")</f>
        <v>Aceptable</v>
      </c>
      <c r="AN122" s="3" t="str" cm="1">
        <f t="array" ref="AN122">IF(OR(Y122:AM122="NO"),"Critico","No Critico")</f>
        <v>No Critico</v>
      </c>
    </row>
    <row r="123" spans="1:40" ht="38.25">
      <c r="A123" s="52">
        <f>Inicial!A117</f>
        <v>115</v>
      </c>
      <c r="B123" s="53" t="str">
        <f>Inicial!B117</f>
        <v>Desposte</v>
      </c>
      <c r="C123" s="53" t="str">
        <f>Inicial!C117</f>
        <v>Operador Línea Filete y Cabeza</v>
      </c>
      <c r="D123" s="54" t="str">
        <f>Inicial!D117</f>
        <v>Embalaje patas y manos</v>
      </c>
      <c r="E123" s="52" t="str">
        <f>IF(Inicial!N117="SI",Inicial!E117,"N/A")</f>
        <v>N/A</v>
      </c>
      <c r="F123" s="53" t="str">
        <f>IF(Inicial!N117="SI",Inicial!F117,"N/A")</f>
        <v>N/A</v>
      </c>
      <c r="G123" s="53" t="str">
        <f>IF(Inicial!N117="SI",Inicial!G117,"N/A")</f>
        <v>N/A</v>
      </c>
      <c r="H123" s="53" t="str">
        <f>IF(Inicial!N117="SI",Inicial!H117,"N/A")</f>
        <v>N/A</v>
      </c>
      <c r="I123" s="55" t="str">
        <f>IF(Inicial!N117="SI",Inicial!I117,"N/A")</f>
        <v>N/A</v>
      </c>
      <c r="X123" s="66" t="str" cm="1">
        <f t="array" ref="X123">IF(OR(J123:W123="NO"),"No aceptable","Aceptable")</f>
        <v>Aceptable</v>
      </c>
      <c r="AN123" s="3" t="str" cm="1">
        <f t="array" ref="AN123">IF(OR(Y123:AM123="NO"),"Critico","No Critico")</f>
        <v>No Critico</v>
      </c>
    </row>
    <row r="124" spans="1:40">
      <c r="A124" s="52">
        <f>Inicial!A118</f>
        <v>0</v>
      </c>
      <c r="B124" s="53">
        <f>Inicial!B118</f>
        <v>0</v>
      </c>
      <c r="C124" s="53">
        <f>Inicial!C118</f>
        <v>0</v>
      </c>
      <c r="D124" s="54">
        <f>Inicial!D118</f>
        <v>0</v>
      </c>
      <c r="E124" s="52" t="str">
        <f>IF(Inicial!N118="SI",Inicial!E118,"N/A")</f>
        <v>N/A</v>
      </c>
      <c r="F124" s="53" t="str">
        <f>IF(Inicial!N118="SI",Inicial!F118,"N/A")</f>
        <v>N/A</v>
      </c>
      <c r="G124" s="53" t="str">
        <f>IF(Inicial!N118="SI",Inicial!G118,"N/A")</f>
        <v>N/A</v>
      </c>
      <c r="H124" s="53" t="str">
        <f>IF(Inicial!N118="SI",Inicial!H118,"N/A")</f>
        <v>N/A</v>
      </c>
      <c r="I124" s="55" t="str">
        <f>IF(Inicial!N118="SI",Inicial!I118,"N/A")</f>
        <v>N/A</v>
      </c>
      <c r="X124" s="66" t="str" cm="1">
        <f t="array" ref="X124">IF(OR(J124:W124="NO"),"No aceptable","Aceptable")</f>
        <v>Aceptable</v>
      </c>
      <c r="AN124" s="3" t="str" cm="1">
        <f t="array" ref="AN124">IF(OR(Y124:AM124="NO"),"Critico","No Critico")</f>
        <v>No Critico</v>
      </c>
    </row>
    <row r="125" spans="1:40">
      <c r="A125" s="52">
        <f>Inicial!A119</f>
        <v>0</v>
      </c>
      <c r="B125" s="53">
        <f>Inicial!B119</f>
        <v>0</v>
      </c>
      <c r="C125" s="53">
        <f>Inicial!C119</f>
        <v>0</v>
      </c>
      <c r="D125" s="54">
        <f>Inicial!D119</f>
        <v>0</v>
      </c>
      <c r="E125" s="52" t="str">
        <f>IF(Inicial!N119="SI",Inicial!E119,"N/A")</f>
        <v>N/A</v>
      </c>
      <c r="F125" s="53" t="str">
        <f>IF(Inicial!N119="SI",Inicial!F119,"N/A")</f>
        <v>N/A</v>
      </c>
      <c r="G125" s="53" t="str">
        <f>IF(Inicial!N119="SI",Inicial!G119,"N/A")</f>
        <v>N/A</v>
      </c>
      <c r="H125" s="53" t="str">
        <f>IF(Inicial!N119="SI",Inicial!H119,"N/A")</f>
        <v>N/A</v>
      </c>
      <c r="I125" s="55" t="str">
        <f>IF(Inicial!N119="SI",Inicial!I119,"N/A")</f>
        <v>N/A</v>
      </c>
      <c r="X125" s="66" t="str" cm="1">
        <f t="array" ref="X125">IF(OR(J125:W125="NO"),"No aceptable","Aceptable")</f>
        <v>Aceptable</v>
      </c>
      <c r="AN125" s="3" t="str" cm="1">
        <f t="array" ref="AN125">IF(OR(Y125:AM125="NO"),"Critico","No Critico")</f>
        <v>No Critico</v>
      </c>
    </row>
    <row r="126" spans="1:40">
      <c r="A126" s="52">
        <f>Inicial!A120</f>
        <v>0</v>
      </c>
      <c r="B126" s="53">
        <f>Inicial!B120</f>
        <v>0</v>
      </c>
      <c r="C126" s="53">
        <f>Inicial!C120</f>
        <v>0</v>
      </c>
      <c r="D126" s="54">
        <f>Inicial!D120</f>
        <v>0</v>
      </c>
      <c r="E126" s="52" t="str">
        <f>IF(Inicial!N120="SI",Inicial!E120,"N/A")</f>
        <v>N/A</v>
      </c>
      <c r="F126" s="53" t="str">
        <f>IF(Inicial!N120="SI",Inicial!F120,"N/A")</f>
        <v>N/A</v>
      </c>
      <c r="G126" s="53" t="str">
        <f>IF(Inicial!N120="SI",Inicial!G120,"N/A")</f>
        <v>N/A</v>
      </c>
      <c r="H126" s="53" t="str">
        <f>IF(Inicial!N120="SI",Inicial!H120,"N/A")</f>
        <v>N/A</v>
      </c>
      <c r="I126" s="55" t="str">
        <f>IF(Inicial!N120="SI",Inicial!I120,"N/A")</f>
        <v>N/A</v>
      </c>
      <c r="X126" s="66" t="str" cm="1">
        <f t="array" ref="X126">IF(OR(J126:W126="NO"),"No aceptable","Aceptable")</f>
        <v>Aceptable</v>
      </c>
      <c r="AN126" s="3" t="str" cm="1">
        <f t="array" ref="AN126">IF(OR(Y126:AM126="NO"),"Critico","No Critico")</f>
        <v>No Critico</v>
      </c>
    </row>
    <row r="127" spans="1:40">
      <c r="A127" s="52">
        <f>Inicial!A121</f>
        <v>0</v>
      </c>
      <c r="B127" s="53">
        <f>Inicial!B121</f>
        <v>0</v>
      </c>
      <c r="C127" s="53">
        <f>Inicial!C121</f>
        <v>0</v>
      </c>
      <c r="D127" s="54">
        <f>Inicial!D121</f>
        <v>0</v>
      </c>
      <c r="E127" s="52" t="str">
        <f>IF(Inicial!N121="SI",Inicial!E121,"N/A")</f>
        <v>N/A</v>
      </c>
      <c r="F127" s="53" t="str">
        <f>IF(Inicial!N121="SI",Inicial!F121,"N/A")</f>
        <v>N/A</v>
      </c>
      <c r="G127" s="53" t="str">
        <f>IF(Inicial!N121="SI",Inicial!G121,"N/A")</f>
        <v>N/A</v>
      </c>
      <c r="H127" s="53" t="str">
        <f>IF(Inicial!N121="SI",Inicial!H121,"N/A")</f>
        <v>N/A</v>
      </c>
      <c r="I127" s="55" t="str">
        <f>IF(Inicial!N121="SI",Inicial!I121,"N/A")</f>
        <v>N/A</v>
      </c>
      <c r="X127" s="66" t="str" cm="1">
        <f t="array" ref="X127">IF(OR(J127:W127="NO"),"No aceptable","Aceptable")</f>
        <v>Aceptable</v>
      </c>
      <c r="AN127" s="3" t="str" cm="1">
        <f t="array" ref="AN127">IF(OR(Y127:AM127="NO"),"Critico","No Critico")</f>
        <v>No Critico</v>
      </c>
    </row>
    <row r="128" spans="1:40">
      <c r="A128" s="52">
        <f>Inicial!A122</f>
        <v>0</v>
      </c>
      <c r="B128" s="53">
        <f>Inicial!B122</f>
        <v>0</v>
      </c>
      <c r="C128" s="53">
        <f>Inicial!C122</f>
        <v>0</v>
      </c>
      <c r="D128" s="54">
        <f>Inicial!D122</f>
        <v>0</v>
      </c>
      <c r="E128" s="52" t="str">
        <f>IF(Inicial!N122="SI",Inicial!E122,"N/A")</f>
        <v>N/A</v>
      </c>
      <c r="F128" s="53" t="str">
        <f>IF(Inicial!N122="SI",Inicial!F122,"N/A")</f>
        <v>N/A</v>
      </c>
      <c r="G128" s="53" t="str">
        <f>IF(Inicial!N122="SI",Inicial!G122,"N/A")</f>
        <v>N/A</v>
      </c>
      <c r="H128" s="53" t="str">
        <f>IF(Inicial!N122="SI",Inicial!H122,"N/A")</f>
        <v>N/A</v>
      </c>
      <c r="I128" s="55" t="str">
        <f>IF(Inicial!N122="SI",Inicial!I122,"N/A")</f>
        <v>N/A</v>
      </c>
      <c r="X128" s="66" t="str" cm="1">
        <f t="array" ref="X128">IF(OR(J128:W128="NO"),"No aceptable","Aceptable")</f>
        <v>Aceptable</v>
      </c>
      <c r="AN128" s="3" t="str" cm="1">
        <f t="array" ref="AN128">IF(OR(Y128:AM128="NO"),"Critico","No Critico")</f>
        <v>No Critico</v>
      </c>
    </row>
    <row r="129" spans="1:40">
      <c r="A129" s="52">
        <f>Inicial!A123</f>
        <v>0</v>
      </c>
      <c r="B129" s="53">
        <f>Inicial!B123</f>
        <v>0</v>
      </c>
      <c r="C129" s="53">
        <f>Inicial!C123</f>
        <v>0</v>
      </c>
      <c r="D129" s="54">
        <f>Inicial!D123</f>
        <v>0</v>
      </c>
      <c r="E129" s="52" t="str">
        <f>IF(Inicial!N123="SI",Inicial!E123,"N/A")</f>
        <v>N/A</v>
      </c>
      <c r="F129" s="53" t="str">
        <f>IF(Inicial!N123="SI",Inicial!F123,"N/A")</f>
        <v>N/A</v>
      </c>
      <c r="G129" s="53" t="str">
        <f>IF(Inicial!N123="SI",Inicial!G123,"N/A")</f>
        <v>N/A</v>
      </c>
      <c r="H129" s="53" t="str">
        <f>IF(Inicial!N123="SI",Inicial!H123,"N/A")</f>
        <v>N/A</v>
      </c>
      <c r="I129" s="55" t="str">
        <f>IF(Inicial!N123="SI",Inicial!I123,"N/A")</f>
        <v>N/A</v>
      </c>
      <c r="X129" s="66" t="str" cm="1">
        <f t="array" ref="X129">IF(OR(J129:W129="NO"),"No aceptable","Aceptable")</f>
        <v>Aceptable</v>
      </c>
      <c r="AN129" s="3" t="str" cm="1">
        <f t="array" ref="AN129">IF(OR(Y129:AM129="NO"),"Critico","No Critico")</f>
        <v>No Critico</v>
      </c>
    </row>
    <row r="130" spans="1:40">
      <c r="A130" s="52">
        <f>Inicial!A124</f>
        <v>0</v>
      </c>
      <c r="B130" s="53">
        <f>Inicial!B124</f>
        <v>0</v>
      </c>
      <c r="C130" s="53">
        <f>Inicial!C124</f>
        <v>0</v>
      </c>
      <c r="D130" s="54">
        <f>Inicial!D124</f>
        <v>0</v>
      </c>
      <c r="E130" s="52" t="str">
        <f>IF(Inicial!N124="SI",Inicial!E124,"N/A")</f>
        <v>N/A</v>
      </c>
      <c r="F130" s="53" t="str">
        <f>IF(Inicial!N124="SI",Inicial!F124,"N/A")</f>
        <v>N/A</v>
      </c>
      <c r="G130" s="53" t="str">
        <f>IF(Inicial!N124="SI",Inicial!G124,"N/A")</f>
        <v>N/A</v>
      </c>
      <c r="H130" s="53" t="str">
        <f>IF(Inicial!N124="SI",Inicial!H124,"N/A")</f>
        <v>N/A</v>
      </c>
      <c r="I130" s="55" t="str">
        <f>IF(Inicial!N124="SI",Inicial!I124,"N/A")</f>
        <v>N/A</v>
      </c>
      <c r="X130" s="66" t="str" cm="1">
        <f t="array" ref="X130">IF(OR(J130:W130="NO"),"No aceptable","Aceptable")</f>
        <v>Aceptable</v>
      </c>
      <c r="AN130" s="3" t="str" cm="1">
        <f t="array" ref="AN130">IF(OR(Y130:AM130="NO"),"Critico","No Critico")</f>
        <v>No Critico</v>
      </c>
    </row>
    <row r="131" spans="1:40">
      <c r="A131" s="52">
        <f>Inicial!A125</f>
        <v>0</v>
      </c>
      <c r="B131" s="53">
        <f>Inicial!B125</f>
        <v>0</v>
      </c>
      <c r="C131" s="53">
        <f>Inicial!C125</f>
        <v>0</v>
      </c>
      <c r="D131" s="54">
        <f>Inicial!D125</f>
        <v>0</v>
      </c>
      <c r="E131" s="52" t="str">
        <f>IF(Inicial!N125="SI",Inicial!E125,"N/A")</f>
        <v>N/A</v>
      </c>
      <c r="F131" s="53" t="str">
        <f>IF(Inicial!N125="SI",Inicial!F125,"N/A")</f>
        <v>N/A</v>
      </c>
      <c r="G131" s="53" t="str">
        <f>IF(Inicial!N125="SI",Inicial!G125,"N/A")</f>
        <v>N/A</v>
      </c>
      <c r="H131" s="53" t="str">
        <f>IF(Inicial!N125="SI",Inicial!H125,"N/A")</f>
        <v>N/A</v>
      </c>
      <c r="I131" s="55" t="str">
        <f>IF(Inicial!N125="SI",Inicial!I125,"N/A")</f>
        <v>N/A</v>
      </c>
      <c r="X131" s="66" t="str" cm="1">
        <f t="array" ref="X131">IF(OR(J131:W131="NO"),"No aceptable","Aceptable")</f>
        <v>Aceptable</v>
      </c>
      <c r="AN131" s="3" t="str" cm="1">
        <f t="array" ref="AN131">IF(OR(Y131:AM131="NO"),"Critico","No Critico")</f>
        <v>No Critico</v>
      </c>
    </row>
    <row r="132" spans="1:40">
      <c r="A132" s="52">
        <f>Inicial!A126</f>
        <v>0</v>
      </c>
      <c r="B132" s="53">
        <f>Inicial!B126</f>
        <v>0</v>
      </c>
      <c r="C132" s="53">
        <f>Inicial!C126</f>
        <v>0</v>
      </c>
      <c r="D132" s="54">
        <f>Inicial!D126</f>
        <v>0</v>
      </c>
      <c r="E132" s="52" t="str">
        <f>IF(Inicial!N126="SI",Inicial!E126,"N/A")</f>
        <v>N/A</v>
      </c>
      <c r="F132" s="53" t="str">
        <f>IF(Inicial!N126="SI",Inicial!F126,"N/A")</f>
        <v>N/A</v>
      </c>
      <c r="G132" s="53" t="str">
        <f>IF(Inicial!N126="SI",Inicial!G126,"N/A")</f>
        <v>N/A</v>
      </c>
      <c r="H132" s="53" t="str">
        <f>IF(Inicial!N126="SI",Inicial!H126,"N/A")</f>
        <v>N/A</v>
      </c>
      <c r="I132" s="55" t="str">
        <f>IF(Inicial!N126="SI",Inicial!I126,"N/A")</f>
        <v>N/A</v>
      </c>
      <c r="X132" s="66" t="str" cm="1">
        <f t="array" ref="X132">IF(OR(J132:W132="NO"),"No aceptable","Aceptable")</f>
        <v>Aceptable</v>
      </c>
      <c r="AN132" s="3" t="str" cm="1">
        <f t="array" ref="AN132">IF(OR(Y132:AM132="NO"),"Critico","No Critico")</f>
        <v>No Critico</v>
      </c>
    </row>
    <row r="133" spans="1:40">
      <c r="A133" s="52">
        <f>Inicial!A127</f>
        <v>0</v>
      </c>
      <c r="B133" s="53">
        <f>Inicial!B127</f>
        <v>0</v>
      </c>
      <c r="C133" s="53">
        <f>Inicial!C127</f>
        <v>0</v>
      </c>
      <c r="D133" s="54">
        <f>Inicial!D127</f>
        <v>0</v>
      </c>
      <c r="E133" s="52" t="str">
        <f>IF(Inicial!N127="SI",Inicial!E127,"N/A")</f>
        <v>N/A</v>
      </c>
      <c r="F133" s="53" t="str">
        <f>IF(Inicial!N127="SI",Inicial!F127,"N/A")</f>
        <v>N/A</v>
      </c>
      <c r="G133" s="53" t="str">
        <f>IF(Inicial!N127="SI",Inicial!G127,"N/A")</f>
        <v>N/A</v>
      </c>
      <c r="H133" s="53" t="str">
        <f>IF(Inicial!N127="SI",Inicial!H127,"N/A")</f>
        <v>N/A</v>
      </c>
      <c r="I133" s="55" t="str">
        <f>IF(Inicial!N127="SI",Inicial!I127,"N/A")</f>
        <v>N/A</v>
      </c>
      <c r="X133" s="66" t="str" cm="1">
        <f t="array" ref="X133">IF(OR(J133:W133="NO"),"No aceptable","Aceptable")</f>
        <v>Aceptable</v>
      </c>
      <c r="AN133" s="3" t="str" cm="1">
        <f t="array" ref="AN133">IF(OR(Y133:AM133="NO"),"Critico","No Critico")</f>
        <v>No Critico</v>
      </c>
    </row>
    <row r="134" spans="1:40">
      <c r="A134" s="52">
        <f>Inicial!A128</f>
        <v>0</v>
      </c>
      <c r="B134" s="53">
        <f>Inicial!B128</f>
        <v>0</v>
      </c>
      <c r="C134" s="53">
        <f>Inicial!C128</f>
        <v>0</v>
      </c>
      <c r="D134" s="54">
        <f>Inicial!D128</f>
        <v>0</v>
      </c>
      <c r="E134" s="52" t="str">
        <f>IF(Inicial!N128="SI",Inicial!E128,"N/A")</f>
        <v>N/A</v>
      </c>
      <c r="F134" s="53" t="str">
        <f>IF(Inicial!N128="SI",Inicial!F128,"N/A")</f>
        <v>N/A</v>
      </c>
      <c r="G134" s="53" t="str">
        <f>IF(Inicial!N128="SI",Inicial!G128,"N/A")</f>
        <v>N/A</v>
      </c>
      <c r="H134" s="53" t="str">
        <f>IF(Inicial!N128="SI",Inicial!H128,"N/A")</f>
        <v>N/A</v>
      </c>
      <c r="I134" s="55" t="str">
        <f>IF(Inicial!N128="SI",Inicial!I128,"N/A")</f>
        <v>N/A</v>
      </c>
      <c r="X134" s="66" t="str" cm="1">
        <f t="array" ref="X134">IF(OR(J134:W134="NO"),"No aceptable","Aceptable")</f>
        <v>Aceptable</v>
      </c>
      <c r="AN134" s="3" t="str" cm="1">
        <f t="array" ref="AN134">IF(OR(Y134:AM134="NO"),"Critico","No Critico")</f>
        <v>No Critico</v>
      </c>
    </row>
    <row r="135" spans="1:40">
      <c r="A135" s="52">
        <f>Inicial!A129</f>
        <v>0</v>
      </c>
      <c r="B135" s="53">
        <f>Inicial!B129</f>
        <v>0</v>
      </c>
      <c r="C135" s="53">
        <f>Inicial!C129</f>
        <v>0</v>
      </c>
      <c r="D135" s="54">
        <f>Inicial!D129</f>
        <v>0</v>
      </c>
      <c r="E135" s="52" t="str">
        <f>IF(Inicial!N129="SI",Inicial!E129,"N/A")</f>
        <v>N/A</v>
      </c>
      <c r="F135" s="53" t="str">
        <f>IF(Inicial!N129="SI",Inicial!F129,"N/A")</f>
        <v>N/A</v>
      </c>
      <c r="G135" s="53" t="str">
        <f>IF(Inicial!N129="SI",Inicial!G129,"N/A")</f>
        <v>N/A</v>
      </c>
      <c r="H135" s="53" t="str">
        <f>IF(Inicial!N129="SI",Inicial!H129,"N/A")</f>
        <v>N/A</v>
      </c>
      <c r="I135" s="55" t="str">
        <f>IF(Inicial!N129="SI",Inicial!I129,"N/A")</f>
        <v>N/A</v>
      </c>
      <c r="X135" s="66" t="str" cm="1">
        <f t="array" ref="X135">IF(OR(J135:W135="NO"),"No aceptable","Aceptable")</f>
        <v>Aceptable</v>
      </c>
      <c r="AN135" s="3" t="str" cm="1">
        <f t="array" ref="AN135">IF(OR(Y135:AM135="NO"),"Critico","No Critico")</f>
        <v>No Critico</v>
      </c>
    </row>
    <row r="136" spans="1:40">
      <c r="A136" s="52">
        <f>Inicial!A130</f>
        <v>0</v>
      </c>
      <c r="B136" s="53">
        <f>Inicial!B130</f>
        <v>0</v>
      </c>
      <c r="C136" s="53">
        <f>Inicial!C130</f>
        <v>0</v>
      </c>
      <c r="D136" s="54">
        <f>Inicial!D130</f>
        <v>0</v>
      </c>
      <c r="E136" s="52" t="str">
        <f>IF(Inicial!N130="SI",Inicial!E130,"N/A")</f>
        <v>N/A</v>
      </c>
      <c r="F136" s="53" t="str">
        <f>IF(Inicial!N130="SI",Inicial!F130,"N/A")</f>
        <v>N/A</v>
      </c>
      <c r="G136" s="53" t="str">
        <f>IF(Inicial!N130="SI",Inicial!G130,"N/A")</f>
        <v>N/A</v>
      </c>
      <c r="H136" s="53" t="str">
        <f>IF(Inicial!N130="SI",Inicial!H130,"N/A")</f>
        <v>N/A</v>
      </c>
      <c r="I136" s="55" t="str">
        <f>IF(Inicial!N130="SI",Inicial!I130,"N/A")</f>
        <v>N/A</v>
      </c>
      <c r="X136" s="66" t="str" cm="1">
        <f t="array" ref="X136">IF(OR(J136:W136="NO"),"No aceptable","Aceptable")</f>
        <v>Aceptable</v>
      </c>
      <c r="AN136" s="3" t="str" cm="1">
        <f t="array" ref="AN136">IF(OR(Y136:AM136="NO"),"Critico","No Critico")</f>
        <v>No Critico</v>
      </c>
    </row>
    <row r="137" spans="1:40">
      <c r="A137" s="52">
        <f>Inicial!A131</f>
        <v>0</v>
      </c>
      <c r="B137" s="53">
        <f>Inicial!B131</f>
        <v>0</v>
      </c>
      <c r="C137" s="53">
        <f>Inicial!C131</f>
        <v>0</v>
      </c>
      <c r="D137" s="54">
        <f>Inicial!D131</f>
        <v>0</v>
      </c>
      <c r="E137" s="52" t="str">
        <f>IF(Inicial!N131="SI",Inicial!E131,"N/A")</f>
        <v>N/A</v>
      </c>
      <c r="F137" s="53" t="str">
        <f>IF(Inicial!N131="SI",Inicial!F131,"N/A")</f>
        <v>N/A</v>
      </c>
      <c r="G137" s="53" t="str">
        <f>IF(Inicial!N131="SI",Inicial!G131,"N/A")</f>
        <v>N/A</v>
      </c>
      <c r="H137" s="53" t="str">
        <f>IF(Inicial!N131="SI",Inicial!H131,"N/A")</f>
        <v>N/A</v>
      </c>
      <c r="I137" s="55" t="str">
        <f>IF(Inicial!N131="SI",Inicial!I131,"N/A")</f>
        <v>N/A</v>
      </c>
      <c r="X137" s="66" t="str" cm="1">
        <f t="array" ref="X137">IF(OR(J137:W137="NO"),"No aceptable","Aceptable")</f>
        <v>Aceptable</v>
      </c>
      <c r="AN137" s="3" t="str" cm="1">
        <f t="array" ref="AN137">IF(OR(Y137:AM137="NO"),"Critico","No Critico")</f>
        <v>No Critico</v>
      </c>
    </row>
    <row r="138" spans="1:40">
      <c r="A138" s="52">
        <f>Inicial!A132</f>
        <v>0</v>
      </c>
      <c r="B138" s="53">
        <f>Inicial!B132</f>
        <v>0</v>
      </c>
      <c r="C138" s="53">
        <f>Inicial!C132</f>
        <v>0</v>
      </c>
      <c r="D138" s="54">
        <f>Inicial!D132</f>
        <v>0</v>
      </c>
      <c r="E138" s="52" t="str">
        <f>IF(Inicial!N132="SI",Inicial!E132,"N/A")</f>
        <v>N/A</v>
      </c>
      <c r="F138" s="53" t="str">
        <f>IF(Inicial!N132="SI",Inicial!F132,"N/A")</f>
        <v>N/A</v>
      </c>
      <c r="G138" s="53" t="str">
        <f>IF(Inicial!N132="SI",Inicial!G132,"N/A")</f>
        <v>N/A</v>
      </c>
      <c r="H138" s="53" t="str">
        <f>IF(Inicial!N132="SI",Inicial!H132,"N/A")</f>
        <v>N/A</v>
      </c>
      <c r="I138" s="55" t="str">
        <f>IF(Inicial!N132="SI",Inicial!I132,"N/A")</f>
        <v>N/A</v>
      </c>
      <c r="X138" s="66" t="str" cm="1">
        <f t="array" ref="X138">IF(OR(J138:W138="NO"),"No aceptable","Aceptable")</f>
        <v>Aceptable</v>
      </c>
      <c r="AN138" s="3" t="str" cm="1">
        <f t="array" ref="AN138">IF(OR(Y138:AM138="NO"),"Critico","No Critico")</f>
        <v>No Critico</v>
      </c>
    </row>
    <row r="139" spans="1:40">
      <c r="A139" s="52">
        <f>Inicial!A133</f>
        <v>0</v>
      </c>
      <c r="B139" s="53">
        <f>Inicial!B133</f>
        <v>0</v>
      </c>
      <c r="C139" s="53">
        <f>Inicial!C133</f>
        <v>0</v>
      </c>
      <c r="D139" s="54">
        <f>Inicial!D133</f>
        <v>0</v>
      </c>
      <c r="E139" s="52" t="str">
        <f>IF(Inicial!N133="SI",Inicial!E133,"N/A")</f>
        <v>N/A</v>
      </c>
      <c r="F139" s="53" t="str">
        <f>IF(Inicial!N133="SI",Inicial!F133,"N/A")</f>
        <v>N/A</v>
      </c>
      <c r="G139" s="53" t="str">
        <f>IF(Inicial!N133="SI",Inicial!G133,"N/A")</f>
        <v>N/A</v>
      </c>
      <c r="H139" s="53" t="str">
        <f>IF(Inicial!N133="SI",Inicial!H133,"N/A")</f>
        <v>N/A</v>
      </c>
      <c r="I139" s="55" t="str">
        <f>IF(Inicial!N133="SI",Inicial!I133,"N/A")</f>
        <v>N/A</v>
      </c>
      <c r="X139" s="66" t="str" cm="1">
        <f t="array" ref="X139">IF(OR(J139:W139="NO"),"No aceptable","Aceptable")</f>
        <v>Aceptable</v>
      </c>
      <c r="AN139" s="3" t="str" cm="1">
        <f t="array" ref="AN139">IF(OR(Y139:AM139="NO"),"Critico","No Critico")</f>
        <v>No Critico</v>
      </c>
    </row>
    <row r="140" spans="1:40">
      <c r="A140" s="52">
        <f>Inicial!A134</f>
        <v>0</v>
      </c>
      <c r="B140" s="53">
        <f>Inicial!B134</f>
        <v>0</v>
      </c>
      <c r="C140" s="53">
        <f>Inicial!C134</f>
        <v>0</v>
      </c>
      <c r="D140" s="54">
        <f>Inicial!D134</f>
        <v>0</v>
      </c>
      <c r="E140" s="52" t="str">
        <f>IF(Inicial!N134="SI",Inicial!E134,"N/A")</f>
        <v>N/A</v>
      </c>
      <c r="F140" s="53" t="str">
        <f>IF(Inicial!N134="SI",Inicial!F134,"N/A")</f>
        <v>N/A</v>
      </c>
      <c r="G140" s="53" t="str">
        <f>IF(Inicial!N134="SI",Inicial!G134,"N/A")</f>
        <v>N/A</v>
      </c>
      <c r="H140" s="53" t="str">
        <f>IF(Inicial!N134="SI",Inicial!H134,"N/A")</f>
        <v>N/A</v>
      </c>
      <c r="I140" s="55" t="str">
        <f>IF(Inicial!N134="SI",Inicial!I134,"N/A")</f>
        <v>N/A</v>
      </c>
      <c r="X140" s="66" t="str" cm="1">
        <f t="array" ref="X140">IF(OR(J140:W140="NO"),"No aceptable","Aceptable")</f>
        <v>Aceptable</v>
      </c>
      <c r="AN140" s="3" t="str" cm="1">
        <f t="array" ref="AN140">IF(OR(Y140:AM140="NO"),"Critico","No Critico")</f>
        <v>No Critico</v>
      </c>
    </row>
    <row r="141" spans="1:40">
      <c r="A141" s="52">
        <f>Inicial!A135</f>
        <v>0</v>
      </c>
      <c r="B141" s="53">
        <f>Inicial!B135</f>
        <v>0</v>
      </c>
      <c r="C141" s="53">
        <f>Inicial!C135</f>
        <v>0</v>
      </c>
      <c r="D141" s="54">
        <f>Inicial!D135</f>
        <v>0</v>
      </c>
      <c r="E141" s="52" t="str">
        <f>IF(Inicial!N135="SI",Inicial!E135,"N/A")</f>
        <v>N/A</v>
      </c>
      <c r="F141" s="53" t="str">
        <f>IF(Inicial!N135="SI",Inicial!F135,"N/A")</f>
        <v>N/A</v>
      </c>
      <c r="G141" s="53" t="str">
        <f>IF(Inicial!N135="SI",Inicial!G135,"N/A")</f>
        <v>N/A</v>
      </c>
      <c r="H141" s="53" t="str">
        <f>IF(Inicial!N135="SI",Inicial!H135,"N/A")</f>
        <v>N/A</v>
      </c>
      <c r="I141" s="55" t="str">
        <f>IF(Inicial!N135="SI",Inicial!I135,"N/A")</f>
        <v>N/A</v>
      </c>
      <c r="X141" s="66" t="str" cm="1">
        <f t="array" ref="X141">IF(OR(J141:W141="NO"),"No aceptable","Aceptable")</f>
        <v>Aceptable</v>
      </c>
      <c r="AN141" s="3" t="str" cm="1">
        <f t="array" ref="AN141">IF(OR(Y141:AM141="NO"),"Critico","No Critico")</f>
        <v>No Critico</v>
      </c>
    </row>
    <row r="142" spans="1:40">
      <c r="A142" s="52">
        <f>Inicial!A136</f>
        <v>0</v>
      </c>
      <c r="B142" s="53">
        <f>Inicial!B136</f>
        <v>0</v>
      </c>
      <c r="C142" s="53">
        <f>Inicial!C136</f>
        <v>0</v>
      </c>
      <c r="D142" s="54">
        <f>Inicial!D136</f>
        <v>0</v>
      </c>
      <c r="E142" s="52" t="str">
        <f>IF(Inicial!N136="SI",Inicial!E136,"N/A")</f>
        <v>N/A</v>
      </c>
      <c r="F142" s="53" t="str">
        <f>IF(Inicial!N136="SI",Inicial!F136,"N/A")</f>
        <v>N/A</v>
      </c>
      <c r="G142" s="53" t="str">
        <f>IF(Inicial!N136="SI",Inicial!G136,"N/A")</f>
        <v>N/A</v>
      </c>
      <c r="H142" s="53" t="str">
        <f>IF(Inicial!N136="SI",Inicial!H136,"N/A")</f>
        <v>N/A</v>
      </c>
      <c r="I142" s="55" t="str">
        <f>IF(Inicial!N136="SI",Inicial!I136,"N/A")</f>
        <v>N/A</v>
      </c>
      <c r="X142" s="66" t="str" cm="1">
        <f t="array" ref="X142">IF(OR(J142:W142="NO"),"No aceptable","Aceptable")</f>
        <v>Aceptable</v>
      </c>
      <c r="AN142" s="3" t="str" cm="1">
        <f t="array" ref="AN142">IF(OR(Y142:AM142="NO"),"Critico","No Critico")</f>
        <v>No Critico</v>
      </c>
    </row>
    <row r="143" spans="1:40">
      <c r="A143" s="52">
        <f>Inicial!A137</f>
        <v>0</v>
      </c>
      <c r="B143" s="53">
        <f>Inicial!B137</f>
        <v>0</v>
      </c>
      <c r="C143" s="53">
        <f>Inicial!C137</f>
        <v>0</v>
      </c>
      <c r="D143" s="54">
        <f>Inicial!D137</f>
        <v>0</v>
      </c>
      <c r="E143" s="52" t="str">
        <f>IF(Inicial!N137="SI",Inicial!E137,"N/A")</f>
        <v>N/A</v>
      </c>
      <c r="F143" s="53" t="str">
        <f>IF(Inicial!N137="SI",Inicial!F137,"N/A")</f>
        <v>N/A</v>
      </c>
      <c r="G143" s="53" t="str">
        <f>IF(Inicial!N137="SI",Inicial!G137,"N/A")</f>
        <v>N/A</v>
      </c>
      <c r="H143" s="53" t="str">
        <f>IF(Inicial!N137="SI",Inicial!H137,"N/A")</f>
        <v>N/A</v>
      </c>
      <c r="I143" s="55" t="str">
        <f>IF(Inicial!N137="SI",Inicial!I137,"N/A")</f>
        <v>N/A</v>
      </c>
      <c r="X143" s="66" t="str" cm="1">
        <f t="array" ref="X143">IF(OR(J143:W143="NO"),"No aceptable","Aceptable")</f>
        <v>Aceptable</v>
      </c>
      <c r="AN143" s="3" t="str" cm="1">
        <f t="array" ref="AN143">IF(OR(Y143:AM143="NO"),"Critico","No Critico")</f>
        <v>No Critico</v>
      </c>
    </row>
    <row r="144" spans="1:40">
      <c r="A144" s="52">
        <f>Inicial!A138</f>
        <v>0</v>
      </c>
      <c r="B144" s="53">
        <f>Inicial!B138</f>
        <v>0</v>
      </c>
      <c r="C144" s="53">
        <f>Inicial!C138</f>
        <v>0</v>
      </c>
      <c r="D144" s="54">
        <f>Inicial!D138</f>
        <v>0</v>
      </c>
      <c r="E144" s="52" t="str">
        <f>IF(Inicial!N138="SI",Inicial!E138,"N/A")</f>
        <v>N/A</v>
      </c>
      <c r="F144" s="53" t="str">
        <f>IF(Inicial!N138="SI",Inicial!F138,"N/A")</f>
        <v>N/A</v>
      </c>
      <c r="G144" s="53" t="str">
        <f>IF(Inicial!N138="SI",Inicial!G138,"N/A")</f>
        <v>N/A</v>
      </c>
      <c r="H144" s="53" t="str">
        <f>IF(Inicial!N138="SI",Inicial!H138,"N/A")</f>
        <v>N/A</v>
      </c>
      <c r="I144" s="55" t="str">
        <f>IF(Inicial!N138="SI",Inicial!I138,"N/A")</f>
        <v>N/A</v>
      </c>
      <c r="X144" s="66" t="str" cm="1">
        <f t="array" ref="X144">IF(OR(J144:W144="NO"),"No aceptable","Aceptable")</f>
        <v>Aceptable</v>
      </c>
      <c r="AN144" s="3" t="str" cm="1">
        <f t="array" ref="AN144">IF(OR(Y144:AM144="NO"),"Critico","No Critico")</f>
        <v>No Critico</v>
      </c>
    </row>
    <row r="145" spans="1:40">
      <c r="A145" s="52">
        <f>Inicial!A139</f>
        <v>0</v>
      </c>
      <c r="B145" s="53">
        <f>Inicial!B139</f>
        <v>0</v>
      </c>
      <c r="C145" s="53">
        <f>Inicial!C139</f>
        <v>0</v>
      </c>
      <c r="D145" s="54">
        <f>Inicial!D139</f>
        <v>0</v>
      </c>
      <c r="E145" s="52" t="str">
        <f>IF(Inicial!N139="SI",Inicial!E139,"N/A")</f>
        <v>N/A</v>
      </c>
      <c r="F145" s="53" t="str">
        <f>IF(Inicial!N139="SI",Inicial!F139,"N/A")</f>
        <v>N/A</v>
      </c>
      <c r="G145" s="53" t="str">
        <f>IF(Inicial!N139="SI",Inicial!G139,"N/A")</f>
        <v>N/A</v>
      </c>
      <c r="H145" s="53" t="str">
        <f>IF(Inicial!N139="SI",Inicial!H139,"N/A")</f>
        <v>N/A</v>
      </c>
      <c r="I145" s="55" t="str">
        <f>IF(Inicial!N139="SI",Inicial!I139,"N/A")</f>
        <v>N/A</v>
      </c>
      <c r="X145" s="66" t="str" cm="1">
        <f t="array" ref="X145">IF(OR(J145:W145="NO"),"No aceptable","Aceptable")</f>
        <v>Aceptable</v>
      </c>
      <c r="AN145" s="3" t="str" cm="1">
        <f t="array" ref="AN145">IF(OR(Y145:AM145="NO"),"Critico","No Critico")</f>
        <v>No Critico</v>
      </c>
    </row>
    <row r="146" spans="1:40">
      <c r="A146" s="52">
        <f>Inicial!A140</f>
        <v>0</v>
      </c>
      <c r="B146" s="53">
        <f>Inicial!B140</f>
        <v>0</v>
      </c>
      <c r="C146" s="53">
        <f>Inicial!C140</f>
        <v>0</v>
      </c>
      <c r="D146" s="54">
        <f>Inicial!D140</f>
        <v>0</v>
      </c>
      <c r="E146" s="52" t="str">
        <f>IF(Inicial!N140="SI",Inicial!E140,"N/A")</f>
        <v>N/A</v>
      </c>
      <c r="F146" s="53" t="str">
        <f>IF(Inicial!N140="SI",Inicial!F140,"N/A")</f>
        <v>N/A</v>
      </c>
      <c r="G146" s="53" t="str">
        <f>IF(Inicial!N140="SI",Inicial!G140,"N/A")</f>
        <v>N/A</v>
      </c>
      <c r="H146" s="53" t="str">
        <f>IF(Inicial!N140="SI",Inicial!H140,"N/A")</f>
        <v>N/A</v>
      </c>
      <c r="I146" s="55" t="str">
        <f>IF(Inicial!N140="SI",Inicial!I140,"N/A")</f>
        <v>N/A</v>
      </c>
      <c r="X146" s="66" t="str" cm="1">
        <f t="array" ref="X146">IF(OR(J146:W146="NO"),"No aceptable","Aceptable")</f>
        <v>Aceptable</v>
      </c>
      <c r="AN146" s="3" t="str" cm="1">
        <f t="array" ref="AN146">IF(OR(Y146:AM146="NO"),"Critico","No Critico")</f>
        <v>No Critico</v>
      </c>
    </row>
    <row r="147" spans="1:40">
      <c r="A147" s="52">
        <f>Inicial!A141</f>
        <v>0</v>
      </c>
      <c r="B147" s="53">
        <f>Inicial!B141</f>
        <v>0</v>
      </c>
      <c r="C147" s="53">
        <f>Inicial!C141</f>
        <v>0</v>
      </c>
      <c r="D147" s="54">
        <f>Inicial!D141</f>
        <v>0</v>
      </c>
      <c r="E147" s="52" t="str">
        <f>IF(Inicial!N141="SI",Inicial!E141,"N/A")</f>
        <v>N/A</v>
      </c>
      <c r="F147" s="53" t="str">
        <f>IF(Inicial!N141="SI",Inicial!F141,"N/A")</f>
        <v>N/A</v>
      </c>
      <c r="G147" s="53" t="str">
        <f>IF(Inicial!N141="SI",Inicial!G141,"N/A")</f>
        <v>N/A</v>
      </c>
      <c r="H147" s="53" t="str">
        <f>IF(Inicial!N141="SI",Inicial!H141,"N/A")</f>
        <v>N/A</v>
      </c>
      <c r="I147" s="55" t="str">
        <f>IF(Inicial!N141="SI",Inicial!I141,"N/A")</f>
        <v>N/A</v>
      </c>
      <c r="X147" s="66" t="str" cm="1">
        <f t="array" ref="X147">IF(OR(J147:W147="NO"),"No aceptable","Aceptable")</f>
        <v>Aceptable</v>
      </c>
      <c r="AN147" s="3" t="str" cm="1">
        <f t="array" ref="AN147">IF(OR(Y147:AM147="NO"),"Critico","No Critico")</f>
        <v>No Critico</v>
      </c>
    </row>
    <row r="148" spans="1:40">
      <c r="A148" s="52">
        <f>Inicial!A142</f>
        <v>0</v>
      </c>
      <c r="B148" s="53">
        <f>Inicial!B142</f>
        <v>0</v>
      </c>
      <c r="C148" s="53">
        <f>Inicial!C142</f>
        <v>0</v>
      </c>
      <c r="D148" s="54">
        <f>Inicial!D142</f>
        <v>0</v>
      </c>
      <c r="E148" s="52" t="str">
        <f>IF(Inicial!N142="SI",Inicial!E142,"N/A")</f>
        <v>N/A</v>
      </c>
      <c r="F148" s="53" t="str">
        <f>IF(Inicial!N142="SI",Inicial!F142,"N/A")</f>
        <v>N/A</v>
      </c>
      <c r="G148" s="53" t="str">
        <f>IF(Inicial!N142="SI",Inicial!G142,"N/A")</f>
        <v>N/A</v>
      </c>
      <c r="H148" s="53" t="str">
        <f>IF(Inicial!N142="SI",Inicial!H142,"N/A")</f>
        <v>N/A</v>
      </c>
      <c r="I148" s="55" t="str">
        <f>IF(Inicial!N142="SI",Inicial!I142,"N/A")</f>
        <v>N/A</v>
      </c>
      <c r="X148" s="66" t="str" cm="1">
        <f t="array" ref="X148">IF(OR(J148:W148="NO"),"No aceptable","Aceptable")</f>
        <v>Aceptable</v>
      </c>
      <c r="AN148" s="3" t="str" cm="1">
        <f t="array" ref="AN148">IF(OR(Y148:AM148="NO"),"Critico","No Critico")</f>
        <v>No Critico</v>
      </c>
    </row>
    <row r="149" spans="1:40">
      <c r="A149" s="52">
        <f>Inicial!A143</f>
        <v>0</v>
      </c>
      <c r="B149" s="53">
        <f>Inicial!B143</f>
        <v>0</v>
      </c>
      <c r="C149" s="53">
        <f>Inicial!C143</f>
        <v>0</v>
      </c>
      <c r="D149" s="54">
        <f>Inicial!D143</f>
        <v>0</v>
      </c>
      <c r="E149" s="52" t="str">
        <f>IF(Inicial!N143="SI",Inicial!E143,"N/A")</f>
        <v>N/A</v>
      </c>
      <c r="F149" s="53" t="str">
        <f>IF(Inicial!N143="SI",Inicial!F143,"N/A")</f>
        <v>N/A</v>
      </c>
      <c r="G149" s="53" t="str">
        <f>IF(Inicial!N143="SI",Inicial!G143,"N/A")</f>
        <v>N/A</v>
      </c>
      <c r="H149" s="53" t="str">
        <f>IF(Inicial!N143="SI",Inicial!H143,"N/A")</f>
        <v>N/A</v>
      </c>
      <c r="I149" s="55" t="str">
        <f>IF(Inicial!N143="SI",Inicial!I143,"N/A")</f>
        <v>N/A</v>
      </c>
      <c r="X149" s="66" t="str" cm="1">
        <f t="array" ref="X149">IF(OR(J149:W149="NO"),"No aceptable","Aceptable")</f>
        <v>Aceptable</v>
      </c>
      <c r="AN149" s="3" t="str" cm="1">
        <f t="array" ref="AN149">IF(OR(Y149:AM149="NO"),"Critico","No Critico")</f>
        <v>No Critico</v>
      </c>
    </row>
    <row r="150" spans="1:40">
      <c r="A150" s="52">
        <f>Inicial!A144</f>
        <v>0</v>
      </c>
      <c r="B150" s="53">
        <f>Inicial!B144</f>
        <v>0</v>
      </c>
      <c r="C150" s="53">
        <f>Inicial!C144</f>
        <v>0</v>
      </c>
      <c r="D150" s="54">
        <f>Inicial!D144</f>
        <v>0</v>
      </c>
      <c r="E150" s="52" t="str">
        <f>IF(Inicial!N144="SI",Inicial!E144,"N/A")</f>
        <v>N/A</v>
      </c>
      <c r="F150" s="53" t="str">
        <f>IF(Inicial!N144="SI",Inicial!F144,"N/A")</f>
        <v>N/A</v>
      </c>
      <c r="G150" s="53" t="str">
        <f>IF(Inicial!N144="SI",Inicial!G144,"N/A")</f>
        <v>N/A</v>
      </c>
      <c r="H150" s="53" t="str">
        <f>IF(Inicial!N144="SI",Inicial!H144,"N/A")</f>
        <v>N/A</v>
      </c>
      <c r="I150" s="55" t="str">
        <f>IF(Inicial!N144="SI",Inicial!I144,"N/A")</f>
        <v>N/A</v>
      </c>
      <c r="X150" s="66" t="str" cm="1">
        <f t="array" ref="X150">IF(OR(J150:W150="NO"),"No aceptable","Aceptable")</f>
        <v>Aceptable</v>
      </c>
      <c r="AN150" s="3" t="str" cm="1">
        <f t="array" ref="AN150">IF(OR(Y150:AM150="NO"),"Critico","No Critico")</f>
        <v>No Critico</v>
      </c>
    </row>
    <row r="151" spans="1:40">
      <c r="A151" s="52">
        <f>Inicial!A145</f>
        <v>0</v>
      </c>
      <c r="B151" s="53">
        <f>Inicial!B145</f>
        <v>0</v>
      </c>
      <c r="C151" s="53">
        <f>Inicial!C145</f>
        <v>0</v>
      </c>
      <c r="D151" s="54">
        <f>Inicial!D145</f>
        <v>0</v>
      </c>
      <c r="E151" s="52" t="str">
        <f>IF(Inicial!N145="SI",Inicial!E145,"N/A")</f>
        <v>N/A</v>
      </c>
      <c r="F151" s="53" t="str">
        <f>IF(Inicial!N145="SI",Inicial!F145,"N/A")</f>
        <v>N/A</v>
      </c>
      <c r="G151" s="53" t="str">
        <f>IF(Inicial!N145="SI",Inicial!G145,"N/A")</f>
        <v>N/A</v>
      </c>
      <c r="H151" s="53" t="str">
        <f>IF(Inicial!N145="SI",Inicial!H145,"N/A")</f>
        <v>N/A</v>
      </c>
      <c r="I151" s="55" t="str">
        <f>IF(Inicial!N145="SI",Inicial!I145,"N/A")</f>
        <v>N/A</v>
      </c>
      <c r="X151" s="66" t="str" cm="1">
        <f t="array" ref="X151">IF(OR(J151:W151="NO"),"No aceptable","Aceptable")</f>
        <v>Aceptable</v>
      </c>
      <c r="AN151" s="3" t="str" cm="1">
        <f t="array" ref="AN151">IF(OR(Y151:AM151="NO"),"Critico","No Critico")</f>
        <v>No Critico</v>
      </c>
    </row>
    <row r="152" spans="1:40">
      <c r="A152" s="52">
        <f>Inicial!A146</f>
        <v>0</v>
      </c>
      <c r="B152" s="53">
        <f>Inicial!B146</f>
        <v>0</v>
      </c>
      <c r="C152" s="53">
        <f>Inicial!C146</f>
        <v>0</v>
      </c>
      <c r="D152" s="54">
        <f>Inicial!D146</f>
        <v>0</v>
      </c>
      <c r="E152" s="52" t="str">
        <f>IF(Inicial!N146="SI",Inicial!E146,"N/A")</f>
        <v>N/A</v>
      </c>
      <c r="F152" s="53" t="str">
        <f>IF(Inicial!N146="SI",Inicial!F146,"N/A")</f>
        <v>N/A</v>
      </c>
      <c r="G152" s="53" t="str">
        <f>IF(Inicial!N146="SI",Inicial!G146,"N/A")</f>
        <v>N/A</v>
      </c>
      <c r="H152" s="53" t="str">
        <f>IF(Inicial!N146="SI",Inicial!H146,"N/A")</f>
        <v>N/A</v>
      </c>
      <c r="I152" s="55" t="str">
        <f>IF(Inicial!N146="SI",Inicial!I146,"N/A")</f>
        <v>N/A</v>
      </c>
      <c r="X152" s="66" t="str" cm="1">
        <f t="array" ref="X152">IF(OR(J152:W152="NO"),"No aceptable","Aceptable")</f>
        <v>Aceptable</v>
      </c>
      <c r="AN152" s="3" t="str" cm="1">
        <f t="array" ref="AN152">IF(OR(Y152:AM152="NO"),"Critico","No Critico")</f>
        <v>No Critico</v>
      </c>
    </row>
    <row r="153" spans="1:40">
      <c r="A153" s="52">
        <f>Inicial!A147</f>
        <v>0</v>
      </c>
      <c r="B153" s="53">
        <f>Inicial!B147</f>
        <v>0</v>
      </c>
      <c r="C153" s="53">
        <f>Inicial!C147</f>
        <v>0</v>
      </c>
      <c r="D153" s="54">
        <f>Inicial!D147</f>
        <v>0</v>
      </c>
      <c r="E153" s="52" t="str">
        <f>IF(Inicial!N147="SI",Inicial!E147,"N/A")</f>
        <v>N/A</v>
      </c>
      <c r="F153" s="53" t="str">
        <f>IF(Inicial!N147="SI",Inicial!F147,"N/A")</f>
        <v>N/A</v>
      </c>
      <c r="G153" s="53" t="str">
        <f>IF(Inicial!N147="SI",Inicial!G147,"N/A")</f>
        <v>N/A</v>
      </c>
      <c r="H153" s="53" t="str">
        <f>IF(Inicial!N147="SI",Inicial!H147,"N/A")</f>
        <v>N/A</v>
      </c>
      <c r="I153" s="55" t="str">
        <f>IF(Inicial!N147="SI",Inicial!I147,"N/A")</f>
        <v>N/A</v>
      </c>
      <c r="X153" s="66" t="str" cm="1">
        <f t="array" ref="X153">IF(OR(J153:W153="NO"),"No aceptable","Aceptable")</f>
        <v>Aceptable</v>
      </c>
      <c r="AN153" s="3" t="str" cm="1">
        <f t="array" ref="AN153">IF(OR(Y153:AM153="NO"),"Critico","No Critico")</f>
        <v>No Critico</v>
      </c>
    </row>
    <row r="154" spans="1:40">
      <c r="A154" s="52">
        <f>Inicial!A148</f>
        <v>0</v>
      </c>
      <c r="B154" s="53">
        <f>Inicial!B148</f>
        <v>0</v>
      </c>
      <c r="C154" s="53">
        <f>Inicial!C148</f>
        <v>0</v>
      </c>
      <c r="D154" s="54">
        <f>Inicial!D148</f>
        <v>0</v>
      </c>
      <c r="E154" s="52" t="str">
        <f>IF(Inicial!N148="SI",Inicial!E148,"N/A")</f>
        <v>N/A</v>
      </c>
      <c r="F154" s="53" t="str">
        <f>IF(Inicial!N148="SI",Inicial!F148,"N/A")</f>
        <v>N/A</v>
      </c>
      <c r="G154" s="53" t="str">
        <f>IF(Inicial!N148="SI",Inicial!G148,"N/A")</f>
        <v>N/A</v>
      </c>
      <c r="H154" s="53" t="str">
        <f>IF(Inicial!N148="SI",Inicial!H148,"N/A")</f>
        <v>N/A</v>
      </c>
      <c r="I154" s="55" t="str">
        <f>IF(Inicial!N148="SI",Inicial!I148,"N/A")</f>
        <v>N/A</v>
      </c>
      <c r="X154" s="66" t="str" cm="1">
        <f t="array" ref="X154">IF(OR(J154:W154="NO"),"No aceptable","Aceptable")</f>
        <v>Aceptable</v>
      </c>
      <c r="AN154" s="3" t="str" cm="1">
        <f t="array" ref="AN154">IF(OR(Y154:AM154="NO"),"Critico","No Critico")</f>
        <v>No Critico</v>
      </c>
    </row>
    <row r="155" spans="1:40">
      <c r="A155" s="52">
        <f>Inicial!A149</f>
        <v>0</v>
      </c>
      <c r="B155" s="53">
        <f>Inicial!B149</f>
        <v>0</v>
      </c>
      <c r="C155" s="53">
        <f>Inicial!C149</f>
        <v>0</v>
      </c>
      <c r="D155" s="54">
        <f>Inicial!D149</f>
        <v>0</v>
      </c>
      <c r="E155" s="52" t="str">
        <f>IF(Inicial!N149="SI",Inicial!E149,"N/A")</f>
        <v>N/A</v>
      </c>
      <c r="F155" s="53" t="str">
        <f>IF(Inicial!N149="SI",Inicial!F149,"N/A")</f>
        <v>N/A</v>
      </c>
      <c r="G155" s="53" t="str">
        <f>IF(Inicial!N149="SI",Inicial!G149,"N/A")</f>
        <v>N/A</v>
      </c>
      <c r="H155" s="53" t="str">
        <f>IF(Inicial!N149="SI",Inicial!H149,"N/A")</f>
        <v>N/A</v>
      </c>
      <c r="I155" s="55" t="str">
        <f>IF(Inicial!N149="SI",Inicial!I149,"N/A")</f>
        <v>N/A</v>
      </c>
      <c r="X155" s="66" t="str" cm="1">
        <f t="array" ref="X155">IF(OR(J155:W155="NO"),"No aceptable","Aceptable")</f>
        <v>Aceptable</v>
      </c>
      <c r="AN155" s="3" t="str" cm="1">
        <f t="array" ref="AN155">IF(OR(Y155:AM155="NO"),"Critico","No Critico")</f>
        <v>No Critico</v>
      </c>
    </row>
    <row r="156" spans="1:40">
      <c r="A156" s="52">
        <f>Inicial!A150</f>
        <v>0</v>
      </c>
      <c r="B156" s="53">
        <f>Inicial!B150</f>
        <v>0</v>
      </c>
      <c r="C156" s="53">
        <f>Inicial!C150</f>
        <v>0</v>
      </c>
      <c r="D156" s="54">
        <f>Inicial!D150</f>
        <v>0</v>
      </c>
      <c r="E156" s="52" t="str">
        <f>IF(Inicial!N150="SI",Inicial!E150,"N/A")</f>
        <v>N/A</v>
      </c>
      <c r="F156" s="53" t="str">
        <f>IF(Inicial!N150="SI",Inicial!F150,"N/A")</f>
        <v>N/A</v>
      </c>
      <c r="G156" s="53" t="str">
        <f>IF(Inicial!N150="SI",Inicial!G150,"N/A")</f>
        <v>N/A</v>
      </c>
      <c r="H156" s="53" t="str">
        <f>IF(Inicial!N150="SI",Inicial!H150,"N/A")</f>
        <v>N/A</v>
      </c>
      <c r="I156" s="55" t="str">
        <f>IF(Inicial!N150="SI",Inicial!I150,"N/A")</f>
        <v>N/A</v>
      </c>
      <c r="X156" s="66" t="str" cm="1">
        <f t="array" ref="X156">IF(OR(J156:W156="NO"),"No aceptable","Aceptable")</f>
        <v>Aceptable</v>
      </c>
      <c r="AN156" s="3" t="str" cm="1">
        <f t="array" ref="AN156">IF(OR(Y156:AM156="NO"),"Critico","No Critico")</f>
        <v>No Critico</v>
      </c>
    </row>
    <row r="157" spans="1:40">
      <c r="A157" s="52">
        <f>Inicial!A151</f>
        <v>0</v>
      </c>
      <c r="B157" s="53">
        <f>Inicial!B151</f>
        <v>0</v>
      </c>
      <c r="C157" s="53">
        <f>Inicial!C151</f>
        <v>0</v>
      </c>
      <c r="D157" s="54">
        <f>Inicial!D151</f>
        <v>0</v>
      </c>
      <c r="E157" s="52" t="str">
        <f>IF(Inicial!N151="SI",Inicial!E151,"N/A")</f>
        <v>N/A</v>
      </c>
      <c r="F157" s="53" t="str">
        <f>IF(Inicial!N151="SI",Inicial!F151,"N/A")</f>
        <v>N/A</v>
      </c>
      <c r="G157" s="53" t="str">
        <f>IF(Inicial!N151="SI",Inicial!G151,"N/A")</f>
        <v>N/A</v>
      </c>
      <c r="H157" s="53" t="str">
        <f>IF(Inicial!N151="SI",Inicial!H151,"N/A")</f>
        <v>N/A</v>
      </c>
      <c r="I157" s="55" t="str">
        <f>IF(Inicial!N151="SI",Inicial!I151,"N/A")</f>
        <v>N/A</v>
      </c>
      <c r="X157" s="66" t="str" cm="1">
        <f t="array" ref="X157">IF(OR(J157:W157="NO"),"No aceptable","Aceptable")</f>
        <v>Aceptable</v>
      </c>
      <c r="AN157" s="3" t="str" cm="1">
        <f t="array" ref="AN157">IF(OR(Y157:AM157="NO"),"Critico","No Critico")</f>
        <v>No Critico</v>
      </c>
    </row>
    <row r="158" spans="1:40">
      <c r="A158" s="52">
        <f>Inicial!A152</f>
        <v>0</v>
      </c>
      <c r="B158" s="53">
        <f>Inicial!B152</f>
        <v>0</v>
      </c>
      <c r="C158" s="53">
        <f>Inicial!C152</f>
        <v>0</v>
      </c>
      <c r="D158" s="54">
        <f>Inicial!D152</f>
        <v>0</v>
      </c>
      <c r="E158" s="52" t="str">
        <f>IF(Inicial!N152="SI",Inicial!E152,"N/A")</f>
        <v>N/A</v>
      </c>
      <c r="F158" s="53" t="str">
        <f>IF(Inicial!N152="SI",Inicial!F152,"N/A")</f>
        <v>N/A</v>
      </c>
      <c r="G158" s="53" t="str">
        <f>IF(Inicial!N152="SI",Inicial!G152,"N/A")</f>
        <v>N/A</v>
      </c>
      <c r="H158" s="53" t="str">
        <f>IF(Inicial!N152="SI",Inicial!H152,"N/A")</f>
        <v>N/A</v>
      </c>
      <c r="I158" s="55" t="str">
        <f>IF(Inicial!N152="SI",Inicial!I152,"N/A")</f>
        <v>N/A</v>
      </c>
      <c r="X158" s="66" t="str" cm="1">
        <f t="array" ref="X158">IF(OR(J158:W158="NO"),"No aceptable","Aceptable")</f>
        <v>Aceptable</v>
      </c>
      <c r="AN158" s="3" t="str" cm="1">
        <f t="array" ref="AN158">IF(OR(Y158:AM158="NO"),"Critico","No Critico")</f>
        <v>No Critico</v>
      </c>
    </row>
    <row r="159" spans="1:40">
      <c r="A159" s="52">
        <f>Inicial!A153</f>
        <v>0</v>
      </c>
      <c r="B159" s="53">
        <f>Inicial!B153</f>
        <v>0</v>
      </c>
      <c r="C159" s="53">
        <f>Inicial!C153</f>
        <v>0</v>
      </c>
      <c r="D159" s="54">
        <f>Inicial!D153</f>
        <v>0</v>
      </c>
      <c r="E159" s="52" t="str">
        <f>IF(Inicial!N153="SI",Inicial!E153,"N/A")</f>
        <v>N/A</v>
      </c>
      <c r="F159" s="53" t="str">
        <f>IF(Inicial!N153="SI",Inicial!F153,"N/A")</f>
        <v>N/A</v>
      </c>
      <c r="G159" s="53" t="str">
        <f>IF(Inicial!N153="SI",Inicial!G153,"N/A")</f>
        <v>N/A</v>
      </c>
      <c r="H159" s="53" t="str">
        <f>IF(Inicial!N153="SI",Inicial!H153,"N/A")</f>
        <v>N/A</v>
      </c>
      <c r="I159" s="55" t="str">
        <f>IF(Inicial!N153="SI",Inicial!I153,"N/A")</f>
        <v>N/A</v>
      </c>
      <c r="X159" s="66" t="str" cm="1">
        <f t="array" ref="X159">IF(OR(J159:W159="NO"),"No aceptable","Aceptable")</f>
        <v>Aceptable</v>
      </c>
      <c r="AN159" s="3" t="str" cm="1">
        <f t="array" ref="AN159">IF(OR(Y159:AM159="NO"),"Critico","No Critico")</f>
        <v>No Critico</v>
      </c>
    </row>
    <row r="160" spans="1:40">
      <c r="A160" s="52">
        <f>Inicial!A154</f>
        <v>0</v>
      </c>
      <c r="B160" s="53">
        <f>Inicial!B154</f>
        <v>0</v>
      </c>
      <c r="C160" s="53">
        <f>Inicial!C154</f>
        <v>0</v>
      </c>
      <c r="D160" s="54">
        <f>Inicial!D154</f>
        <v>0</v>
      </c>
      <c r="E160" s="52" t="str">
        <f>IF(Inicial!N154="SI",Inicial!E154,"N/A")</f>
        <v>N/A</v>
      </c>
      <c r="F160" s="53" t="str">
        <f>IF(Inicial!N154="SI",Inicial!F154,"N/A")</f>
        <v>N/A</v>
      </c>
      <c r="G160" s="53" t="str">
        <f>IF(Inicial!N154="SI",Inicial!G154,"N/A")</f>
        <v>N/A</v>
      </c>
      <c r="H160" s="53" t="str">
        <f>IF(Inicial!N154="SI",Inicial!H154,"N/A")</f>
        <v>N/A</v>
      </c>
      <c r="I160" s="55" t="str">
        <f>IF(Inicial!N154="SI",Inicial!I154,"N/A")</f>
        <v>N/A</v>
      </c>
      <c r="X160" s="66" t="str" cm="1">
        <f t="array" ref="X160">IF(OR(J160:W160="NO"),"No aceptable","Aceptable")</f>
        <v>Aceptable</v>
      </c>
      <c r="AN160" s="3" t="str" cm="1">
        <f t="array" ref="AN160">IF(OR(Y160:AM160="NO"),"Critico","No Critico")</f>
        <v>No Critico</v>
      </c>
    </row>
    <row r="161" spans="1:40">
      <c r="A161" s="52">
        <f>Inicial!A155</f>
        <v>0</v>
      </c>
      <c r="B161" s="53">
        <f>Inicial!B155</f>
        <v>0</v>
      </c>
      <c r="C161" s="53">
        <f>Inicial!C155</f>
        <v>0</v>
      </c>
      <c r="D161" s="54">
        <f>Inicial!D155</f>
        <v>0</v>
      </c>
      <c r="E161" s="52" t="str">
        <f>IF(Inicial!N155="SI",Inicial!E155,"N/A")</f>
        <v>N/A</v>
      </c>
      <c r="F161" s="53" t="str">
        <f>IF(Inicial!N155="SI",Inicial!F155,"N/A")</f>
        <v>N/A</v>
      </c>
      <c r="G161" s="53" t="str">
        <f>IF(Inicial!N155="SI",Inicial!G155,"N/A")</f>
        <v>N/A</v>
      </c>
      <c r="H161" s="53" t="str">
        <f>IF(Inicial!N155="SI",Inicial!H155,"N/A")</f>
        <v>N/A</v>
      </c>
      <c r="I161" s="55" t="str">
        <f>IF(Inicial!N155="SI",Inicial!I155,"N/A")</f>
        <v>N/A</v>
      </c>
      <c r="X161" s="66" t="str" cm="1">
        <f t="array" ref="X161">IF(OR(J161:W161="NO"),"No aceptable","Aceptable")</f>
        <v>Aceptable</v>
      </c>
      <c r="AN161" s="3" t="str" cm="1">
        <f t="array" ref="AN161">IF(OR(Y161:AM161="NO"),"Critico","No Critico")</f>
        <v>No Critico</v>
      </c>
    </row>
    <row r="162" spans="1:40">
      <c r="A162" s="52">
        <f>Inicial!A156</f>
        <v>0</v>
      </c>
      <c r="B162" s="53">
        <f>Inicial!B156</f>
        <v>0</v>
      </c>
      <c r="C162" s="53">
        <f>Inicial!C156</f>
        <v>0</v>
      </c>
      <c r="D162" s="54">
        <f>Inicial!D156</f>
        <v>0</v>
      </c>
      <c r="E162" s="52" t="str">
        <f>IF(Inicial!N156="SI",Inicial!E156,"N/A")</f>
        <v>N/A</v>
      </c>
      <c r="F162" s="53" t="str">
        <f>IF(Inicial!N156="SI",Inicial!F156,"N/A")</f>
        <v>N/A</v>
      </c>
      <c r="G162" s="53" t="str">
        <f>IF(Inicial!N156="SI",Inicial!G156,"N/A")</f>
        <v>N/A</v>
      </c>
      <c r="H162" s="53" t="str">
        <f>IF(Inicial!N156="SI",Inicial!H156,"N/A")</f>
        <v>N/A</v>
      </c>
      <c r="I162" s="55" t="str">
        <f>IF(Inicial!N156="SI",Inicial!I156,"N/A")</f>
        <v>N/A</v>
      </c>
      <c r="X162" s="66" t="str" cm="1">
        <f t="array" ref="X162">IF(OR(J162:W162="NO"),"No aceptable","Aceptable")</f>
        <v>Aceptable</v>
      </c>
      <c r="AN162" s="3" t="str" cm="1">
        <f t="array" ref="AN162">IF(OR(Y162:AM162="NO"),"Critico","No Critico")</f>
        <v>No Critico</v>
      </c>
    </row>
    <row r="163" spans="1:40">
      <c r="A163" s="52">
        <f>Inicial!A157</f>
        <v>0</v>
      </c>
      <c r="B163" s="53">
        <f>Inicial!B157</f>
        <v>0</v>
      </c>
      <c r="C163" s="53">
        <f>Inicial!C157</f>
        <v>0</v>
      </c>
      <c r="D163" s="54">
        <f>Inicial!D157</f>
        <v>0</v>
      </c>
      <c r="E163" s="52" t="str">
        <f>IF(Inicial!N157="SI",Inicial!E157,"N/A")</f>
        <v>N/A</v>
      </c>
      <c r="F163" s="53" t="str">
        <f>IF(Inicial!N157="SI",Inicial!F157,"N/A")</f>
        <v>N/A</v>
      </c>
      <c r="G163" s="53" t="str">
        <f>IF(Inicial!N157="SI",Inicial!G157,"N/A")</f>
        <v>N/A</v>
      </c>
      <c r="H163" s="53" t="str">
        <f>IF(Inicial!N157="SI",Inicial!H157,"N/A")</f>
        <v>N/A</v>
      </c>
      <c r="I163" s="55" t="str">
        <f>IF(Inicial!N157="SI",Inicial!I157,"N/A")</f>
        <v>N/A</v>
      </c>
      <c r="X163" s="66" t="str" cm="1">
        <f t="array" ref="X163">IF(OR(J163:W163="NO"),"No aceptable","Aceptable")</f>
        <v>Aceptable</v>
      </c>
      <c r="AN163" s="3" t="str" cm="1">
        <f t="array" ref="AN163">IF(OR(Y163:AM163="NO"),"Critico","No Critico")</f>
        <v>No Critico</v>
      </c>
    </row>
    <row r="164" spans="1:40">
      <c r="A164" s="52">
        <f>Inicial!A158</f>
        <v>0</v>
      </c>
      <c r="B164" s="53">
        <f>Inicial!B158</f>
        <v>0</v>
      </c>
      <c r="C164" s="53">
        <f>Inicial!C158</f>
        <v>0</v>
      </c>
      <c r="D164" s="54">
        <f>Inicial!D158</f>
        <v>0</v>
      </c>
      <c r="E164" s="52" t="str">
        <f>IF(Inicial!N158="SI",Inicial!E158,"N/A")</f>
        <v>N/A</v>
      </c>
      <c r="F164" s="53" t="str">
        <f>IF(Inicial!N158="SI",Inicial!F158,"N/A")</f>
        <v>N/A</v>
      </c>
      <c r="G164" s="53" t="str">
        <f>IF(Inicial!N158="SI",Inicial!G158,"N/A")</f>
        <v>N/A</v>
      </c>
      <c r="H164" s="53" t="str">
        <f>IF(Inicial!N158="SI",Inicial!H158,"N/A")</f>
        <v>N/A</v>
      </c>
      <c r="I164" s="55" t="str">
        <f>IF(Inicial!N158="SI",Inicial!I158,"N/A")</f>
        <v>N/A</v>
      </c>
      <c r="X164" s="66" t="str" cm="1">
        <f t="array" ref="X164">IF(OR(J164:W164="NO"),"No aceptable","Aceptable")</f>
        <v>Aceptable</v>
      </c>
      <c r="AN164" s="3" t="str" cm="1">
        <f t="array" ref="AN164">IF(OR(Y164:AM164="NO"),"Critico","No Critico")</f>
        <v>No Critico</v>
      </c>
    </row>
    <row r="165" spans="1:40">
      <c r="A165" s="52">
        <f>Inicial!A159</f>
        <v>0</v>
      </c>
      <c r="B165" s="53">
        <f>Inicial!B159</f>
        <v>0</v>
      </c>
      <c r="C165" s="53">
        <f>Inicial!C159</f>
        <v>0</v>
      </c>
      <c r="D165" s="54">
        <f>Inicial!D159</f>
        <v>0</v>
      </c>
      <c r="E165" s="52" t="str">
        <f>IF(Inicial!N159="SI",Inicial!E159,"N/A")</f>
        <v>N/A</v>
      </c>
      <c r="F165" s="53" t="str">
        <f>IF(Inicial!N159="SI",Inicial!F159,"N/A")</f>
        <v>N/A</v>
      </c>
      <c r="G165" s="53" t="str">
        <f>IF(Inicial!N159="SI",Inicial!G159,"N/A")</f>
        <v>N/A</v>
      </c>
      <c r="H165" s="53" t="str">
        <f>IF(Inicial!N159="SI",Inicial!H159,"N/A")</f>
        <v>N/A</v>
      </c>
      <c r="I165" s="55" t="str">
        <f>IF(Inicial!N159="SI",Inicial!I159,"N/A")</f>
        <v>N/A</v>
      </c>
      <c r="X165" s="66" t="str" cm="1">
        <f t="array" ref="X165">IF(OR(J165:W165="NO"),"No aceptable","Aceptable")</f>
        <v>Aceptable</v>
      </c>
      <c r="AN165" s="3" t="str" cm="1">
        <f t="array" ref="AN165">IF(OR(Y165:AM165="NO"),"Critico","No Critico")</f>
        <v>No Critico</v>
      </c>
    </row>
    <row r="166" spans="1:40">
      <c r="A166" s="52">
        <f>Inicial!A160</f>
        <v>0</v>
      </c>
      <c r="B166" s="53">
        <f>Inicial!B160</f>
        <v>0</v>
      </c>
      <c r="C166" s="53">
        <f>Inicial!C160</f>
        <v>0</v>
      </c>
      <c r="D166" s="54">
        <f>Inicial!D160</f>
        <v>0</v>
      </c>
      <c r="E166" s="52" t="str">
        <f>IF(Inicial!N160="SI",Inicial!E160,"N/A")</f>
        <v>N/A</v>
      </c>
      <c r="F166" s="53" t="str">
        <f>IF(Inicial!N160="SI",Inicial!F160,"N/A")</f>
        <v>N/A</v>
      </c>
      <c r="G166" s="53" t="str">
        <f>IF(Inicial!N160="SI",Inicial!G160,"N/A")</f>
        <v>N/A</v>
      </c>
      <c r="H166" s="53" t="str">
        <f>IF(Inicial!N160="SI",Inicial!H160,"N/A")</f>
        <v>N/A</v>
      </c>
      <c r="I166" s="55" t="str">
        <f>IF(Inicial!N160="SI",Inicial!I160,"N/A")</f>
        <v>N/A</v>
      </c>
      <c r="X166" s="66" t="str" cm="1">
        <f t="array" ref="X166">IF(OR(J166:W166="NO"),"No aceptable","Aceptable")</f>
        <v>Aceptable</v>
      </c>
      <c r="AN166" s="3" t="str" cm="1">
        <f t="array" ref="AN166">IF(OR(Y166:AM166="NO"),"Critico","No Critico")</f>
        <v>No Critico</v>
      </c>
    </row>
    <row r="167" spans="1:40">
      <c r="A167" s="52">
        <f>Inicial!A161</f>
        <v>0</v>
      </c>
      <c r="B167" s="53">
        <f>Inicial!B161</f>
        <v>0</v>
      </c>
      <c r="C167" s="53">
        <f>Inicial!C161</f>
        <v>0</v>
      </c>
      <c r="D167" s="54">
        <f>Inicial!D161</f>
        <v>0</v>
      </c>
      <c r="E167" s="52" t="str">
        <f>IF(Inicial!N161="SI",Inicial!E161,"N/A")</f>
        <v>N/A</v>
      </c>
      <c r="F167" s="53" t="str">
        <f>IF(Inicial!N161="SI",Inicial!F161,"N/A")</f>
        <v>N/A</v>
      </c>
      <c r="G167" s="53" t="str">
        <f>IF(Inicial!N161="SI",Inicial!G161,"N/A")</f>
        <v>N/A</v>
      </c>
      <c r="H167" s="53" t="str">
        <f>IF(Inicial!N161="SI",Inicial!H161,"N/A")</f>
        <v>N/A</v>
      </c>
      <c r="I167" s="55" t="str">
        <f>IF(Inicial!N161="SI",Inicial!I161,"N/A")</f>
        <v>N/A</v>
      </c>
      <c r="X167" s="66" t="str" cm="1">
        <f t="array" ref="X167">IF(OR(J167:W167="NO"),"No aceptable","Aceptable")</f>
        <v>Aceptable</v>
      </c>
      <c r="AN167" s="3" t="str" cm="1">
        <f t="array" ref="AN167">IF(OR(Y167:AM167="NO"),"Critico","No Critico")</f>
        <v>No Critico</v>
      </c>
    </row>
    <row r="168" spans="1:40">
      <c r="A168" s="52">
        <f>Inicial!A162</f>
        <v>0</v>
      </c>
      <c r="B168" s="53">
        <f>Inicial!B162</f>
        <v>0</v>
      </c>
      <c r="C168" s="53">
        <f>Inicial!C162</f>
        <v>0</v>
      </c>
      <c r="D168" s="54">
        <f>Inicial!D162</f>
        <v>0</v>
      </c>
      <c r="E168" s="52" t="str">
        <f>IF(Inicial!N162="SI",Inicial!E162,"N/A")</f>
        <v>N/A</v>
      </c>
      <c r="F168" s="53" t="str">
        <f>IF(Inicial!N162="SI",Inicial!F162,"N/A")</f>
        <v>N/A</v>
      </c>
      <c r="G168" s="53" t="str">
        <f>IF(Inicial!N162="SI",Inicial!G162,"N/A")</f>
        <v>N/A</v>
      </c>
      <c r="H168" s="53" t="str">
        <f>IF(Inicial!N162="SI",Inicial!H162,"N/A")</f>
        <v>N/A</v>
      </c>
      <c r="I168" s="55" t="str">
        <f>IF(Inicial!N162="SI",Inicial!I162,"N/A")</f>
        <v>N/A</v>
      </c>
      <c r="X168" s="66" t="str" cm="1">
        <f t="array" ref="X168">IF(OR(J168:W168="NO"),"No aceptable","Aceptable")</f>
        <v>Aceptable</v>
      </c>
      <c r="AN168" s="3" t="str" cm="1">
        <f t="array" ref="AN168">IF(OR(Y168:AM168="NO"),"Critico","No Critico")</f>
        <v>No Critico</v>
      </c>
    </row>
    <row r="169" spans="1:40">
      <c r="A169" s="52">
        <f>Inicial!A163</f>
        <v>0</v>
      </c>
      <c r="B169" s="53">
        <f>Inicial!B163</f>
        <v>0</v>
      </c>
      <c r="C169" s="53">
        <f>Inicial!C163</f>
        <v>0</v>
      </c>
      <c r="D169" s="54">
        <f>Inicial!D163</f>
        <v>0</v>
      </c>
      <c r="E169" s="52" t="str">
        <f>IF(Inicial!N163="SI",Inicial!E163,"N/A")</f>
        <v>N/A</v>
      </c>
      <c r="F169" s="53" t="str">
        <f>IF(Inicial!N163="SI",Inicial!F163,"N/A")</f>
        <v>N/A</v>
      </c>
      <c r="G169" s="53" t="str">
        <f>IF(Inicial!N163="SI",Inicial!G163,"N/A")</f>
        <v>N/A</v>
      </c>
      <c r="H169" s="53" t="str">
        <f>IF(Inicial!N163="SI",Inicial!H163,"N/A")</f>
        <v>N/A</v>
      </c>
      <c r="I169" s="55" t="str">
        <f>IF(Inicial!N163="SI",Inicial!I163,"N/A")</f>
        <v>N/A</v>
      </c>
      <c r="X169" s="66" t="str" cm="1">
        <f t="array" ref="X169">IF(OR(J169:W169="NO"),"No aceptable","Aceptable")</f>
        <v>Aceptable</v>
      </c>
      <c r="AN169" s="3" t="str" cm="1">
        <f t="array" ref="AN169">IF(OR(Y169:AM169="NO"),"Critico","No Critico")</f>
        <v>No Critico</v>
      </c>
    </row>
    <row r="170" spans="1:40">
      <c r="A170" s="52">
        <f>Inicial!A164</f>
        <v>0</v>
      </c>
      <c r="B170" s="53">
        <f>Inicial!B164</f>
        <v>0</v>
      </c>
      <c r="C170" s="53">
        <f>Inicial!C164</f>
        <v>0</v>
      </c>
      <c r="D170" s="54">
        <f>Inicial!D164</f>
        <v>0</v>
      </c>
      <c r="E170" s="52" t="str">
        <f>IF(Inicial!N164="SI",Inicial!E164,"N/A")</f>
        <v>N/A</v>
      </c>
      <c r="F170" s="53" t="str">
        <f>IF(Inicial!N164="SI",Inicial!F164,"N/A")</f>
        <v>N/A</v>
      </c>
      <c r="G170" s="53" t="str">
        <f>IF(Inicial!N164="SI",Inicial!G164,"N/A")</f>
        <v>N/A</v>
      </c>
      <c r="H170" s="53" t="str">
        <f>IF(Inicial!N164="SI",Inicial!H164,"N/A")</f>
        <v>N/A</v>
      </c>
      <c r="I170" s="55" t="str">
        <f>IF(Inicial!N164="SI",Inicial!I164,"N/A")</f>
        <v>N/A</v>
      </c>
      <c r="X170" s="66" t="str" cm="1">
        <f t="array" ref="X170">IF(OR(J170:W170="NO"),"No aceptable","Aceptable")</f>
        <v>Aceptable</v>
      </c>
      <c r="AN170" s="3" t="str" cm="1">
        <f t="array" ref="AN170">IF(OR(Y170:AM170="NO"),"Critico","No Critico")</f>
        <v>No Critico</v>
      </c>
    </row>
    <row r="171" spans="1:40">
      <c r="A171" s="52">
        <f>Inicial!A165</f>
        <v>0</v>
      </c>
      <c r="B171" s="53">
        <f>Inicial!B165</f>
        <v>0</v>
      </c>
      <c r="C171" s="53">
        <f>Inicial!C165</f>
        <v>0</v>
      </c>
      <c r="D171" s="54">
        <f>Inicial!D165</f>
        <v>0</v>
      </c>
      <c r="E171" s="52" t="str">
        <f>IF(Inicial!N165="SI",Inicial!E165,"N/A")</f>
        <v>N/A</v>
      </c>
      <c r="F171" s="53" t="str">
        <f>IF(Inicial!N165="SI",Inicial!F165,"N/A")</f>
        <v>N/A</v>
      </c>
      <c r="G171" s="53" t="str">
        <f>IF(Inicial!N165="SI",Inicial!G165,"N/A")</f>
        <v>N/A</v>
      </c>
      <c r="H171" s="53" t="str">
        <f>IF(Inicial!N165="SI",Inicial!H165,"N/A")</f>
        <v>N/A</v>
      </c>
      <c r="I171" s="55" t="str">
        <f>IF(Inicial!N165="SI",Inicial!I165,"N/A")</f>
        <v>N/A</v>
      </c>
      <c r="X171" s="66" t="str" cm="1">
        <f t="array" ref="X171">IF(OR(J171:W171="NO"),"No aceptable","Aceptable")</f>
        <v>Aceptable</v>
      </c>
      <c r="AN171" s="3" t="str" cm="1">
        <f t="array" ref="AN171">IF(OR(Y171:AM171="NO"),"Critico","No Critico")</f>
        <v>No Critico</v>
      </c>
    </row>
    <row r="172" spans="1:40">
      <c r="A172" s="52">
        <f>Inicial!A166</f>
        <v>0</v>
      </c>
      <c r="B172" s="53">
        <f>Inicial!B166</f>
        <v>0</v>
      </c>
      <c r="C172" s="53">
        <f>Inicial!C166</f>
        <v>0</v>
      </c>
      <c r="D172" s="54">
        <f>Inicial!D166</f>
        <v>0</v>
      </c>
      <c r="E172" s="52" t="str">
        <f>IF(Inicial!N166="SI",Inicial!E166,"N/A")</f>
        <v>N/A</v>
      </c>
      <c r="F172" s="53" t="str">
        <f>IF(Inicial!N166="SI",Inicial!F166,"N/A")</f>
        <v>N/A</v>
      </c>
      <c r="G172" s="53" t="str">
        <f>IF(Inicial!N166="SI",Inicial!G166,"N/A")</f>
        <v>N/A</v>
      </c>
      <c r="H172" s="53" t="str">
        <f>IF(Inicial!N166="SI",Inicial!H166,"N/A")</f>
        <v>N/A</v>
      </c>
      <c r="I172" s="55" t="str">
        <f>IF(Inicial!N166="SI",Inicial!I166,"N/A")</f>
        <v>N/A</v>
      </c>
      <c r="X172" s="66" t="str" cm="1">
        <f t="array" ref="X172">IF(OR(J172:W172="NO"),"No aceptable","Aceptable")</f>
        <v>Aceptable</v>
      </c>
      <c r="AN172" s="3" t="str" cm="1">
        <f t="array" ref="AN172">IF(OR(Y172:AM172="NO"),"Critico","No Critico")</f>
        <v>No Critico</v>
      </c>
    </row>
    <row r="173" spans="1:40">
      <c r="A173" s="52">
        <f>Inicial!A167</f>
        <v>0</v>
      </c>
      <c r="B173" s="53">
        <f>Inicial!B167</f>
        <v>0</v>
      </c>
      <c r="C173" s="53">
        <f>Inicial!C167</f>
        <v>0</v>
      </c>
      <c r="D173" s="54">
        <f>Inicial!D167</f>
        <v>0</v>
      </c>
      <c r="E173" s="52" t="str">
        <f>IF(Inicial!N167="SI",Inicial!E167,"N/A")</f>
        <v>N/A</v>
      </c>
      <c r="F173" s="53" t="str">
        <f>IF(Inicial!N167="SI",Inicial!F167,"N/A")</f>
        <v>N/A</v>
      </c>
      <c r="G173" s="53" t="str">
        <f>IF(Inicial!N167="SI",Inicial!G167,"N/A")</f>
        <v>N/A</v>
      </c>
      <c r="H173" s="53" t="str">
        <f>IF(Inicial!N167="SI",Inicial!H167,"N/A")</f>
        <v>N/A</v>
      </c>
      <c r="I173" s="55" t="str">
        <f>IF(Inicial!N167="SI",Inicial!I167,"N/A")</f>
        <v>N/A</v>
      </c>
      <c r="X173" s="66" t="str" cm="1">
        <f t="array" ref="X173">IF(OR(J173:W173="NO"),"No aceptable","Aceptable")</f>
        <v>Aceptable</v>
      </c>
      <c r="AN173" s="3" t="str" cm="1">
        <f t="array" ref="AN173">IF(OR(Y173:AM173="NO"),"Critico","No Critico")</f>
        <v>No Critico</v>
      </c>
    </row>
    <row r="174" spans="1:40">
      <c r="A174" s="52">
        <f>Inicial!A168</f>
        <v>0</v>
      </c>
      <c r="B174" s="53">
        <f>Inicial!B168</f>
        <v>0</v>
      </c>
      <c r="C174" s="53">
        <f>Inicial!C168</f>
        <v>0</v>
      </c>
      <c r="D174" s="54">
        <f>Inicial!D168</f>
        <v>0</v>
      </c>
      <c r="E174" s="52" t="str">
        <f>IF(Inicial!N168="SI",Inicial!E168,"N/A")</f>
        <v>N/A</v>
      </c>
      <c r="F174" s="53" t="str">
        <f>IF(Inicial!N168="SI",Inicial!F168,"N/A")</f>
        <v>N/A</v>
      </c>
      <c r="G174" s="53" t="str">
        <f>IF(Inicial!N168="SI",Inicial!G168,"N/A")</f>
        <v>N/A</v>
      </c>
      <c r="H174" s="53" t="str">
        <f>IF(Inicial!N168="SI",Inicial!H168,"N/A")</f>
        <v>N/A</v>
      </c>
      <c r="I174" s="55" t="str">
        <f>IF(Inicial!N168="SI",Inicial!I168,"N/A")</f>
        <v>N/A</v>
      </c>
      <c r="X174" s="66" t="str" cm="1">
        <f t="array" ref="X174">IF(OR(J174:W174="NO"),"No aceptable","Aceptable")</f>
        <v>Aceptable</v>
      </c>
      <c r="AN174" s="3" t="str" cm="1">
        <f t="array" ref="AN174">IF(OR(Y174:AM174="NO"),"Critico","No Critico")</f>
        <v>No Critico</v>
      </c>
    </row>
    <row r="175" spans="1:40">
      <c r="A175" s="52">
        <f>Inicial!A169</f>
        <v>0</v>
      </c>
      <c r="B175" s="53">
        <f>Inicial!B169</f>
        <v>0</v>
      </c>
      <c r="C175" s="53">
        <f>Inicial!C169</f>
        <v>0</v>
      </c>
      <c r="D175" s="54">
        <f>Inicial!D169</f>
        <v>0</v>
      </c>
      <c r="E175" s="52" t="str">
        <f>IF(Inicial!N169="SI",Inicial!E169,"N/A")</f>
        <v>N/A</v>
      </c>
      <c r="F175" s="53" t="str">
        <f>IF(Inicial!N169="SI",Inicial!F169,"N/A")</f>
        <v>N/A</v>
      </c>
      <c r="G175" s="53" t="str">
        <f>IF(Inicial!N169="SI",Inicial!G169,"N/A")</f>
        <v>N/A</v>
      </c>
      <c r="H175" s="53" t="str">
        <f>IF(Inicial!N169="SI",Inicial!H169,"N/A")</f>
        <v>N/A</v>
      </c>
      <c r="I175" s="55" t="str">
        <f>IF(Inicial!N169="SI",Inicial!I169,"N/A")</f>
        <v>N/A</v>
      </c>
      <c r="X175" s="66" t="str" cm="1">
        <f t="array" ref="X175">IF(OR(J175:W175="NO"),"No aceptable","Aceptable")</f>
        <v>Aceptable</v>
      </c>
      <c r="AN175" s="3" t="str" cm="1">
        <f t="array" ref="AN175">IF(OR(Y175:AM175="NO"),"Critico","No Critico")</f>
        <v>No Critico</v>
      </c>
    </row>
    <row r="176" spans="1:40">
      <c r="A176" s="52">
        <f>Inicial!A170</f>
        <v>0</v>
      </c>
      <c r="B176" s="53">
        <f>Inicial!B170</f>
        <v>0</v>
      </c>
      <c r="C176" s="53">
        <f>Inicial!C170</f>
        <v>0</v>
      </c>
      <c r="D176" s="54">
        <f>Inicial!D170</f>
        <v>0</v>
      </c>
      <c r="E176" s="52" t="str">
        <f>IF(Inicial!N170="SI",Inicial!E170,"N/A")</f>
        <v>N/A</v>
      </c>
      <c r="F176" s="53" t="str">
        <f>IF(Inicial!N170="SI",Inicial!F170,"N/A")</f>
        <v>N/A</v>
      </c>
      <c r="G176" s="53" t="str">
        <f>IF(Inicial!N170="SI",Inicial!G170,"N/A")</f>
        <v>N/A</v>
      </c>
      <c r="H176" s="53" t="str">
        <f>IF(Inicial!N170="SI",Inicial!H170,"N/A")</f>
        <v>N/A</v>
      </c>
      <c r="I176" s="55" t="str">
        <f>IF(Inicial!N170="SI",Inicial!I170,"N/A")</f>
        <v>N/A</v>
      </c>
      <c r="X176" s="66" t="str" cm="1">
        <f t="array" ref="X176">IF(OR(J176:W176="NO"),"No aceptable","Aceptable")</f>
        <v>Aceptable</v>
      </c>
      <c r="AN176" s="3" t="str" cm="1">
        <f t="array" ref="AN176">IF(OR(Y176:AM176="NO"),"Critico","No Critico")</f>
        <v>No Critico</v>
      </c>
    </row>
    <row r="177" spans="1:40">
      <c r="A177" s="52">
        <f>Inicial!A171</f>
        <v>0</v>
      </c>
      <c r="B177" s="53"/>
      <c r="C177" s="53"/>
      <c r="D177" s="54"/>
      <c r="E177" s="52"/>
      <c r="F177" s="53"/>
      <c r="G177" s="53"/>
      <c r="H177" s="53"/>
      <c r="I177" s="55"/>
      <c r="X177" s="66" t="str" cm="1">
        <f t="array" ref="X177">IF(OR(J177:W177="NO"),"No aceptable","Aceptable")</f>
        <v>Aceptable</v>
      </c>
      <c r="AN177" s="3" t="str" cm="1">
        <f t="array" ref="AN177">IF(OR(Y177:AM177="NO"),"Critico","No Critico")</f>
        <v>No Critico</v>
      </c>
    </row>
    <row r="178" spans="1:40">
      <c r="A178" s="52">
        <f>Inicial!A172</f>
        <v>0</v>
      </c>
      <c r="X178" s="66" t="str" cm="1">
        <f t="array" ref="X178">IF(OR(J178:W178="NO"),"No aceptable","Aceptable")</f>
        <v>Aceptable</v>
      </c>
      <c r="AN178" s="3" t="str" cm="1">
        <f t="array" ref="AN178">IF(OR(Y178:AM178="NO"),"Critico","No Critico")</f>
        <v>No Critico</v>
      </c>
    </row>
  </sheetData>
  <mergeCells count="12">
    <mergeCell ref="AJ1:AL1"/>
    <mergeCell ref="AO1:AT1"/>
    <mergeCell ref="N1:P1"/>
    <mergeCell ref="Q1:S1"/>
    <mergeCell ref="T1:V1"/>
    <mergeCell ref="Y1:AB1"/>
    <mergeCell ref="AC1:AF1"/>
    <mergeCell ref="F1:G1"/>
    <mergeCell ref="H1:I1"/>
    <mergeCell ref="J1:M1"/>
    <mergeCell ref="A1:E1"/>
    <mergeCell ref="AG1:AI1"/>
  </mergeCells>
  <conditionalFormatting sqref="J3:K8">
    <cfRule type="cellIs" dxfId="25" priority="11" operator="equal">
      <formula>"NO"</formula>
    </cfRule>
    <cfRule type="cellIs" dxfId="24" priority="12" operator="equal">
      <formula>"SI"</formula>
    </cfRule>
  </conditionalFormatting>
  <conditionalFormatting sqref="J42:W178">
    <cfRule type="cellIs" dxfId="23" priority="15" operator="equal">
      <formula>"NO"</formula>
    </cfRule>
    <cfRule type="cellIs" dxfId="22" priority="16" operator="equal">
      <formula>"SI"</formula>
    </cfRule>
  </conditionalFormatting>
  <conditionalFormatting sqref="L3:U3 W3 L4:W178 Y22:AM178 J179:AM1048576">
    <cfRule type="cellIs" dxfId="21" priority="13" operator="equal">
      <formula>"NO"</formula>
    </cfRule>
    <cfRule type="cellIs" dxfId="20" priority="14" operator="equal">
      <formula>"SI"</formula>
    </cfRule>
  </conditionalFormatting>
  <conditionalFormatting sqref="X3:AM21 X22:X178">
    <cfRule type="cellIs" dxfId="19" priority="3" operator="equal">
      <formula>"No Aceptable"</formula>
    </cfRule>
    <cfRule type="cellIs" dxfId="18" priority="4" operator="equal">
      <formula>"Aceptable"</formula>
    </cfRule>
  </conditionalFormatting>
  <conditionalFormatting sqref="AN3:AN178">
    <cfRule type="cellIs" dxfId="17" priority="1" operator="equal">
      <formula>"No Critico"</formula>
    </cfRule>
    <cfRule type="cellIs" dxfId="16" priority="2" operator="equal">
      <formula>"Critico"</formula>
    </cfRule>
  </conditionalFormatting>
  <dataValidations count="3">
    <dataValidation type="list" allowBlank="1" showInputMessage="1" showErrorMessage="1" sqref="J3:U41 V4:V41 W3:W41 Y22:AM41" xr:uid="{FEBC6F02-E740-4724-96BF-5D6427A65DAE}">
      <formula1>"SI,NO,N/A"</formula1>
    </dataValidation>
    <dataValidation type="list" allowBlank="1" showInputMessage="1" showErrorMessage="1" sqref="J42:U91" xr:uid="{3FAD783F-3562-4F5A-B55F-8C0C73C243BA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1"/>
  <sheetViews>
    <sheetView workbookViewId="0">
      <pane xSplit="9" ySplit="2" topLeftCell="J5" activePane="bottomRight" state="frozen"/>
      <selection pane="bottomRight" activeCell="W5" sqref="W5"/>
      <selection pane="bottomLeft" activeCell="A3" sqref="A3"/>
      <selection pane="topRight" activeCell="J1" sqref="J1"/>
    </sheetView>
  </sheetViews>
  <sheetFormatPr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9.140625" customWidth="1"/>
    <col min="11" max="13" width="15.28515625" customWidth="1"/>
    <col min="14" max="14" width="22.28515625" style="1" customWidth="1"/>
    <col min="15" max="15" width="23.85546875" style="1" customWidth="1"/>
    <col min="16" max="16" width="26.5703125" style="1" customWidth="1"/>
    <col min="17" max="17" width="22.28515625" style="1" customWidth="1"/>
    <col min="18" max="18" width="20.28515625" style="1" customWidth="1"/>
    <col min="19" max="27" width="15.28515625" customWidth="1"/>
  </cols>
  <sheetData>
    <row r="1" spans="1:27" ht="60" customHeight="1">
      <c r="A1" s="174" t="s">
        <v>531</v>
      </c>
      <c r="B1" s="174"/>
      <c r="C1" s="174"/>
      <c r="D1" s="174"/>
      <c r="E1" s="174"/>
      <c r="F1" s="146" t="s">
        <v>321</v>
      </c>
      <c r="G1" s="146"/>
      <c r="H1" s="146" t="s">
        <v>322</v>
      </c>
      <c r="I1" s="146"/>
      <c r="J1" s="172" t="s">
        <v>532</v>
      </c>
      <c r="K1" s="172"/>
      <c r="L1" s="172"/>
      <c r="M1" s="172"/>
      <c r="N1" s="172"/>
      <c r="O1" s="172"/>
      <c r="P1" s="172"/>
      <c r="Q1" s="172"/>
      <c r="R1" s="172"/>
      <c r="S1" s="172"/>
      <c r="T1" s="173"/>
      <c r="U1" s="68" t="s">
        <v>403</v>
      </c>
      <c r="V1" s="165" t="s">
        <v>325</v>
      </c>
      <c r="W1" s="166"/>
      <c r="X1" s="166"/>
      <c r="Y1" s="166"/>
      <c r="Z1" s="166"/>
      <c r="AA1" s="167"/>
    </row>
    <row r="2" spans="1:27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326</v>
      </c>
      <c r="G2" s="9" t="s">
        <v>327</v>
      </c>
      <c r="H2" s="9" t="s">
        <v>328</v>
      </c>
      <c r="I2" s="9" t="s">
        <v>329</v>
      </c>
      <c r="J2" s="74" t="s">
        <v>533</v>
      </c>
      <c r="K2" s="74" t="s">
        <v>534</v>
      </c>
      <c r="L2" s="74" t="s">
        <v>535</v>
      </c>
      <c r="M2" s="74" t="s">
        <v>536</v>
      </c>
      <c r="N2" s="74" t="s">
        <v>537</v>
      </c>
      <c r="O2" s="74" t="s">
        <v>538</v>
      </c>
      <c r="P2" s="74" t="s">
        <v>539</v>
      </c>
      <c r="Q2" s="74" t="s">
        <v>540</v>
      </c>
      <c r="R2" s="74" t="s">
        <v>541</v>
      </c>
      <c r="S2" s="74" t="s">
        <v>542</v>
      </c>
      <c r="T2" s="74" t="s">
        <v>543</v>
      </c>
      <c r="U2" s="75" t="s">
        <v>336</v>
      </c>
      <c r="V2" s="13" t="s">
        <v>344</v>
      </c>
      <c r="W2" s="13" t="s">
        <v>345</v>
      </c>
      <c r="X2" s="13" t="s">
        <v>346</v>
      </c>
      <c r="Y2" s="13" t="s">
        <v>347</v>
      </c>
      <c r="Z2" s="13" t="s">
        <v>348</v>
      </c>
      <c r="AA2" s="13" t="s">
        <v>349</v>
      </c>
    </row>
    <row r="3" spans="1:27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IF(Inicial!O3="SI",Inicial!E3,"N/A")</f>
        <v>N/A</v>
      </c>
      <c r="F3" s="53" t="str">
        <f>IF(Inicial!O3="SI",Inicial!F3,"N/A")</f>
        <v>N/A</v>
      </c>
      <c r="G3" s="53" t="str">
        <f>IF(Inicial!O3="SI",Inicial!G3,"N/A")</f>
        <v>N/A</v>
      </c>
      <c r="H3" s="53" t="str">
        <f>IF(Inicial!O3="SI",Inicial!H3,"N/A")</f>
        <v>N/A</v>
      </c>
      <c r="I3" s="64" t="str">
        <f>IF(Inicial!O3="SI",Inicial!I3,"N/A")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IF(Inicial!O4="SI",Inicial!E4,"N/A")</f>
        <v>N/A</v>
      </c>
      <c r="F4" s="53" t="str">
        <f>IF(Inicial!O4="SI",Inicial!F4,"N/A")</f>
        <v>N/A</v>
      </c>
      <c r="G4" s="53" t="str">
        <f>IF(Inicial!O4="SI",Inicial!G4,"N/A")</f>
        <v>N/A</v>
      </c>
      <c r="H4" s="53" t="str">
        <f>IF(Inicial!O4="SI",Inicial!H4,"N/A")</f>
        <v>N/A</v>
      </c>
      <c r="I4" s="64" t="str">
        <f>IF(Inicial!O4="SI",Inicial!I4,"N/A")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IF(Inicial!O5="SI",Inicial!E5,"N/A")</f>
        <v>N/A</v>
      </c>
      <c r="F5" s="53" t="str">
        <f>IF(Inicial!O5="SI",Inicial!F5,"N/A")</f>
        <v>N/A</v>
      </c>
      <c r="G5" s="53" t="str">
        <f>IF(Inicial!O5="SI",Inicial!G5,"N/A")</f>
        <v>N/A</v>
      </c>
      <c r="H5" s="53" t="str">
        <f>IF(Inicial!O5="SI",Inicial!H5,"N/A")</f>
        <v>N/A</v>
      </c>
      <c r="I5" s="64" t="str">
        <f>IF(Inicial!O5="SI",Inicial!I5,"N/A")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IF(Inicial!O6="SI",Inicial!E6,"N/A")</f>
        <v>N/A</v>
      </c>
      <c r="F6" s="53" t="str">
        <f>IF(Inicial!O6="SI",Inicial!F6,"N/A")</f>
        <v>N/A</v>
      </c>
      <c r="G6" s="53" t="str">
        <f>IF(Inicial!O6="SI",Inicial!G6,"N/A")</f>
        <v>N/A</v>
      </c>
      <c r="H6" s="53" t="str">
        <f>IF(Inicial!O6="SI",Inicial!H6,"N/A")</f>
        <v>N/A</v>
      </c>
      <c r="I6" s="64" t="str">
        <f>IF(Inicial!O6="SI",Inicial!I6,"N/A")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IF(Inicial!O7="SI",Inicial!E7,"N/A")</f>
        <v>N/A</v>
      </c>
      <c r="F7" s="53" t="str">
        <f>IF(Inicial!O7="SI",Inicial!F7,"N/A")</f>
        <v>N/A</v>
      </c>
      <c r="G7" s="53" t="str">
        <f>IF(Inicial!O7="SI",Inicial!G7,"N/A")</f>
        <v>N/A</v>
      </c>
      <c r="H7" s="53" t="str">
        <f>IF(Inicial!O7="SI",Inicial!H7,"N/A")</f>
        <v>N/A</v>
      </c>
      <c r="I7" s="64" t="str">
        <f>IF(Inicial!O7="SI",Inicial!I7,"N/A")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IF(Inicial!O8="SI",Inicial!E8,"N/A")</f>
        <v>N/A</v>
      </c>
      <c r="F8" s="53" t="str">
        <f>IF(Inicial!O8="SI",Inicial!F8,"N/A")</f>
        <v>N/A</v>
      </c>
      <c r="G8" s="53" t="str">
        <f>IF(Inicial!O8="SI",Inicial!G8,"N/A")</f>
        <v>N/A</v>
      </c>
      <c r="H8" s="53" t="str">
        <f>IF(Inicial!O8="SI",Inicial!H8,"N/A")</f>
        <v>N/A</v>
      </c>
      <c r="I8" s="64" t="str">
        <f>IF(Inicial!O8="SI",Inicial!I8,"N/A")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IF(Inicial!O9="SI",Inicial!E9,"N/A")</f>
        <v>N/A</v>
      </c>
      <c r="F9" s="53" t="str">
        <f>IF(Inicial!O9="SI",Inicial!F9,"N/A")</f>
        <v>N/A</v>
      </c>
      <c r="G9" s="53" t="str">
        <f>IF(Inicial!O9="SI",Inicial!G9,"N/A")</f>
        <v>N/A</v>
      </c>
      <c r="H9" s="53" t="str">
        <f>IF(Inicial!O9="SI",Inicial!H9,"N/A")</f>
        <v>N/A</v>
      </c>
      <c r="I9" s="64" t="str">
        <f>IF(Inicial!O9="SI",Inicial!I9,"N/A")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IF(Inicial!O10="SI",Inicial!E10,"N/A")</f>
        <v>N/A</v>
      </c>
      <c r="F10" s="53" t="str">
        <f>IF(Inicial!O10="SI",Inicial!F10,"N/A")</f>
        <v>N/A</v>
      </c>
      <c r="G10" s="53" t="str">
        <f>IF(Inicial!O10="SI",Inicial!G10,"N/A")</f>
        <v>N/A</v>
      </c>
      <c r="H10" s="53" t="str">
        <f>IF(Inicial!O10="SI",Inicial!H10,"N/A")</f>
        <v>N/A</v>
      </c>
      <c r="I10" s="64" t="str">
        <f>IF(Inicial!O10="SI",Inicial!I10,"N/A")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IF(Inicial!O11="SI",Inicial!E11,"N/A")</f>
        <v>N/A</v>
      </c>
      <c r="F11" s="53" t="str">
        <f>IF(Inicial!O11="SI",Inicial!F11,"N/A")</f>
        <v>N/A</v>
      </c>
      <c r="G11" s="53" t="str">
        <f>IF(Inicial!O11="SI",Inicial!G11,"N/A")</f>
        <v>N/A</v>
      </c>
      <c r="H11" s="53" t="str">
        <f>IF(Inicial!O11="SI",Inicial!H11,"N/A")</f>
        <v>N/A</v>
      </c>
      <c r="I11" s="64" t="str">
        <f>IF(Inicial!O11="SI",Inicial!I11,"N/A")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IF(Inicial!O12="SI",Inicial!E12,"N/A")</f>
        <v>N/A</v>
      </c>
      <c r="F12" s="53" t="str">
        <f>IF(Inicial!O12="SI",Inicial!F12,"N/A")</f>
        <v>N/A</v>
      </c>
      <c r="G12" s="53" t="str">
        <f>IF(Inicial!O12="SI",Inicial!G12,"N/A")</f>
        <v>N/A</v>
      </c>
      <c r="H12" s="53" t="str">
        <f>IF(Inicial!O12="SI",Inicial!H12,"N/A")</f>
        <v>N/A</v>
      </c>
      <c r="I12" s="64" t="str">
        <f>IF(Inicial!O12="SI",Inicial!I12,"N/A")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IF(Inicial!O13="SI",Inicial!E13,"N/A")</f>
        <v>N/A</v>
      </c>
      <c r="F13" s="53" t="str">
        <f>IF(Inicial!O13="SI",Inicial!F13,"N/A")</f>
        <v>N/A</v>
      </c>
      <c r="G13" s="53" t="str">
        <f>IF(Inicial!O13="SI",Inicial!G13,"N/A")</f>
        <v>N/A</v>
      </c>
      <c r="H13" s="53" t="str">
        <f>IF(Inicial!O13="SI",Inicial!H13,"N/A")</f>
        <v>N/A</v>
      </c>
      <c r="I13" s="64" t="str">
        <f>IF(Inicial!O13="SI",Inicial!I13,"N/A")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 ht="38.2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IF(Inicial!O14="SI",Inicial!E14,"N/A")</f>
        <v>N/A</v>
      </c>
      <c r="F14" s="53" t="str">
        <f>IF(Inicial!O14="SI",Inicial!F14,"N/A")</f>
        <v>N/A</v>
      </c>
      <c r="G14" s="53" t="str">
        <f>IF(Inicial!O14="SI",Inicial!G14,"N/A")</f>
        <v>N/A</v>
      </c>
      <c r="H14" s="53" t="str">
        <f>IF(Inicial!O14="SI",Inicial!H14,"N/A")</f>
        <v>N/A</v>
      </c>
      <c r="I14" s="64" t="str">
        <f>IF(Inicial!O14="SI",Inicial!I14,"N/A")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 ht="38.2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IF(Inicial!O15="SI",Inicial!E15,"N/A")</f>
        <v>N/A</v>
      </c>
      <c r="F15" s="53" t="str">
        <f>IF(Inicial!O15="SI",Inicial!F15,"N/A")</f>
        <v>N/A</v>
      </c>
      <c r="G15" s="53" t="str">
        <f>IF(Inicial!O15="SI",Inicial!G15,"N/A")</f>
        <v>N/A</v>
      </c>
      <c r="H15" s="53" t="str">
        <f>IF(Inicial!O15="SI",Inicial!H15,"N/A")</f>
        <v>N/A</v>
      </c>
      <c r="I15" s="64" t="str">
        <f>IF(Inicial!O15="SI",Inicial!I15,"N/A")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 ht="38.2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IF(Inicial!O16="SI",Inicial!E16,"N/A")</f>
        <v>N/A</v>
      </c>
      <c r="F16" s="53" t="str">
        <f>IF(Inicial!O16="SI",Inicial!F16,"N/A")</f>
        <v>N/A</v>
      </c>
      <c r="G16" s="53" t="str">
        <f>IF(Inicial!O16="SI",Inicial!G16,"N/A")</f>
        <v>N/A</v>
      </c>
      <c r="H16" s="53" t="str">
        <f>IF(Inicial!O16="SI",Inicial!H16,"N/A")</f>
        <v>N/A</v>
      </c>
      <c r="I16" s="64" t="str">
        <f>IF(Inicial!O16="SI",Inicial!I16,"N/A")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 ht="38.2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IF(Inicial!O17="SI",Inicial!E17,"N/A")</f>
        <v>N/A</v>
      </c>
      <c r="F17" s="53" t="str">
        <f>IF(Inicial!O17="SI",Inicial!F17,"N/A")</f>
        <v>N/A</v>
      </c>
      <c r="G17" s="53" t="str">
        <f>IF(Inicial!O17="SI",Inicial!G17,"N/A")</f>
        <v>N/A</v>
      </c>
      <c r="H17" s="53" t="str">
        <f>IF(Inicial!O17="SI",Inicial!H17,"N/A")</f>
        <v>N/A</v>
      </c>
      <c r="I17" s="64" t="str">
        <f>IF(Inicial!O17="SI",Inicial!I17,"N/A")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IF(Inicial!O18="SI",Inicial!E18,"N/A")</f>
        <v>N/A</v>
      </c>
      <c r="F18" s="53" t="str">
        <f>IF(Inicial!O18="SI",Inicial!F18,"N/A")</f>
        <v>N/A</v>
      </c>
      <c r="G18" s="53" t="str">
        <f>IF(Inicial!O18="SI",Inicial!G18,"N/A")</f>
        <v>N/A</v>
      </c>
      <c r="H18" s="53" t="str">
        <f>IF(Inicial!O18="SI",Inicial!H18,"N/A")</f>
        <v>N/A</v>
      </c>
      <c r="I18" s="64" t="str">
        <f>IF(Inicial!O18="SI",Inicial!I18,"N/A")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 ht="38.2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IF(Inicial!O19="SI",Inicial!E19,"N/A")</f>
        <v>N/A</v>
      </c>
      <c r="F19" s="53" t="str">
        <f>IF(Inicial!O19="SI",Inicial!F19,"N/A")</f>
        <v>N/A</v>
      </c>
      <c r="G19" s="53" t="str">
        <f>IF(Inicial!O19="SI",Inicial!G19,"N/A")</f>
        <v>N/A</v>
      </c>
      <c r="H19" s="53" t="str">
        <f>IF(Inicial!O19="SI",Inicial!H19,"N/A")</f>
        <v>N/A</v>
      </c>
      <c r="I19" s="64" t="str">
        <f>IF(Inicial!O19="SI",Inicial!I19,"N/A")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 ht="38.2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IF(Inicial!O20="SI",Inicial!E20,"N/A")</f>
        <v>N/A</v>
      </c>
      <c r="F20" s="53" t="str">
        <f>IF(Inicial!O20="SI",Inicial!F20,"N/A")</f>
        <v>N/A</v>
      </c>
      <c r="G20" s="53" t="str">
        <f>IF(Inicial!O20="SI",Inicial!G20,"N/A")</f>
        <v>N/A</v>
      </c>
      <c r="H20" s="53" t="str">
        <f>IF(Inicial!O20="SI",Inicial!H20,"N/A")</f>
        <v>N/A</v>
      </c>
      <c r="I20" s="64" t="str">
        <f>IF(Inicial!O20="SI",Inicial!I20,"N/A")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 ht="38.2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IF(Inicial!O21="SI",Inicial!E21,"N/A")</f>
        <v>N/A</v>
      </c>
      <c r="F21" s="53" t="str">
        <f>IF(Inicial!O21="SI",Inicial!F21,"N/A")</f>
        <v>N/A</v>
      </c>
      <c r="G21" s="53" t="str">
        <f>IF(Inicial!O21="SI",Inicial!G21,"N/A")</f>
        <v>N/A</v>
      </c>
      <c r="H21" s="53" t="str">
        <f>IF(Inicial!O21="SI",Inicial!H21,"N/A")</f>
        <v>N/A</v>
      </c>
      <c r="I21" s="64" t="str">
        <f>IF(Inicial!O21="SI",Inicial!I21,"N/A")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 ht="38.2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IF(Inicial!O22="SI",Inicial!E22,"N/A")</f>
        <v>N/A</v>
      </c>
      <c r="F22" s="53" t="str">
        <f>IF(Inicial!O22="SI",Inicial!F22,"N/A")</f>
        <v>N/A</v>
      </c>
      <c r="G22" s="53" t="str">
        <f>IF(Inicial!O22="SI",Inicial!G22,"N/A")</f>
        <v>N/A</v>
      </c>
      <c r="H22" s="53" t="str">
        <f>IF(Inicial!O22="SI",Inicial!H22,"N/A")</f>
        <v>N/A</v>
      </c>
      <c r="I22" s="64" t="str">
        <f>IF(Inicial!O22="SI",Inicial!I22,"N/A")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 t="str" cm="1">
        <f t="array" ref="U22">IF(OR(N22:T22="NO"),"No aceptable","Aceptable")</f>
        <v>Aceptable</v>
      </c>
    </row>
    <row r="23" spans="1:21" ht="38.2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IF(Inicial!O23="SI",Inicial!E23,"N/A")</f>
        <v>N/A</v>
      </c>
      <c r="F23" s="53" t="str">
        <f>IF(Inicial!O23="SI",Inicial!F23,"N/A")</f>
        <v>N/A</v>
      </c>
      <c r="G23" s="53" t="str">
        <f>IF(Inicial!O23="SI",Inicial!G23,"N/A")</f>
        <v>N/A</v>
      </c>
      <c r="H23" s="53" t="str">
        <f>IF(Inicial!O23="SI",Inicial!H23,"N/A")</f>
        <v>N/A</v>
      </c>
      <c r="I23" s="64" t="str">
        <f>IF(Inicial!O23="SI",Inicial!I23,"N/A")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 t="str" cm="1">
        <f t="array" ref="U23">IF(OR(N23:T23="NO"),"No aceptable","Aceptable")</f>
        <v>Aceptable</v>
      </c>
    </row>
    <row r="24" spans="1:21" ht="38.2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IF(Inicial!O24="SI",Inicial!E24,"N/A")</f>
        <v>N/A</v>
      </c>
      <c r="F24" s="53" t="str">
        <f>IF(Inicial!O24="SI",Inicial!F24,"N/A")</f>
        <v>N/A</v>
      </c>
      <c r="G24" s="53" t="str">
        <f>IF(Inicial!O24="SI",Inicial!G24,"N/A")</f>
        <v>N/A</v>
      </c>
      <c r="H24" s="53" t="str">
        <f>IF(Inicial!O24="SI",Inicial!H24,"N/A")</f>
        <v>N/A</v>
      </c>
      <c r="I24" s="64" t="str">
        <f>IF(Inicial!O24="SI",Inicial!I24,"N/A")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 t="str" cm="1">
        <f t="array" ref="U24">IF(OR(N24:T24="NO"),"No aceptable","Aceptable")</f>
        <v>Aceptable</v>
      </c>
    </row>
    <row r="25" spans="1:21" ht="38.2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IF(Inicial!O25="SI",Inicial!E25,"N/A")</f>
        <v>N/A</v>
      </c>
      <c r="F25" s="53" t="str">
        <f>IF(Inicial!O25="SI",Inicial!F25,"N/A")</f>
        <v>N/A</v>
      </c>
      <c r="G25" s="53" t="str">
        <f>IF(Inicial!O25="SI",Inicial!G25,"N/A")</f>
        <v>N/A</v>
      </c>
      <c r="H25" s="53" t="str">
        <f>IF(Inicial!O25="SI",Inicial!H25,"N/A")</f>
        <v>N/A</v>
      </c>
      <c r="I25" s="64" t="str">
        <f>IF(Inicial!O25="SI",Inicial!I25,"N/A")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 t="str" cm="1">
        <f t="array" ref="U25">IF(OR(N25:T25="NO"),"No aceptable","Aceptable")</f>
        <v>Aceptable</v>
      </c>
    </row>
    <row r="26" spans="1:21" ht="38.2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IF(Inicial!O26="SI",Inicial!E26,"N/A")</f>
        <v>N/A</v>
      </c>
      <c r="F26" s="53" t="str">
        <f>IF(Inicial!O26="SI",Inicial!F26,"N/A")</f>
        <v>N/A</v>
      </c>
      <c r="G26" s="53" t="str">
        <f>IF(Inicial!O26="SI",Inicial!G26,"N/A")</f>
        <v>N/A</v>
      </c>
      <c r="H26" s="53" t="str">
        <f>IF(Inicial!O26="SI",Inicial!H26,"N/A")</f>
        <v>N/A</v>
      </c>
      <c r="I26" s="64" t="str">
        <f>IF(Inicial!O26="SI",Inicial!I26,"N/A")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 t="str" cm="1">
        <f t="array" ref="U26">IF(OR(N26:T26="NO"),"No aceptable","Aceptable")</f>
        <v>Aceptable</v>
      </c>
    </row>
    <row r="27" spans="1:21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IF(Inicial!O27="SI",Inicial!E27,"N/A")</f>
        <v>N/A</v>
      </c>
      <c r="F27" s="53" t="str">
        <f>IF(Inicial!O27="SI",Inicial!F27,"N/A")</f>
        <v>N/A</v>
      </c>
      <c r="G27" s="53" t="str">
        <f>IF(Inicial!O27="SI",Inicial!G27,"N/A")</f>
        <v>N/A</v>
      </c>
      <c r="H27" s="53" t="str">
        <f>IF(Inicial!O27="SI",Inicial!H27,"N/A")</f>
        <v>N/A</v>
      </c>
      <c r="I27" s="64" t="str">
        <f>IF(Inicial!O27="SI",Inicial!I27,"N/A")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 t="str" cm="1">
        <f t="array" ref="U27">IF(OR(N27:T27="NO"),"No aceptable","Aceptable")</f>
        <v>Aceptable</v>
      </c>
    </row>
    <row r="28" spans="1:21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IF(Inicial!O28="SI",Inicial!E28,"N/A")</f>
        <v>N/A</v>
      </c>
      <c r="F28" s="53" t="str">
        <f>IF(Inicial!O28="SI",Inicial!F28,"N/A")</f>
        <v>N/A</v>
      </c>
      <c r="G28" s="53" t="str">
        <f>IF(Inicial!O28="SI",Inicial!G28,"N/A")</f>
        <v>N/A</v>
      </c>
      <c r="H28" s="53" t="str">
        <f>IF(Inicial!O28="SI",Inicial!H28,"N/A")</f>
        <v>N/A</v>
      </c>
      <c r="I28" s="64" t="str">
        <f>IF(Inicial!O28="SI",Inicial!I28,"N/A")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 t="str" cm="1">
        <f t="array" ref="U28">IF(OR(N28:T28="NO"),"No aceptable","Aceptable")</f>
        <v>Aceptable</v>
      </c>
    </row>
    <row r="29" spans="1:21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IF(Inicial!O29="SI",Inicial!E29,"N/A")</f>
        <v>N/A</v>
      </c>
      <c r="F29" s="53" t="str">
        <f>IF(Inicial!O29="SI",Inicial!F29,"N/A")</f>
        <v>N/A</v>
      </c>
      <c r="G29" s="53" t="str">
        <f>IF(Inicial!O29="SI",Inicial!G29,"N/A")</f>
        <v>N/A</v>
      </c>
      <c r="H29" s="53" t="str">
        <f>IF(Inicial!O29="SI",Inicial!H29,"N/A")</f>
        <v>N/A</v>
      </c>
      <c r="I29" s="64" t="str">
        <f>IF(Inicial!O29="SI",Inicial!I29,"N/A")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 t="str" cm="1">
        <f t="array" ref="U29">IF(OR(N29:T29="NO"),"No aceptable","Aceptable")</f>
        <v>Aceptable</v>
      </c>
    </row>
    <row r="30" spans="1:21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IF(Inicial!O30="SI",Inicial!E30,"N/A")</f>
        <v>N/A</v>
      </c>
      <c r="F30" s="53" t="str">
        <f>IF(Inicial!O30="SI",Inicial!F30,"N/A")</f>
        <v>N/A</v>
      </c>
      <c r="G30" s="53" t="str">
        <f>IF(Inicial!O30="SI",Inicial!G30,"N/A")</f>
        <v>N/A</v>
      </c>
      <c r="H30" s="53" t="str">
        <f>IF(Inicial!O30="SI",Inicial!H30,"N/A")</f>
        <v>N/A</v>
      </c>
      <c r="I30" s="64" t="str">
        <f>IF(Inicial!O30="SI",Inicial!I30,"N/A")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 t="str" cm="1">
        <f t="array" ref="U30">IF(OR(N30:T30="NO"),"No aceptable","Aceptable")</f>
        <v>Aceptable</v>
      </c>
    </row>
    <row r="31" spans="1:21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IF(Inicial!O31="SI",Inicial!E31,"N/A")</f>
        <v>N/A</v>
      </c>
      <c r="F31" s="53" t="str">
        <f>IF(Inicial!O31="SI",Inicial!F31,"N/A")</f>
        <v>N/A</v>
      </c>
      <c r="G31" s="53" t="str">
        <f>IF(Inicial!O31="SI",Inicial!G31,"N/A")</f>
        <v>N/A</v>
      </c>
      <c r="H31" s="53" t="str">
        <f>IF(Inicial!O31="SI",Inicial!H31,"N/A")</f>
        <v>N/A</v>
      </c>
      <c r="I31" s="64" t="str">
        <f>IF(Inicial!O31="SI",Inicial!I31,"N/A")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 t="str" cm="1">
        <f t="array" ref="U31">IF(OR(N31:T31="NO"),"No aceptable","Aceptable")</f>
        <v>Aceptable</v>
      </c>
    </row>
    <row r="32" spans="1:21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IF(Inicial!O32="SI",Inicial!E32,"N/A")</f>
        <v>N/A</v>
      </c>
      <c r="F32" s="53" t="str">
        <f>IF(Inicial!O32="SI",Inicial!F32,"N/A")</f>
        <v>N/A</v>
      </c>
      <c r="G32" s="53" t="str">
        <f>IF(Inicial!O32="SI",Inicial!G32,"N/A")</f>
        <v>N/A</v>
      </c>
      <c r="H32" s="53" t="str">
        <f>IF(Inicial!O32="SI",Inicial!H32,"N/A")</f>
        <v>N/A</v>
      </c>
      <c r="I32" s="64" t="str">
        <f>IF(Inicial!O32="SI",Inicial!I32,"N/A")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 t="str" cm="1">
        <f t="array" ref="U32">IF(OR(N32:T32="NO"),"No aceptable","Aceptable")</f>
        <v>Aceptable</v>
      </c>
    </row>
    <row r="33" spans="1:21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IF(Inicial!O33="SI",Inicial!E33,"N/A")</f>
        <v>N/A</v>
      </c>
      <c r="F33" s="53" t="str">
        <f>IF(Inicial!O33="SI",Inicial!F33,"N/A")</f>
        <v>N/A</v>
      </c>
      <c r="G33" s="53" t="str">
        <f>IF(Inicial!O33="SI",Inicial!G33,"N/A")</f>
        <v>N/A</v>
      </c>
      <c r="H33" s="53" t="str">
        <f>IF(Inicial!O33="SI",Inicial!H33,"N/A")</f>
        <v>N/A</v>
      </c>
      <c r="I33" s="64" t="str">
        <f>IF(Inicial!O33="SI",Inicial!I33,"N/A")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 t="str" cm="1">
        <f t="array" ref="U33">IF(OR(N33:T33="NO"),"No aceptable","Aceptable")</f>
        <v>Aceptable</v>
      </c>
    </row>
    <row r="34" spans="1:21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IF(Inicial!O34="SI",Inicial!E34,"N/A")</f>
        <v>N/A</v>
      </c>
      <c r="F34" s="53" t="str">
        <f>IF(Inicial!O34="SI",Inicial!F34,"N/A")</f>
        <v>N/A</v>
      </c>
      <c r="G34" s="53" t="str">
        <f>IF(Inicial!O34="SI",Inicial!G34,"N/A")</f>
        <v>N/A</v>
      </c>
      <c r="H34" s="53" t="str">
        <f>IF(Inicial!O34="SI",Inicial!H34,"N/A")</f>
        <v>N/A</v>
      </c>
      <c r="I34" s="64" t="str">
        <f>IF(Inicial!O34="SI",Inicial!I34,"N/A")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 t="str" cm="1">
        <f t="array" ref="U34">IF(OR(N34:T34="NO"),"No aceptable","Aceptable")</f>
        <v>Aceptable</v>
      </c>
    </row>
    <row r="35" spans="1:21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IF(Inicial!O35="SI",Inicial!E35,"N/A")</f>
        <v>N/A</v>
      </c>
      <c r="F35" s="53" t="str">
        <f>IF(Inicial!O35="SI",Inicial!F35,"N/A")</f>
        <v>N/A</v>
      </c>
      <c r="G35" s="53" t="str">
        <f>IF(Inicial!O35="SI",Inicial!G35,"N/A")</f>
        <v>N/A</v>
      </c>
      <c r="H35" s="53" t="str">
        <f>IF(Inicial!O35="SI",Inicial!H35,"N/A")</f>
        <v>N/A</v>
      </c>
      <c r="I35" s="64" t="str">
        <f>IF(Inicial!O35="SI",Inicial!I35,"N/A")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 t="str" cm="1">
        <f t="array" ref="U35">IF(OR(N35:T35="NO"),"No aceptable","Aceptable")</f>
        <v>Aceptable</v>
      </c>
    </row>
    <row r="36" spans="1:21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IF(Inicial!O36="SI",Inicial!E36,"N/A")</f>
        <v>N/A</v>
      </c>
      <c r="F36" s="53" t="str">
        <f>IF(Inicial!O36="SI",Inicial!F36,"N/A")</f>
        <v>N/A</v>
      </c>
      <c r="G36" s="53" t="str">
        <f>IF(Inicial!O36="SI",Inicial!G36,"N/A")</f>
        <v>N/A</v>
      </c>
      <c r="H36" s="53" t="str">
        <f>IF(Inicial!O36="SI",Inicial!H36,"N/A")</f>
        <v>N/A</v>
      </c>
      <c r="I36" s="64" t="str">
        <f>IF(Inicial!O36="SI",Inicial!I36,"N/A")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 t="str" cm="1">
        <f t="array" ref="U36">IF(OR(N36:T36="NO"),"No aceptable","Aceptable")</f>
        <v>Aceptable</v>
      </c>
    </row>
    <row r="37" spans="1:21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IF(Inicial!O37="SI",Inicial!E37,"N/A")</f>
        <v>N/A</v>
      </c>
      <c r="F37" s="53" t="str">
        <f>IF(Inicial!O37="SI",Inicial!F37,"N/A")</f>
        <v>N/A</v>
      </c>
      <c r="G37" s="53" t="str">
        <f>IF(Inicial!O37="SI",Inicial!G37,"N/A")</f>
        <v>N/A</v>
      </c>
      <c r="H37" s="53" t="str">
        <f>IF(Inicial!O37="SI",Inicial!H37,"N/A")</f>
        <v>N/A</v>
      </c>
      <c r="I37" s="64" t="str">
        <f>IF(Inicial!O37="SI",Inicial!I37,"N/A")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 t="str" cm="1">
        <f t="array" ref="U37">IF(OR(N37:T37="NO"),"No aceptable","Aceptable")</f>
        <v>Aceptable</v>
      </c>
    </row>
    <row r="38" spans="1:21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IF(Inicial!O38="SI",Inicial!E38,"N/A")</f>
        <v>N/A</v>
      </c>
      <c r="F38" s="53" t="str">
        <f>IF(Inicial!O38="SI",Inicial!F38,"N/A")</f>
        <v>N/A</v>
      </c>
      <c r="G38" s="53" t="str">
        <f>IF(Inicial!O38="SI",Inicial!G38,"N/A")</f>
        <v>N/A</v>
      </c>
      <c r="H38" s="53" t="str">
        <f>IF(Inicial!O38="SI",Inicial!H38,"N/A")</f>
        <v>N/A</v>
      </c>
      <c r="I38" s="64" t="str">
        <f>IF(Inicial!O38="SI",Inicial!I38,"N/A")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 t="str" cm="1">
        <f t="array" ref="U38">IF(OR(N38:T38="NO"),"No aceptable","Aceptable")</f>
        <v>Aceptable</v>
      </c>
    </row>
    <row r="39" spans="1:21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IF(Inicial!O39="SI",Inicial!E39,"N/A")</f>
        <v>N/A</v>
      </c>
      <c r="F39" s="53" t="str">
        <f>IF(Inicial!O39="SI",Inicial!F39,"N/A")</f>
        <v>N/A</v>
      </c>
      <c r="G39" s="53" t="str">
        <f>IF(Inicial!O39="SI",Inicial!G39,"N/A")</f>
        <v>N/A</v>
      </c>
      <c r="H39" s="53" t="str">
        <f>IF(Inicial!O39="SI",Inicial!H39,"N/A")</f>
        <v>N/A</v>
      </c>
      <c r="I39" s="64" t="str">
        <f>IF(Inicial!O39="SI",Inicial!I39,"N/A")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 t="str" cm="1">
        <f t="array" ref="U39">IF(OR(N39:T39="NO"),"No aceptable","Aceptable")</f>
        <v>Aceptable</v>
      </c>
    </row>
    <row r="40" spans="1:21">
      <c r="A40" s="52"/>
      <c r="B40" s="53"/>
      <c r="C40" s="53"/>
      <c r="D40" s="54"/>
      <c r="E40" s="52"/>
      <c r="F40" s="53"/>
      <c r="G40" s="53"/>
      <c r="H40" s="53"/>
      <c r="I40" s="64"/>
      <c r="N40" s="11"/>
      <c r="O40" s="11"/>
      <c r="P40" s="11"/>
      <c r="Q40" s="11"/>
      <c r="R40" s="11"/>
      <c r="S40" s="11"/>
      <c r="T40" s="11"/>
      <c r="U40" s="11"/>
    </row>
    <row r="41" spans="1:21">
      <c r="A41" s="52"/>
      <c r="B41" s="53"/>
      <c r="C41" s="53"/>
      <c r="D41" s="54"/>
      <c r="E41" s="52"/>
      <c r="F41" s="53"/>
      <c r="G41" s="53"/>
      <c r="H41" s="53"/>
      <c r="I41" s="64"/>
      <c r="N41" s="11"/>
      <c r="O41" s="11"/>
      <c r="P41" s="11"/>
      <c r="Q41" s="11"/>
      <c r="R41" s="11"/>
      <c r="S41" s="11"/>
      <c r="T41" s="11"/>
      <c r="U41" s="11"/>
    </row>
    <row r="42" spans="1:21">
      <c r="A42" s="52"/>
      <c r="B42" s="53"/>
      <c r="C42" s="53"/>
      <c r="D42" s="54"/>
      <c r="E42" s="52"/>
      <c r="F42" s="53"/>
      <c r="G42" s="53"/>
      <c r="H42" s="53"/>
      <c r="I42" s="64"/>
      <c r="S42" s="1"/>
      <c r="T42" s="1"/>
    </row>
    <row r="43" spans="1:21">
      <c r="A43" s="52"/>
      <c r="B43" s="53"/>
      <c r="C43" s="53"/>
      <c r="D43" s="54"/>
      <c r="E43" s="52"/>
      <c r="F43" s="53"/>
      <c r="G43" s="53"/>
      <c r="H43" s="53"/>
      <c r="I43" s="64"/>
      <c r="S43" s="1"/>
      <c r="T43" s="1"/>
    </row>
    <row r="44" spans="1:21">
      <c r="A44" s="52"/>
      <c r="B44" s="53"/>
      <c r="C44" s="53"/>
      <c r="D44" s="54"/>
      <c r="E44" s="52"/>
      <c r="F44" s="53"/>
      <c r="G44" s="53"/>
      <c r="H44" s="53"/>
      <c r="I44" s="64"/>
      <c r="S44" s="1"/>
      <c r="T44" s="1"/>
    </row>
    <row r="45" spans="1:21">
      <c r="A45" s="52"/>
      <c r="B45" s="53"/>
      <c r="C45" s="53"/>
      <c r="D45" s="54"/>
      <c r="E45" s="52"/>
      <c r="F45" s="53"/>
      <c r="G45" s="53"/>
      <c r="H45" s="53"/>
      <c r="I45" s="64"/>
      <c r="S45" s="1"/>
      <c r="T45" s="1"/>
    </row>
    <row r="46" spans="1:21">
      <c r="A46" s="52"/>
      <c r="B46" s="53"/>
      <c r="C46" s="53"/>
      <c r="D46" s="54"/>
      <c r="E46" s="52"/>
      <c r="F46" s="53"/>
      <c r="G46" s="53"/>
      <c r="H46" s="53"/>
      <c r="I46" s="64"/>
      <c r="S46" s="1"/>
      <c r="T46" s="1"/>
    </row>
    <row r="47" spans="1:21">
      <c r="A47" s="52"/>
      <c r="B47" s="53"/>
      <c r="C47" s="53"/>
      <c r="D47" s="54"/>
      <c r="E47" s="52"/>
      <c r="F47" s="53"/>
      <c r="G47" s="53"/>
      <c r="H47" s="53"/>
      <c r="I47" s="64"/>
      <c r="S47" s="1"/>
      <c r="T47" s="1"/>
    </row>
    <row r="48" spans="1:21">
      <c r="A48" s="52"/>
      <c r="B48" s="53"/>
      <c r="C48" s="53"/>
      <c r="D48" s="54"/>
      <c r="E48" s="52"/>
      <c r="F48" s="53"/>
      <c r="G48" s="53"/>
      <c r="H48" s="53"/>
      <c r="I48" s="64"/>
      <c r="S48" s="1"/>
      <c r="T48" s="1"/>
    </row>
    <row r="49" spans="1:20">
      <c r="A49" s="52"/>
      <c r="B49" s="53"/>
      <c r="C49" s="53"/>
      <c r="D49" s="54"/>
      <c r="E49" s="52"/>
      <c r="F49" s="53"/>
      <c r="G49" s="53"/>
      <c r="H49" s="53"/>
      <c r="I49" s="64"/>
      <c r="S49" s="1"/>
      <c r="T49" s="1"/>
    </row>
    <row r="50" spans="1:20">
      <c r="A50" s="52"/>
      <c r="B50" s="53"/>
      <c r="C50" s="53"/>
      <c r="D50" s="54"/>
      <c r="E50" s="52"/>
      <c r="F50" s="53"/>
      <c r="G50" s="53"/>
      <c r="H50" s="53"/>
      <c r="I50" s="64"/>
      <c r="S50" s="1"/>
      <c r="T50" s="1"/>
    </row>
    <row r="51" spans="1:20">
      <c r="A51" s="52"/>
      <c r="B51" s="53"/>
      <c r="C51" s="53"/>
      <c r="D51" s="54"/>
      <c r="E51" s="52"/>
      <c r="F51" s="53"/>
      <c r="G51" s="53"/>
      <c r="H51" s="53"/>
      <c r="I51" s="64"/>
      <c r="S51" s="1"/>
      <c r="T51" s="1"/>
    </row>
    <row r="52" spans="1:20">
      <c r="A52" s="52"/>
      <c r="B52" s="53"/>
      <c r="C52" s="53"/>
      <c r="D52" s="54"/>
      <c r="E52" s="52"/>
      <c r="F52" s="53"/>
      <c r="G52" s="53"/>
      <c r="H52" s="53"/>
      <c r="I52" s="64"/>
      <c r="S52" s="1"/>
      <c r="T52" s="1"/>
    </row>
    <row r="53" spans="1:20">
      <c r="A53" s="52"/>
      <c r="B53" s="53"/>
      <c r="C53" s="53"/>
      <c r="D53" s="54"/>
      <c r="E53" s="52"/>
      <c r="F53" s="53"/>
      <c r="G53" s="53"/>
      <c r="H53" s="53"/>
      <c r="I53" s="64"/>
      <c r="S53" s="1"/>
      <c r="T53" s="1"/>
    </row>
    <row r="54" spans="1:20">
      <c r="A54" s="52"/>
      <c r="B54" s="53"/>
      <c r="C54" s="53"/>
      <c r="D54" s="54"/>
      <c r="E54" s="52"/>
      <c r="F54" s="53"/>
      <c r="G54" s="53"/>
      <c r="H54" s="53"/>
      <c r="I54" s="64"/>
      <c r="S54" s="1"/>
      <c r="T54" s="1"/>
    </row>
    <row r="55" spans="1:20">
      <c r="A55" s="52"/>
      <c r="B55" s="53"/>
      <c r="C55" s="53"/>
      <c r="D55" s="54"/>
      <c r="E55" s="52"/>
      <c r="F55" s="53"/>
      <c r="G55" s="53"/>
      <c r="H55" s="53"/>
      <c r="I55" s="64"/>
      <c r="S55" s="1"/>
      <c r="T55" s="1"/>
    </row>
    <row r="56" spans="1:20">
      <c r="A56" s="52"/>
      <c r="B56" s="53"/>
      <c r="C56" s="53"/>
      <c r="D56" s="54"/>
      <c r="E56" s="52"/>
      <c r="F56" s="53"/>
      <c r="G56" s="53"/>
      <c r="H56" s="53"/>
      <c r="I56" s="64"/>
      <c r="S56" s="1"/>
      <c r="T56" s="1"/>
    </row>
    <row r="57" spans="1:20">
      <c r="A57" s="52"/>
      <c r="B57" s="53"/>
      <c r="C57" s="53"/>
      <c r="D57" s="54"/>
      <c r="E57" s="52"/>
      <c r="F57" s="53"/>
      <c r="G57" s="53"/>
      <c r="H57" s="53"/>
      <c r="I57" s="64"/>
      <c r="S57" s="1"/>
      <c r="T57" s="1"/>
    </row>
    <row r="58" spans="1:20">
      <c r="A58" s="52"/>
      <c r="B58" s="53"/>
      <c r="C58" s="53"/>
      <c r="D58" s="54"/>
      <c r="E58" s="52"/>
      <c r="F58" s="53"/>
      <c r="G58" s="53"/>
      <c r="H58" s="53"/>
      <c r="I58" s="64"/>
      <c r="S58" s="1"/>
      <c r="T58" s="1"/>
    </row>
    <row r="59" spans="1:20">
      <c r="A59" s="52"/>
      <c r="B59" s="53"/>
      <c r="C59" s="53"/>
      <c r="D59" s="54"/>
      <c r="E59" s="52"/>
      <c r="F59" s="53"/>
      <c r="G59" s="53"/>
      <c r="H59" s="53"/>
      <c r="I59" s="64"/>
      <c r="S59" s="1"/>
      <c r="T59" s="1"/>
    </row>
    <row r="60" spans="1:20">
      <c r="A60" s="52"/>
      <c r="B60" s="53"/>
      <c r="C60" s="53"/>
      <c r="D60" s="54"/>
      <c r="E60" s="52"/>
      <c r="F60" s="53"/>
      <c r="G60" s="53"/>
      <c r="H60" s="53"/>
      <c r="I60" s="64"/>
      <c r="S60" s="1"/>
      <c r="T60" s="1"/>
    </row>
    <row r="61" spans="1:20">
      <c r="A61" s="52"/>
      <c r="B61" s="53"/>
      <c r="C61" s="53"/>
      <c r="D61" s="54"/>
      <c r="E61" s="52"/>
      <c r="F61" s="53"/>
      <c r="G61" s="53"/>
      <c r="H61" s="53"/>
      <c r="I61" s="64"/>
      <c r="S61" s="1"/>
      <c r="T61" s="1"/>
    </row>
    <row r="62" spans="1:20">
      <c r="A62" s="52"/>
      <c r="B62" s="53"/>
      <c r="C62" s="53"/>
      <c r="D62" s="54"/>
      <c r="E62" s="52"/>
      <c r="F62" s="53"/>
      <c r="G62" s="53"/>
      <c r="H62" s="53"/>
      <c r="I62" s="64"/>
      <c r="S62" s="1"/>
      <c r="T62" s="1"/>
    </row>
    <row r="63" spans="1:20">
      <c r="A63" s="52"/>
      <c r="B63" s="53"/>
      <c r="C63" s="53"/>
      <c r="D63" s="54"/>
      <c r="E63" s="52"/>
      <c r="F63" s="53"/>
      <c r="G63" s="53"/>
      <c r="H63" s="53"/>
      <c r="I63" s="64"/>
      <c r="S63" s="1"/>
      <c r="T63" s="1"/>
    </row>
    <row r="64" spans="1:20">
      <c r="A64" s="52"/>
      <c r="B64" s="53"/>
      <c r="C64" s="53"/>
      <c r="D64" s="54"/>
      <c r="E64" s="52"/>
      <c r="F64" s="53"/>
      <c r="G64" s="53"/>
      <c r="H64" s="53"/>
      <c r="I64" s="64"/>
      <c r="S64" s="1"/>
      <c r="T64" s="1"/>
    </row>
    <row r="65" spans="1:20">
      <c r="A65" s="52"/>
      <c r="B65" s="53"/>
      <c r="C65" s="53"/>
      <c r="D65" s="54"/>
      <c r="E65" s="52"/>
      <c r="F65" s="53"/>
      <c r="G65" s="53"/>
      <c r="H65" s="53"/>
      <c r="I65" s="64"/>
      <c r="S65" s="1"/>
      <c r="T65" s="1"/>
    </row>
    <row r="66" spans="1:20">
      <c r="A66" s="52"/>
      <c r="B66" s="53"/>
      <c r="C66" s="53"/>
      <c r="D66" s="54"/>
      <c r="E66" s="52"/>
      <c r="F66" s="53"/>
      <c r="G66" s="53"/>
      <c r="H66" s="53"/>
      <c r="I66" s="64"/>
      <c r="S66" s="1"/>
      <c r="T66" s="1"/>
    </row>
    <row r="67" spans="1:20">
      <c r="A67" s="52"/>
      <c r="B67" s="53"/>
      <c r="C67" s="53"/>
      <c r="D67" s="54"/>
      <c r="E67" s="52"/>
      <c r="F67" s="53"/>
      <c r="G67" s="53"/>
      <c r="H67" s="53"/>
      <c r="I67" s="64"/>
      <c r="S67" s="1"/>
      <c r="T67" s="1"/>
    </row>
    <row r="68" spans="1:20">
      <c r="A68" s="52"/>
      <c r="B68" s="53"/>
      <c r="C68" s="53"/>
      <c r="D68" s="54"/>
      <c r="E68" s="52"/>
      <c r="F68" s="53"/>
      <c r="G68" s="53"/>
      <c r="H68" s="53"/>
      <c r="I68" s="64"/>
      <c r="S68" s="1"/>
      <c r="T68" s="1"/>
    </row>
    <row r="69" spans="1:20">
      <c r="A69" s="52"/>
      <c r="B69" s="53"/>
      <c r="C69" s="53"/>
      <c r="D69" s="54"/>
      <c r="E69" s="52"/>
      <c r="F69" s="53"/>
      <c r="G69" s="53"/>
      <c r="H69" s="53"/>
      <c r="I69" s="64"/>
      <c r="S69" s="1"/>
      <c r="T69" s="1"/>
    </row>
    <row r="70" spans="1:20">
      <c r="A70" s="52"/>
      <c r="B70" s="53"/>
      <c r="C70" s="53"/>
      <c r="D70" s="54"/>
      <c r="E70" s="52"/>
      <c r="F70" s="53"/>
      <c r="G70" s="53"/>
      <c r="H70" s="53"/>
      <c r="I70" s="64"/>
      <c r="S70" s="1"/>
      <c r="T70" s="1"/>
    </row>
    <row r="71" spans="1:20">
      <c r="A71" s="52"/>
      <c r="B71" s="53"/>
      <c r="C71" s="53"/>
      <c r="D71" s="54"/>
      <c r="E71" s="52"/>
      <c r="F71" s="53"/>
      <c r="G71" s="53"/>
      <c r="H71" s="53"/>
      <c r="I71" s="64"/>
      <c r="S71" s="1"/>
      <c r="T71" s="1"/>
    </row>
    <row r="72" spans="1:20">
      <c r="A72" s="52"/>
      <c r="B72" s="53"/>
      <c r="C72" s="53"/>
      <c r="D72" s="54"/>
      <c r="E72" s="52"/>
      <c r="F72" s="53"/>
      <c r="G72" s="53"/>
      <c r="H72" s="53"/>
      <c r="I72" s="64"/>
      <c r="S72" s="1"/>
      <c r="T72" s="1"/>
    </row>
    <row r="73" spans="1:20">
      <c r="A73" s="52"/>
      <c r="B73" s="53"/>
      <c r="C73" s="53"/>
      <c r="D73" s="54"/>
      <c r="E73" s="52"/>
      <c r="F73" s="53"/>
      <c r="G73" s="53"/>
      <c r="H73" s="53"/>
      <c r="I73" s="64"/>
      <c r="S73" s="1"/>
      <c r="T73" s="1"/>
    </row>
    <row r="74" spans="1:20">
      <c r="A74" s="52"/>
      <c r="B74" s="53"/>
      <c r="C74" s="53"/>
      <c r="D74" s="54"/>
      <c r="E74" s="52"/>
      <c r="F74" s="53"/>
      <c r="G74" s="53"/>
      <c r="H74" s="53"/>
      <c r="I74" s="64"/>
      <c r="S74" s="1"/>
      <c r="T74" s="1"/>
    </row>
    <row r="75" spans="1:20">
      <c r="A75" s="52"/>
      <c r="B75" s="53"/>
      <c r="C75" s="53"/>
      <c r="D75" s="54"/>
      <c r="E75" s="52"/>
      <c r="F75" s="53"/>
      <c r="G75" s="53"/>
      <c r="H75" s="53"/>
      <c r="I75" s="64"/>
      <c r="S75" s="1"/>
      <c r="T75" s="1"/>
    </row>
    <row r="76" spans="1:20">
      <c r="A76" s="52"/>
      <c r="B76" s="53"/>
      <c r="C76" s="53"/>
      <c r="D76" s="54"/>
      <c r="E76" s="52"/>
      <c r="F76" s="53"/>
      <c r="G76" s="53"/>
      <c r="H76" s="53"/>
      <c r="I76" s="64"/>
      <c r="S76" s="1"/>
      <c r="T76" s="1"/>
    </row>
    <row r="77" spans="1:20">
      <c r="A77" s="52"/>
      <c r="B77" s="53"/>
      <c r="C77" s="53"/>
      <c r="D77" s="54"/>
      <c r="E77" s="52"/>
      <c r="F77" s="53"/>
      <c r="G77" s="53"/>
      <c r="H77" s="53"/>
      <c r="I77" s="64"/>
      <c r="S77" s="1"/>
      <c r="T77" s="1"/>
    </row>
    <row r="78" spans="1:20">
      <c r="A78" s="52"/>
      <c r="B78" s="53"/>
      <c r="C78" s="53"/>
      <c r="D78" s="54"/>
      <c r="E78" s="52"/>
      <c r="F78" s="53"/>
      <c r="G78" s="53"/>
      <c r="H78" s="53"/>
      <c r="I78" s="64"/>
      <c r="S78" s="1"/>
      <c r="T78" s="1"/>
    </row>
    <row r="79" spans="1:20">
      <c r="A79" s="52"/>
      <c r="B79" s="53"/>
      <c r="C79" s="53"/>
      <c r="D79" s="54"/>
      <c r="E79" s="52"/>
      <c r="F79" s="53"/>
      <c r="G79" s="53"/>
      <c r="H79" s="53"/>
      <c r="I79" s="64"/>
      <c r="S79" s="1"/>
      <c r="T79" s="1"/>
    </row>
    <row r="80" spans="1:20">
      <c r="A80" s="52"/>
      <c r="B80" s="53"/>
      <c r="C80" s="53"/>
      <c r="D80" s="54"/>
      <c r="E80" s="52"/>
      <c r="F80" s="53"/>
      <c r="G80" s="53"/>
      <c r="H80" s="53"/>
      <c r="I80" s="64"/>
      <c r="S80" s="1"/>
      <c r="T80" s="1"/>
    </row>
    <row r="81" spans="1:20">
      <c r="A81" s="52"/>
      <c r="B81" s="53"/>
      <c r="C81" s="53"/>
      <c r="D81" s="54"/>
      <c r="E81" s="52"/>
      <c r="F81" s="53"/>
      <c r="G81" s="53"/>
      <c r="H81" s="53"/>
      <c r="I81" s="64"/>
      <c r="S81" s="1"/>
      <c r="T81" s="1"/>
    </row>
    <row r="82" spans="1:20">
      <c r="A82" s="52"/>
      <c r="B82" s="53"/>
      <c r="C82" s="53"/>
      <c r="D82" s="54"/>
      <c r="E82" s="52"/>
      <c r="F82" s="53"/>
      <c r="G82" s="53"/>
      <c r="H82" s="53"/>
      <c r="I82" s="64"/>
      <c r="S82" s="1"/>
      <c r="T82" s="1"/>
    </row>
    <row r="83" spans="1:20">
      <c r="A83" s="52"/>
      <c r="B83" s="53"/>
      <c r="C83" s="53"/>
      <c r="D83" s="54"/>
      <c r="E83" s="52"/>
      <c r="F83" s="53"/>
      <c r="G83" s="53"/>
      <c r="H83" s="53"/>
      <c r="I83" s="64"/>
      <c r="S83" s="1"/>
      <c r="T83" s="1"/>
    </row>
    <row r="84" spans="1:20">
      <c r="A84" s="52"/>
      <c r="B84" s="53"/>
      <c r="C84" s="53"/>
      <c r="D84" s="54"/>
      <c r="E84" s="52"/>
      <c r="F84" s="53"/>
      <c r="G84" s="53"/>
      <c r="H84" s="53"/>
      <c r="I84" s="64"/>
      <c r="S84" s="1"/>
      <c r="T84" s="1"/>
    </row>
    <row r="85" spans="1:20">
      <c r="A85" s="52"/>
      <c r="B85" s="53"/>
      <c r="C85" s="53"/>
      <c r="D85" s="54"/>
      <c r="E85" s="52"/>
      <c r="F85" s="53"/>
      <c r="G85" s="53"/>
      <c r="H85" s="53"/>
      <c r="I85" s="64"/>
      <c r="S85" s="1"/>
      <c r="T85" s="1"/>
    </row>
    <row r="86" spans="1:20">
      <c r="A86" s="52"/>
      <c r="B86" s="53"/>
      <c r="C86" s="53"/>
      <c r="D86" s="54"/>
      <c r="E86" s="52"/>
      <c r="F86" s="53"/>
      <c r="G86" s="53"/>
      <c r="H86" s="53"/>
      <c r="I86" s="64"/>
      <c r="S86" s="1"/>
      <c r="T86" s="1"/>
    </row>
    <row r="87" spans="1:20">
      <c r="A87" s="52"/>
      <c r="B87" s="53"/>
      <c r="C87" s="53"/>
      <c r="D87" s="54"/>
      <c r="E87" s="52"/>
      <c r="F87" s="53"/>
      <c r="G87" s="53"/>
      <c r="H87" s="53"/>
      <c r="I87" s="64"/>
      <c r="S87" s="1"/>
      <c r="T87" s="1"/>
    </row>
    <row r="88" spans="1:20">
      <c r="A88" s="52"/>
      <c r="B88" s="53"/>
      <c r="C88" s="53"/>
      <c r="D88" s="54"/>
      <c r="E88" s="52"/>
      <c r="F88" s="53"/>
      <c r="G88" s="53"/>
      <c r="H88" s="53"/>
      <c r="I88" s="64"/>
      <c r="S88" s="1"/>
      <c r="T88" s="1"/>
    </row>
    <row r="89" spans="1:20">
      <c r="A89" s="52"/>
      <c r="B89" s="53"/>
      <c r="C89" s="53"/>
      <c r="D89" s="54"/>
      <c r="E89" s="52"/>
      <c r="F89" s="53"/>
      <c r="G89" s="53"/>
      <c r="H89" s="53"/>
      <c r="I89" s="64"/>
      <c r="S89" s="1"/>
      <c r="T89" s="1"/>
    </row>
    <row r="90" spans="1:20">
      <c r="S90" s="1"/>
      <c r="T90" s="1"/>
    </row>
    <row r="91" spans="1:20">
      <c r="S91" s="1"/>
      <c r="T91" s="1"/>
    </row>
  </sheetData>
  <mergeCells count="5">
    <mergeCell ref="F1:G1"/>
    <mergeCell ref="H1:I1"/>
    <mergeCell ref="J1:T1"/>
    <mergeCell ref="V1:AA1"/>
    <mergeCell ref="A1:E1"/>
  </mergeCells>
  <conditionalFormatting sqref="J3:T39 S40:T41">
    <cfRule type="cellIs" dxfId="15" priority="7" operator="equal">
      <formula>"NO"</formula>
    </cfRule>
  </conditionalFormatting>
  <conditionalFormatting sqref="J3:T39">
    <cfRule type="cellIs" dxfId="14" priority="1" operator="equal">
      <formula>"SI"</formula>
    </cfRule>
  </conditionalFormatting>
  <conditionalFormatting sqref="U3:U39">
    <cfRule type="cellIs" dxfId="13" priority="2" operator="equal">
      <formula>"No Aceptable"</formula>
    </cfRule>
    <cfRule type="cellIs" dxfId="12" priority="3" operator="equal">
      <formula>"Aceptable"</formula>
    </cfRule>
  </conditionalFormatting>
  <conditionalFormatting sqref="U40:U1048576 N42:T1048576">
    <cfRule type="cellIs" dxfId="11" priority="8" operator="equal">
      <formula>"NO"</formula>
    </cfRule>
    <cfRule type="cellIs" dxfId="10" priority="9" operator="equal">
      <formula>"SI"</formula>
    </cfRule>
  </conditionalFormatting>
  <dataValidations count="3">
    <dataValidation type="list" allowBlank="1" showInputMessage="1" showErrorMessage="1" sqref="T3:T41 N40:S41 J3:S39 U40:U41" xr:uid="{E29C2618-0807-4829-8DB1-063B810E495F}">
      <formula1>"SI,NO,N/A"</formula1>
    </dataValidation>
    <dataValidation type="list" allowBlank="1" showInputMessage="1" showErrorMessage="1" sqref="N42:T91" xr:uid="{1520E075-C35C-4B11-9AAA-FBFD68E66833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16"/>
  <sheetViews>
    <sheetView workbookViewId="0">
      <pane xSplit="9" ySplit="2" topLeftCell="J3" activePane="bottomRight" state="frozen"/>
      <selection pane="bottomRight" activeCell="X5" sqref="A5:X7"/>
      <selection pane="bottomLeft" activeCell="A3" sqref="A3"/>
      <selection pane="topRight" activeCell="J1" sqref="J1"/>
    </sheetView>
  </sheetViews>
  <sheetFormatPr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6" width="9.7109375" style="1" customWidth="1"/>
    <col min="7" max="9" width="9.7109375" customWidth="1"/>
    <col min="10" max="13" width="11.5703125" style="73" customWidth="1"/>
    <col min="14" max="15" width="15.85546875" style="72" customWidth="1"/>
    <col min="16" max="16" width="18.28515625" style="73" customWidth="1"/>
    <col min="17" max="17" width="17.85546875" style="73" customWidth="1"/>
    <col min="18" max="18" width="28.7109375" style="73" customWidth="1"/>
    <col min="19" max="24" width="11.5703125" style="73"/>
  </cols>
  <sheetData>
    <row r="1" spans="1:46" ht="60" customHeight="1">
      <c r="A1" s="174" t="s">
        <v>544</v>
      </c>
      <c r="B1" s="174"/>
      <c r="C1" s="174"/>
      <c r="D1" s="174"/>
      <c r="E1" s="174"/>
      <c r="F1" s="146" t="s">
        <v>321</v>
      </c>
      <c r="G1" s="146"/>
      <c r="H1" s="146" t="s">
        <v>322</v>
      </c>
      <c r="I1" s="146"/>
      <c r="J1" s="172" t="s">
        <v>545</v>
      </c>
      <c r="K1" s="172"/>
      <c r="L1" s="172"/>
      <c r="M1" s="172"/>
      <c r="N1" s="172"/>
      <c r="O1" s="172"/>
      <c r="P1" s="172"/>
      <c r="Q1" s="173"/>
      <c r="R1" s="69" t="s">
        <v>403</v>
      </c>
      <c r="S1" s="165" t="s">
        <v>325</v>
      </c>
      <c r="T1" s="166"/>
      <c r="U1" s="166"/>
      <c r="V1" s="166"/>
      <c r="W1" s="166"/>
      <c r="X1" s="167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326</v>
      </c>
      <c r="G2" s="9" t="s">
        <v>327</v>
      </c>
      <c r="H2" s="9" t="s">
        <v>328</v>
      </c>
      <c r="I2" s="9" t="s">
        <v>329</v>
      </c>
      <c r="J2" s="9" t="s">
        <v>546</v>
      </c>
      <c r="K2" s="9" t="s">
        <v>547</v>
      </c>
      <c r="L2" s="9" t="s">
        <v>548</v>
      </c>
      <c r="M2" s="9" t="s">
        <v>549</v>
      </c>
      <c r="N2" s="13" t="s">
        <v>550</v>
      </c>
      <c r="O2" s="13" t="s">
        <v>551</v>
      </c>
      <c r="P2" s="13" t="s">
        <v>552</v>
      </c>
      <c r="Q2" s="13" t="s">
        <v>553</v>
      </c>
      <c r="R2" s="67" t="s">
        <v>336</v>
      </c>
      <c r="S2" s="13" t="s">
        <v>344</v>
      </c>
      <c r="T2" s="13" t="s">
        <v>345</v>
      </c>
      <c r="U2" s="13" t="s">
        <v>346</v>
      </c>
      <c r="V2" s="13" t="s">
        <v>347</v>
      </c>
      <c r="W2" s="13" t="s">
        <v>348</v>
      </c>
      <c r="X2" s="13" t="s">
        <v>349</v>
      </c>
    </row>
    <row r="3" spans="1:46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IF(Inicial!P3="SI",Inicial!E3,"N/A")</f>
        <v>N/A</v>
      </c>
      <c r="F3" s="53" t="str">
        <f>IF(Inicial!P3="SI",Inicial!F3,"N/A")</f>
        <v>N/A</v>
      </c>
      <c r="G3" s="53" t="str">
        <f>IF(Inicial!P3="SI",Inicial!G3,"N/A")</f>
        <v>N/A</v>
      </c>
      <c r="H3" s="53" t="str">
        <f>IF(Inicial!P3="SI",Inicial!H3,"N/A")</f>
        <v>N/A</v>
      </c>
      <c r="I3" s="64" t="str">
        <f>IF(Inicial!P3="SI",Inicial!I3,"N/A")</f>
        <v>N/A</v>
      </c>
      <c r="J3" s="70"/>
      <c r="K3" s="70"/>
      <c r="L3" s="70"/>
      <c r="M3" s="70"/>
      <c r="N3" s="70"/>
      <c r="O3" s="70"/>
      <c r="P3" s="70"/>
      <c r="Q3" s="70"/>
      <c r="R3" s="70" t="str" cm="1">
        <f t="array" ref="R3">IF(OR(J3:Q3="SI"),"No aceptable","Aceptable")</f>
        <v>Aceptable</v>
      </c>
      <c r="S3" s="70"/>
      <c r="T3" s="70"/>
      <c r="U3" s="70"/>
      <c r="V3" s="70"/>
      <c r="W3" s="70"/>
      <c r="X3" s="71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IF(Inicial!P4="SI",Inicial!E4,"N/A")</f>
        <v>N/A</v>
      </c>
      <c r="F4" s="53" t="str">
        <f>IF(Inicial!P4="SI",Inicial!F4,"N/A")</f>
        <v>N/A</v>
      </c>
      <c r="G4" s="53" t="str">
        <f>IF(Inicial!P4="SI",Inicial!G4,"N/A")</f>
        <v>N/A</v>
      </c>
      <c r="H4" s="53" t="str">
        <f>IF(Inicial!P4="SI",Inicial!H4,"N/A")</f>
        <v>N/A</v>
      </c>
      <c r="I4" s="64" t="str">
        <f>IF(Inicial!P4="SI",Inicial!I4,"N/A")</f>
        <v>N/A</v>
      </c>
      <c r="J4" s="70"/>
      <c r="K4" s="70"/>
      <c r="L4" s="70"/>
      <c r="M4" s="70"/>
      <c r="N4" s="70"/>
      <c r="O4" s="70"/>
      <c r="P4" s="70"/>
      <c r="Q4" s="70"/>
      <c r="R4" s="70" t="str" cm="1">
        <f t="array" ref="R4">IF(OR(J4:Q4="SI"),"No aceptable","Aceptable")</f>
        <v>Aceptable</v>
      </c>
      <c r="S4" s="72"/>
      <c r="T4" s="72"/>
      <c r="U4" s="72"/>
      <c r="V4" s="72"/>
      <c r="W4" s="72"/>
      <c r="X4" s="72"/>
    </row>
    <row r="5" spans="1:46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IF(Inicial!P5="SI",Inicial!E5,"N/A")</f>
        <v>N/A</v>
      </c>
      <c r="F5" s="53" t="str">
        <f>IF(Inicial!P5="SI",Inicial!F5,"N/A")</f>
        <v>N/A</v>
      </c>
      <c r="G5" s="53" t="str">
        <f>IF(Inicial!P5="SI",Inicial!G5,"N/A")</f>
        <v>N/A</v>
      </c>
      <c r="H5" s="53" t="str">
        <f>IF(Inicial!P5="SI",Inicial!H5,"N/A")</f>
        <v>N/A</v>
      </c>
      <c r="I5" s="64" t="str">
        <f>IF(Inicial!P5="SI",Inicial!I5,"N/A")</f>
        <v>N/A</v>
      </c>
      <c r="J5" s="70"/>
      <c r="K5" s="70"/>
      <c r="L5" s="70"/>
      <c r="M5" s="70"/>
      <c r="N5" s="70"/>
      <c r="O5" s="70"/>
      <c r="P5" s="70"/>
      <c r="Q5" s="70"/>
      <c r="R5" s="70" t="str" cm="1">
        <f t="array" ref="R5">IF(OR(J5:Q5="SI"),"No aceptable","Aceptable")</f>
        <v>Aceptable</v>
      </c>
      <c r="S5" s="72"/>
      <c r="T5" s="72"/>
      <c r="U5" s="72"/>
      <c r="V5" s="72"/>
      <c r="W5" s="72"/>
      <c r="X5" s="72"/>
    </row>
    <row r="6" spans="1:46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IF(Inicial!P6="SI",Inicial!E6,"N/A")</f>
        <v>N/A</v>
      </c>
      <c r="F6" s="53" t="str">
        <f>IF(Inicial!P6="SI",Inicial!F6,"N/A")</f>
        <v>N/A</v>
      </c>
      <c r="G6" s="53" t="str">
        <f>IF(Inicial!P6="SI",Inicial!G6,"N/A")</f>
        <v>N/A</v>
      </c>
      <c r="H6" s="53" t="str">
        <f>IF(Inicial!P6="SI",Inicial!H6,"N/A")</f>
        <v>N/A</v>
      </c>
      <c r="I6" s="64" t="str">
        <f>IF(Inicial!P6="SI",Inicial!I6,"N/A")</f>
        <v>N/A</v>
      </c>
      <c r="J6" s="70"/>
      <c r="K6" s="70"/>
      <c r="L6" s="70"/>
      <c r="M6" s="70"/>
      <c r="N6" s="70"/>
      <c r="O6" s="70"/>
      <c r="P6" s="70"/>
      <c r="Q6" s="70"/>
      <c r="R6" s="70" t="str" cm="1">
        <f t="array" ref="R6">IF(OR(J6:Q6="SI"),"No aceptable","Aceptable")</f>
        <v>Aceptable</v>
      </c>
    </row>
    <row r="7" spans="1:46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IF(Inicial!P7="SI",Inicial!E7,"N/A")</f>
        <v>N/A</v>
      </c>
      <c r="F7" s="53" t="str">
        <f>IF(Inicial!P7="SI",Inicial!F7,"N/A")</f>
        <v>N/A</v>
      </c>
      <c r="G7" s="53" t="str">
        <f>IF(Inicial!P7="SI",Inicial!G7,"N/A")</f>
        <v>N/A</v>
      </c>
      <c r="H7" s="53" t="str">
        <f>IF(Inicial!P7="SI",Inicial!H7,"N/A")</f>
        <v>N/A</v>
      </c>
      <c r="I7" s="64" t="str">
        <f>IF(Inicial!P7="SI",Inicial!I7,"N/A")</f>
        <v>N/A</v>
      </c>
      <c r="J7" s="70"/>
      <c r="K7" s="70"/>
      <c r="L7" s="70"/>
      <c r="M7" s="70"/>
      <c r="N7" s="70"/>
      <c r="O7" s="70"/>
      <c r="P7" s="70"/>
      <c r="Q7" s="70"/>
      <c r="R7" s="70" t="str" cm="1">
        <f t="array" ref="R7">IF(OR(J7:Q7="SI"),"No aceptable","Aceptable")</f>
        <v>Aceptable</v>
      </c>
    </row>
    <row r="8" spans="1:46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IF(Inicial!P8="SI",Inicial!E8,"N/A")</f>
        <v>N/A</v>
      </c>
      <c r="F8" s="53" t="str">
        <f>IF(Inicial!P8="SI",Inicial!F8,"N/A")</f>
        <v>N/A</v>
      </c>
      <c r="G8" s="53" t="str">
        <f>IF(Inicial!P8="SI",Inicial!G8,"N/A")</f>
        <v>N/A</v>
      </c>
      <c r="H8" s="53" t="str">
        <f>IF(Inicial!P8="SI",Inicial!H8,"N/A")</f>
        <v>N/A</v>
      </c>
      <c r="I8" s="64" t="str">
        <f>IF(Inicial!P8="SI",Inicial!I8,"N/A")</f>
        <v>N/A</v>
      </c>
      <c r="J8" s="70"/>
      <c r="K8" s="70"/>
      <c r="L8" s="70"/>
      <c r="M8" s="70"/>
      <c r="N8" s="70"/>
      <c r="O8" s="70"/>
      <c r="P8" s="70"/>
      <c r="Q8" s="70"/>
      <c r="R8" s="70" t="str" cm="1">
        <f t="array" ref="R8">IF(OR(J8:Q8="SI"),"No aceptable","Aceptable")</f>
        <v>Aceptable</v>
      </c>
    </row>
    <row r="9" spans="1:46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IF(Inicial!P9="SI",Inicial!E9,"N/A")</f>
        <v>N/A</v>
      </c>
      <c r="F9" s="53" t="str">
        <f>IF(Inicial!P9="SI",Inicial!F9,"N/A")</f>
        <v>N/A</v>
      </c>
      <c r="G9" s="53" t="str">
        <f>IF(Inicial!P9="SI",Inicial!G9,"N/A")</f>
        <v>N/A</v>
      </c>
      <c r="H9" s="53" t="str">
        <f>IF(Inicial!P9="SI",Inicial!H9,"N/A")</f>
        <v>N/A</v>
      </c>
      <c r="I9" s="64" t="str">
        <f>IF(Inicial!P9="SI",Inicial!I9,"N/A")</f>
        <v>N/A</v>
      </c>
      <c r="J9" s="70"/>
      <c r="K9" s="70"/>
      <c r="L9" s="70"/>
      <c r="M9" s="70"/>
      <c r="N9" s="70"/>
      <c r="O9" s="70"/>
      <c r="P9" s="70"/>
      <c r="Q9" s="70"/>
      <c r="R9" s="70" t="str" cm="1">
        <f t="array" ref="R9">IF(OR(J9:Q9="SI"),"No aceptable","Aceptable")</f>
        <v>Aceptable</v>
      </c>
    </row>
    <row r="10" spans="1:46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IF(Inicial!P10="SI",Inicial!E10,"N/A")</f>
        <v>N/A</v>
      </c>
      <c r="F10" s="53" t="str">
        <f>IF(Inicial!P10="SI",Inicial!F10,"N/A")</f>
        <v>N/A</v>
      </c>
      <c r="G10" s="53" t="str">
        <f>IF(Inicial!P10="SI",Inicial!G10,"N/A")</f>
        <v>N/A</v>
      </c>
      <c r="H10" s="53" t="str">
        <f>IF(Inicial!P10="SI",Inicial!H10,"N/A")</f>
        <v>N/A</v>
      </c>
      <c r="I10" s="64" t="str">
        <f>IF(Inicial!P10="SI",Inicial!I10,"N/A")</f>
        <v>N/A</v>
      </c>
      <c r="J10" s="70"/>
      <c r="K10" s="70"/>
      <c r="L10" s="70"/>
      <c r="M10" s="70"/>
      <c r="N10" s="70"/>
      <c r="O10" s="70"/>
      <c r="P10" s="70"/>
      <c r="Q10" s="70"/>
      <c r="R10" s="70" t="str" cm="1">
        <f t="array" ref="R10">IF(OR(J10:Q10="SI"),"No aceptable","Aceptable")</f>
        <v>Aceptable</v>
      </c>
    </row>
    <row r="11" spans="1:46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IF(Inicial!P11="SI",Inicial!E11,"N/A")</f>
        <v>N/A</v>
      </c>
      <c r="F11" s="53" t="str">
        <f>IF(Inicial!P11="SI",Inicial!F11,"N/A")</f>
        <v>N/A</v>
      </c>
      <c r="G11" s="53" t="str">
        <f>IF(Inicial!P11="SI",Inicial!G11,"N/A")</f>
        <v>N/A</v>
      </c>
      <c r="H11" s="53" t="str">
        <f>IF(Inicial!P11="SI",Inicial!H11,"N/A")</f>
        <v>N/A</v>
      </c>
      <c r="I11" s="64" t="str">
        <f>IF(Inicial!P11="SI",Inicial!I11,"N/A")</f>
        <v>N/A</v>
      </c>
      <c r="J11" s="70"/>
      <c r="K11" s="70"/>
      <c r="L11" s="70"/>
      <c r="M11" s="70"/>
      <c r="N11" s="70"/>
      <c r="O11" s="70"/>
      <c r="P11" s="70"/>
      <c r="Q11" s="70"/>
      <c r="R11" s="70" t="str" cm="1">
        <f t="array" ref="R11">IF(OR(J11:Q11="SI"),"No aceptable","Aceptable")</f>
        <v>Aceptable</v>
      </c>
    </row>
    <row r="12" spans="1:46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IF(Inicial!P12="SI",Inicial!E12,"N/A")</f>
        <v>N/A</v>
      </c>
      <c r="F12" s="53" t="str">
        <f>IF(Inicial!P12="SI",Inicial!F12,"N/A")</f>
        <v>N/A</v>
      </c>
      <c r="G12" s="53" t="str">
        <f>IF(Inicial!P12="SI",Inicial!G12,"N/A")</f>
        <v>N/A</v>
      </c>
      <c r="H12" s="53" t="str">
        <f>IF(Inicial!P12="SI",Inicial!H12,"N/A")</f>
        <v>N/A</v>
      </c>
      <c r="I12" s="64" t="str">
        <f>IF(Inicial!P12="SI",Inicial!I12,"N/A")</f>
        <v>N/A</v>
      </c>
      <c r="J12" s="70"/>
      <c r="K12" s="70"/>
      <c r="L12" s="70"/>
      <c r="M12" s="70"/>
      <c r="N12" s="70"/>
      <c r="O12" s="70"/>
      <c r="P12" s="70"/>
      <c r="Q12" s="70"/>
      <c r="R12" s="70" t="str" cm="1">
        <f t="array" ref="R12">IF(OR(J12:Q12="SI"),"No aceptable","Aceptable")</f>
        <v>Aceptable</v>
      </c>
    </row>
    <row r="13" spans="1:46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IF(Inicial!P13="SI",Inicial!E13,"N/A")</f>
        <v>N/A</v>
      </c>
      <c r="F13" s="53" t="str">
        <f>IF(Inicial!P13="SI",Inicial!F13,"N/A")</f>
        <v>N/A</v>
      </c>
      <c r="G13" s="53" t="str">
        <f>IF(Inicial!P13="SI",Inicial!G13,"N/A")</f>
        <v>N/A</v>
      </c>
      <c r="H13" s="53" t="str">
        <f>IF(Inicial!P13="SI",Inicial!H13,"N/A")</f>
        <v>N/A</v>
      </c>
      <c r="I13" s="64" t="str">
        <f>IF(Inicial!P13="SI",Inicial!I13,"N/A")</f>
        <v>N/A</v>
      </c>
      <c r="J13" s="70"/>
      <c r="K13" s="70"/>
      <c r="L13" s="70"/>
      <c r="M13" s="70"/>
      <c r="N13" s="70"/>
      <c r="O13" s="70"/>
      <c r="P13" s="70"/>
      <c r="Q13" s="70"/>
      <c r="R13" s="70" t="str" cm="1">
        <f t="array" ref="R13">IF(OR(J13:Q13="SI"),"No aceptable","Aceptable")</f>
        <v>Aceptable</v>
      </c>
    </row>
    <row r="14" spans="1:46" ht="38.2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IF(Inicial!P14="SI",Inicial!E14,"N/A")</f>
        <v>N/A</v>
      </c>
      <c r="F14" s="53" t="str">
        <f>IF(Inicial!P14="SI",Inicial!F14,"N/A")</f>
        <v>N/A</v>
      </c>
      <c r="G14" s="53" t="str">
        <f>IF(Inicial!P14="SI",Inicial!G14,"N/A")</f>
        <v>N/A</v>
      </c>
      <c r="H14" s="53" t="str">
        <f>IF(Inicial!P14="SI",Inicial!H14,"N/A")</f>
        <v>N/A</v>
      </c>
      <c r="I14" s="64" t="str">
        <f>IF(Inicial!P14="SI",Inicial!I14,"N/A")</f>
        <v>N/A</v>
      </c>
      <c r="J14" s="70"/>
      <c r="K14" s="70"/>
      <c r="L14" s="70"/>
      <c r="M14" s="70"/>
      <c r="N14" s="70"/>
      <c r="O14" s="70"/>
      <c r="P14" s="70"/>
      <c r="Q14" s="70"/>
      <c r="R14" s="70" t="str" cm="1">
        <f t="array" ref="R14">IF(OR(J14:Q14="SI"),"No aceptable","Aceptable")</f>
        <v>Aceptable</v>
      </c>
    </row>
    <row r="15" spans="1:46" ht="38.2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IF(Inicial!P15="SI",Inicial!E15,"N/A")</f>
        <v>N/A</v>
      </c>
      <c r="F15" s="53" t="str">
        <f>IF(Inicial!P15="SI",Inicial!F15,"N/A")</f>
        <v>N/A</v>
      </c>
      <c r="G15" s="53" t="str">
        <f>IF(Inicial!P15="SI",Inicial!G15,"N/A")</f>
        <v>N/A</v>
      </c>
      <c r="H15" s="53" t="str">
        <f>IF(Inicial!P15="SI",Inicial!H15,"N/A")</f>
        <v>N/A</v>
      </c>
      <c r="I15" s="64" t="str">
        <f>IF(Inicial!P15="SI",Inicial!I15,"N/A")</f>
        <v>N/A</v>
      </c>
      <c r="J15" s="70"/>
      <c r="K15" s="70"/>
      <c r="L15" s="70"/>
      <c r="M15" s="70"/>
      <c r="N15" s="70"/>
      <c r="O15" s="70"/>
      <c r="P15" s="70"/>
      <c r="Q15" s="70"/>
      <c r="R15" s="70" t="str" cm="1">
        <f t="array" ref="R15">IF(OR(J15:Q15="SI"),"No aceptable","Aceptable")</f>
        <v>Aceptable</v>
      </c>
    </row>
    <row r="16" spans="1:46" ht="38.2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IF(Inicial!P16="SI",Inicial!E16,"N/A")</f>
        <v>N/A</v>
      </c>
      <c r="F16" s="53" t="str">
        <f>IF(Inicial!P16="SI",Inicial!F16,"N/A")</f>
        <v>N/A</v>
      </c>
      <c r="G16" s="53" t="str">
        <f>IF(Inicial!P16="SI",Inicial!G16,"N/A")</f>
        <v>N/A</v>
      </c>
      <c r="H16" s="53" t="str">
        <f>IF(Inicial!P16="SI",Inicial!H16,"N/A")</f>
        <v>N/A</v>
      </c>
      <c r="I16" s="64" t="str">
        <f>IF(Inicial!P16="SI",Inicial!I16,"N/A")</f>
        <v>N/A</v>
      </c>
      <c r="J16" s="70"/>
      <c r="K16" s="70"/>
      <c r="L16" s="70"/>
      <c r="M16" s="70"/>
      <c r="N16" s="70"/>
      <c r="O16" s="70"/>
      <c r="P16" s="70"/>
      <c r="Q16" s="70"/>
      <c r="R16" s="70" t="str" cm="1">
        <f t="array" ref="R16">IF(OR(J16:Q16="SI"),"No aceptable","Aceptable")</f>
        <v>Aceptable</v>
      </c>
    </row>
    <row r="17" spans="1:18" ht="38.2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IF(Inicial!P17="SI",Inicial!E17,"N/A")</f>
        <v>N/A</v>
      </c>
      <c r="F17" s="53" t="str">
        <f>IF(Inicial!P17="SI",Inicial!F17,"N/A")</f>
        <v>N/A</v>
      </c>
      <c r="G17" s="53" t="str">
        <f>IF(Inicial!P17="SI",Inicial!G17,"N/A")</f>
        <v>N/A</v>
      </c>
      <c r="H17" s="53" t="str">
        <f>IF(Inicial!P17="SI",Inicial!H17,"N/A")</f>
        <v>N/A</v>
      </c>
      <c r="I17" s="64" t="str">
        <f>IF(Inicial!P17="SI",Inicial!I17,"N/A")</f>
        <v>N/A</v>
      </c>
      <c r="J17" s="70"/>
      <c r="K17" s="70"/>
      <c r="L17" s="70"/>
      <c r="M17" s="70"/>
      <c r="N17" s="70"/>
      <c r="O17" s="70"/>
      <c r="P17" s="70"/>
      <c r="Q17" s="70"/>
      <c r="R17" s="70" t="str" cm="1">
        <f t="array" ref="R17">IF(OR(J17:Q17="SI"),"No aceptable","Aceptable")</f>
        <v>Aceptable</v>
      </c>
    </row>
    <row r="18" spans="1:18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IF(Inicial!P18="SI",Inicial!E18,"N/A")</f>
        <v>N/A</v>
      </c>
      <c r="F18" s="53" t="str">
        <f>IF(Inicial!P18="SI",Inicial!F18,"N/A")</f>
        <v>N/A</v>
      </c>
      <c r="G18" s="53" t="str">
        <f>IF(Inicial!P18="SI",Inicial!G18,"N/A")</f>
        <v>N/A</v>
      </c>
      <c r="H18" s="53" t="str">
        <f>IF(Inicial!P18="SI",Inicial!H18,"N/A")</f>
        <v>N/A</v>
      </c>
      <c r="I18" s="64" t="str">
        <f>IF(Inicial!P18="SI",Inicial!I18,"N/A")</f>
        <v>N/A</v>
      </c>
      <c r="J18" s="70"/>
      <c r="K18" s="70"/>
      <c r="L18" s="70"/>
      <c r="M18" s="70"/>
      <c r="N18" s="70"/>
      <c r="O18" s="70"/>
      <c r="P18" s="70"/>
      <c r="Q18" s="70"/>
      <c r="R18" s="70" t="str" cm="1">
        <f t="array" ref="R18">IF(OR(J18:Q18="SI"),"No aceptable","Aceptable")</f>
        <v>Aceptable</v>
      </c>
    </row>
    <row r="19" spans="1:18" ht="38.2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IF(Inicial!P19="SI",Inicial!E19,"N/A")</f>
        <v>N/A</v>
      </c>
      <c r="F19" s="53" t="str">
        <f>IF(Inicial!P19="SI",Inicial!F19,"N/A")</f>
        <v>N/A</v>
      </c>
      <c r="G19" s="53" t="str">
        <f>IF(Inicial!P19="SI",Inicial!G19,"N/A")</f>
        <v>N/A</v>
      </c>
      <c r="H19" s="53" t="str">
        <f>IF(Inicial!P19="SI",Inicial!H19,"N/A")</f>
        <v>N/A</v>
      </c>
      <c r="I19" s="64" t="str">
        <f>IF(Inicial!P19="SI",Inicial!I19,"N/A")</f>
        <v>N/A</v>
      </c>
      <c r="J19" s="70"/>
      <c r="K19" s="70"/>
      <c r="L19" s="70"/>
      <c r="M19" s="70"/>
      <c r="N19" s="70"/>
      <c r="O19" s="70"/>
      <c r="P19" s="70"/>
      <c r="Q19" s="70"/>
      <c r="R19" s="70" t="str" cm="1">
        <f t="array" ref="R19">IF(OR(J19:Q19="SI"),"No aceptable","Aceptable")</f>
        <v>Aceptable</v>
      </c>
    </row>
    <row r="20" spans="1:18" ht="38.2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IF(Inicial!P20="SI",Inicial!E20,"N/A")</f>
        <v>N/A</v>
      </c>
      <c r="F20" s="53" t="str">
        <f>IF(Inicial!P20="SI",Inicial!F20,"N/A")</f>
        <v>N/A</v>
      </c>
      <c r="G20" s="53" t="str">
        <f>IF(Inicial!P20="SI",Inicial!G20,"N/A")</f>
        <v>N/A</v>
      </c>
      <c r="H20" s="53" t="str">
        <f>IF(Inicial!P20="SI",Inicial!H20,"N/A")</f>
        <v>N/A</v>
      </c>
      <c r="I20" s="64" t="str">
        <f>IF(Inicial!P20="SI",Inicial!I20,"N/A")</f>
        <v>N/A</v>
      </c>
      <c r="J20" s="70"/>
      <c r="K20" s="70"/>
      <c r="L20" s="70"/>
      <c r="M20" s="70"/>
      <c r="N20" s="70"/>
      <c r="O20" s="70"/>
      <c r="P20" s="70"/>
      <c r="Q20" s="70"/>
      <c r="R20" s="70" t="str" cm="1">
        <f t="array" ref="R20">IF(OR(J20:Q20="SI"),"No aceptable","Aceptable")</f>
        <v>Aceptable</v>
      </c>
    </row>
    <row r="21" spans="1:18" ht="38.2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IF(Inicial!P21="SI",Inicial!E21,"N/A")</f>
        <v>N/A</v>
      </c>
      <c r="F21" s="53" t="str">
        <f>IF(Inicial!P21="SI",Inicial!F21,"N/A")</f>
        <v>N/A</v>
      </c>
      <c r="G21" s="53" t="str">
        <f>IF(Inicial!P21="SI",Inicial!G21,"N/A")</f>
        <v>N/A</v>
      </c>
      <c r="H21" s="53" t="str">
        <f>IF(Inicial!P21="SI",Inicial!H21,"N/A")</f>
        <v>N/A</v>
      </c>
      <c r="I21" s="64" t="str">
        <f>IF(Inicial!P21="SI",Inicial!I21,"N/A")</f>
        <v>N/A</v>
      </c>
      <c r="J21" s="70"/>
      <c r="K21" s="70"/>
      <c r="L21" s="70"/>
      <c r="M21" s="70"/>
      <c r="N21" s="70"/>
      <c r="O21" s="70"/>
      <c r="P21" s="70"/>
      <c r="Q21" s="70"/>
      <c r="R21" s="70" t="str" cm="1">
        <f t="array" ref="R21">IF(OR(J21:Q21="SI"),"No aceptable","Aceptable")</f>
        <v>Aceptable</v>
      </c>
    </row>
    <row r="22" spans="1:18" ht="38.2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IF(Inicial!P22="SI",Inicial!E22,"N/A")</f>
        <v>N/A</v>
      </c>
      <c r="F22" s="53" t="str">
        <f>IF(Inicial!P22="SI",Inicial!F22,"N/A")</f>
        <v>N/A</v>
      </c>
      <c r="G22" s="53" t="str">
        <f>IF(Inicial!P22="SI",Inicial!G22,"N/A")</f>
        <v>N/A</v>
      </c>
      <c r="H22" s="53" t="str">
        <f>IF(Inicial!P22="SI",Inicial!H22,"N/A")</f>
        <v>N/A</v>
      </c>
      <c r="I22" s="64" t="str">
        <f>IF(Inicial!P22="SI",Inicial!I22,"N/A")</f>
        <v>N/A</v>
      </c>
      <c r="J22" s="70"/>
      <c r="K22" s="70"/>
      <c r="L22" s="70"/>
      <c r="M22" s="70"/>
      <c r="N22" s="70"/>
      <c r="O22" s="70"/>
      <c r="P22" s="70"/>
      <c r="Q22" s="70"/>
      <c r="R22" s="70"/>
    </row>
    <row r="23" spans="1:18" ht="38.2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IF(Inicial!P23="SI",Inicial!E23,"N/A")</f>
        <v>N/A</v>
      </c>
      <c r="F23" s="53" t="str">
        <f>IF(Inicial!P23="SI",Inicial!F23,"N/A")</f>
        <v>N/A</v>
      </c>
      <c r="G23" s="53" t="str">
        <f>IF(Inicial!P23="SI",Inicial!G23,"N/A")</f>
        <v>N/A</v>
      </c>
      <c r="H23" s="53" t="str">
        <f>IF(Inicial!P23="SI",Inicial!H23,"N/A")</f>
        <v>N/A</v>
      </c>
      <c r="I23" s="64" t="str">
        <f>IF(Inicial!P23="SI",Inicial!I23,"N/A")</f>
        <v>N/A</v>
      </c>
      <c r="J23" s="70"/>
      <c r="K23" s="70"/>
      <c r="L23" s="70"/>
      <c r="M23" s="70"/>
      <c r="N23" s="70"/>
      <c r="O23" s="70"/>
      <c r="P23" s="70"/>
      <c r="Q23" s="70"/>
      <c r="R23" s="70"/>
    </row>
    <row r="24" spans="1:18" ht="38.2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IF(Inicial!P24="SI",Inicial!E24,"N/A")</f>
        <v>N/A</v>
      </c>
      <c r="F24" s="53" t="str">
        <f>IF(Inicial!P24="SI",Inicial!F24,"N/A")</f>
        <v>N/A</v>
      </c>
      <c r="G24" s="53" t="str">
        <f>IF(Inicial!P24="SI",Inicial!G24,"N/A")</f>
        <v>N/A</v>
      </c>
      <c r="H24" s="53" t="str">
        <f>IF(Inicial!P24="SI",Inicial!H24,"N/A")</f>
        <v>N/A</v>
      </c>
      <c r="I24" s="64" t="str">
        <f>IF(Inicial!P24="SI",Inicial!I24,"N/A")</f>
        <v>N/A</v>
      </c>
      <c r="J24" s="70"/>
      <c r="K24" s="70"/>
      <c r="L24" s="70"/>
      <c r="M24" s="70"/>
      <c r="N24" s="70"/>
      <c r="O24" s="70"/>
      <c r="P24" s="70"/>
      <c r="Q24" s="70"/>
      <c r="R24" s="70"/>
    </row>
    <row r="25" spans="1:18" ht="38.2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IF(Inicial!P25="SI",Inicial!E25,"N/A")</f>
        <v>N/A</v>
      </c>
      <c r="F25" s="53" t="str">
        <f>IF(Inicial!P25="SI",Inicial!F25,"N/A")</f>
        <v>N/A</v>
      </c>
      <c r="G25" s="53" t="str">
        <f>IF(Inicial!P25="SI",Inicial!G25,"N/A")</f>
        <v>N/A</v>
      </c>
      <c r="H25" s="53" t="str">
        <f>IF(Inicial!P25="SI",Inicial!H25,"N/A")</f>
        <v>N/A</v>
      </c>
      <c r="I25" s="64" t="str">
        <f>IF(Inicial!P25="SI",Inicial!I25,"N/A")</f>
        <v>N/A</v>
      </c>
      <c r="J25" s="70"/>
      <c r="K25" s="70"/>
      <c r="L25" s="70"/>
      <c r="M25" s="70"/>
      <c r="N25" s="70"/>
      <c r="O25" s="70"/>
      <c r="P25" s="70"/>
      <c r="Q25" s="70"/>
      <c r="R25" s="70"/>
    </row>
    <row r="26" spans="1:18" ht="38.2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IF(Inicial!P26="SI",Inicial!E26,"N/A")</f>
        <v>N/A</v>
      </c>
      <c r="F26" s="53" t="str">
        <f>IF(Inicial!P26="SI",Inicial!F26,"N/A")</f>
        <v>N/A</v>
      </c>
      <c r="G26" s="53" t="str">
        <f>IF(Inicial!P26="SI",Inicial!G26,"N/A")</f>
        <v>N/A</v>
      </c>
      <c r="H26" s="53" t="str">
        <f>IF(Inicial!P26="SI",Inicial!H26,"N/A")</f>
        <v>N/A</v>
      </c>
      <c r="I26" s="64" t="str">
        <f>IF(Inicial!P26="SI",Inicial!I26,"N/A")</f>
        <v>N/A</v>
      </c>
      <c r="J26" s="70"/>
      <c r="K26" s="70"/>
      <c r="L26" s="70"/>
      <c r="M26" s="70"/>
      <c r="N26" s="70"/>
      <c r="O26" s="70"/>
      <c r="P26" s="70"/>
      <c r="Q26" s="70"/>
      <c r="R26" s="70"/>
    </row>
    <row r="27" spans="1:18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IF(Inicial!P27="SI",Inicial!E27,"N/A")</f>
        <v>N/A</v>
      </c>
      <c r="F27" s="53" t="str">
        <f>IF(Inicial!P27="SI",Inicial!F27,"N/A")</f>
        <v>N/A</v>
      </c>
      <c r="G27" s="53" t="str">
        <f>IF(Inicial!P27="SI",Inicial!G27,"N/A")</f>
        <v>N/A</v>
      </c>
      <c r="H27" s="53" t="str">
        <f>IF(Inicial!P27="SI",Inicial!H27,"N/A")</f>
        <v>N/A</v>
      </c>
      <c r="I27" s="64" t="str">
        <f>IF(Inicial!P27="SI",Inicial!I27,"N/A")</f>
        <v>N/A</v>
      </c>
      <c r="J27" s="70"/>
      <c r="K27" s="70"/>
      <c r="L27" s="70"/>
      <c r="M27" s="70"/>
      <c r="N27" s="70"/>
      <c r="O27" s="70"/>
      <c r="P27" s="70"/>
      <c r="Q27" s="70"/>
      <c r="R27" s="70"/>
    </row>
    <row r="28" spans="1:18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IF(Inicial!P28="SI",Inicial!E28,"N/A")</f>
        <v>N/A</v>
      </c>
      <c r="F28" s="53" t="str">
        <f>IF(Inicial!P28="SI",Inicial!F28,"N/A")</f>
        <v>N/A</v>
      </c>
      <c r="G28" s="53" t="str">
        <f>IF(Inicial!P28="SI",Inicial!G28,"N/A")</f>
        <v>N/A</v>
      </c>
      <c r="H28" s="53" t="str">
        <f>IF(Inicial!P28="SI",Inicial!H28,"N/A")</f>
        <v>N/A</v>
      </c>
      <c r="I28" s="64" t="str">
        <f>IF(Inicial!P28="SI",Inicial!I28,"N/A")</f>
        <v>N/A</v>
      </c>
      <c r="J28" s="70"/>
      <c r="K28" s="70"/>
      <c r="L28" s="70"/>
      <c r="M28" s="70"/>
      <c r="N28" s="70"/>
      <c r="O28" s="70"/>
      <c r="P28" s="70"/>
      <c r="Q28" s="70"/>
      <c r="R28" s="70"/>
    </row>
    <row r="29" spans="1:18" ht="51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IF(Inicial!P29="SI",Inicial!E29,"N/A")</f>
        <v>06:30 14:50 / 17:30 a 02:50</v>
      </c>
      <c r="F29" s="53">
        <f>IF(Inicial!P29="SI",Inicial!F29,"N/A")</f>
        <v>1</v>
      </c>
      <c r="G29" s="53">
        <f>IF(Inicial!P29="SI",Inicial!G29,"N/A")</f>
        <v>6</v>
      </c>
      <c r="H29" s="53">
        <f>IF(Inicial!P29="SI",Inicial!H29,"N/A")</f>
        <v>24</v>
      </c>
      <c r="I29" s="64">
        <f>IF(Inicial!P29="SI",Inicial!I29,"N/A")</f>
        <v>3</v>
      </c>
      <c r="J29" s="70"/>
      <c r="K29" s="70"/>
      <c r="L29" s="70"/>
      <c r="M29" s="70"/>
      <c r="N29" s="70"/>
      <c r="O29" s="70"/>
      <c r="P29" s="70"/>
      <c r="Q29" s="70"/>
      <c r="R29" s="70"/>
    </row>
    <row r="30" spans="1:18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IF(Inicial!P30="SI",Inicial!E30,"N/A")</f>
        <v>N/A</v>
      </c>
      <c r="F30" s="53" t="str">
        <f>IF(Inicial!P30="SI",Inicial!F30,"N/A")</f>
        <v>N/A</v>
      </c>
      <c r="G30" s="53" t="str">
        <f>IF(Inicial!P30="SI",Inicial!G30,"N/A")</f>
        <v>N/A</v>
      </c>
      <c r="H30" s="53" t="str">
        <f>IF(Inicial!P30="SI",Inicial!H30,"N/A")</f>
        <v>N/A</v>
      </c>
      <c r="I30" s="64" t="str">
        <f>IF(Inicial!P30="SI",Inicial!I30,"N/A")</f>
        <v>N/A</v>
      </c>
      <c r="J30" s="70"/>
      <c r="K30" s="70"/>
      <c r="L30" s="70"/>
      <c r="M30" s="70"/>
      <c r="N30" s="70"/>
      <c r="O30" s="70"/>
      <c r="P30" s="70"/>
      <c r="Q30" s="70"/>
      <c r="R30" s="70"/>
    </row>
    <row r="31" spans="1:18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IF(Inicial!P31="SI",Inicial!E31,"N/A")</f>
        <v>N/A</v>
      </c>
      <c r="F31" s="53" t="str">
        <f>IF(Inicial!P31="SI",Inicial!F31,"N/A")</f>
        <v>N/A</v>
      </c>
      <c r="G31" s="53" t="str">
        <f>IF(Inicial!P31="SI",Inicial!G31,"N/A")</f>
        <v>N/A</v>
      </c>
      <c r="H31" s="53" t="str">
        <f>IF(Inicial!P31="SI",Inicial!H31,"N/A")</f>
        <v>N/A</v>
      </c>
      <c r="I31" s="64" t="str">
        <f>IF(Inicial!P31="SI",Inicial!I31,"N/A")</f>
        <v>N/A</v>
      </c>
      <c r="J31" s="70"/>
      <c r="K31" s="70"/>
      <c r="L31" s="70"/>
      <c r="M31" s="70"/>
      <c r="N31" s="70"/>
      <c r="O31" s="70"/>
      <c r="P31" s="70"/>
      <c r="Q31" s="70"/>
      <c r="R31" s="70"/>
    </row>
    <row r="32" spans="1:18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IF(Inicial!P32="SI",Inicial!E32,"N/A")</f>
        <v>N/A</v>
      </c>
      <c r="F32" s="53" t="str">
        <f>IF(Inicial!P32="SI",Inicial!F32,"N/A")</f>
        <v>N/A</v>
      </c>
      <c r="G32" s="53" t="str">
        <f>IF(Inicial!P32="SI",Inicial!G32,"N/A")</f>
        <v>N/A</v>
      </c>
      <c r="H32" s="53" t="str">
        <f>IF(Inicial!P32="SI",Inicial!H32,"N/A")</f>
        <v>N/A</v>
      </c>
      <c r="I32" s="64" t="str">
        <f>IF(Inicial!P32="SI",Inicial!I32,"N/A")</f>
        <v>N/A</v>
      </c>
      <c r="J32" s="70"/>
      <c r="K32" s="70"/>
      <c r="L32" s="70"/>
      <c r="M32" s="70"/>
      <c r="N32" s="70"/>
      <c r="O32" s="70"/>
      <c r="P32" s="70"/>
      <c r="Q32" s="70"/>
      <c r="R32" s="70"/>
    </row>
    <row r="33" spans="1:18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IF(Inicial!P33="SI",Inicial!E33,"N/A")</f>
        <v>N/A</v>
      </c>
      <c r="F33" s="53" t="str">
        <f>IF(Inicial!P33="SI",Inicial!F33,"N/A")</f>
        <v>N/A</v>
      </c>
      <c r="G33" s="53" t="str">
        <f>IF(Inicial!P33="SI",Inicial!G33,"N/A")</f>
        <v>N/A</v>
      </c>
      <c r="H33" s="53" t="str">
        <f>IF(Inicial!P33="SI",Inicial!H33,"N/A")</f>
        <v>N/A</v>
      </c>
      <c r="I33" s="64" t="str">
        <f>IF(Inicial!P33="SI",Inicial!I33,"N/A")</f>
        <v>N/A</v>
      </c>
      <c r="J33" s="70"/>
      <c r="K33" s="70"/>
      <c r="L33" s="70"/>
      <c r="M33" s="70"/>
      <c r="N33" s="70"/>
      <c r="O33" s="70"/>
      <c r="P33" s="70"/>
      <c r="Q33" s="70"/>
      <c r="R33" s="70"/>
    </row>
    <row r="34" spans="1:18" ht="51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IF(Inicial!P34="SI",Inicial!E34,"N/A")</f>
        <v>06:30 14:50 / 17:30 a 02:50</v>
      </c>
      <c r="F34" s="53">
        <f>IF(Inicial!P34="SI",Inicial!F34,"N/A")</f>
        <v>1</v>
      </c>
      <c r="G34" s="53">
        <f>IF(Inicial!P34="SI",Inicial!G34,"N/A")</f>
        <v>6</v>
      </c>
      <c r="H34" s="53">
        <f>IF(Inicial!P34="SI",Inicial!H34,"N/A")</f>
        <v>24</v>
      </c>
      <c r="I34" s="64">
        <f>IF(Inicial!P34="SI",Inicial!I34,"N/A")</f>
        <v>3</v>
      </c>
      <c r="J34" s="70"/>
      <c r="K34" s="70"/>
      <c r="L34" s="70"/>
      <c r="M34" s="70"/>
      <c r="N34" s="70"/>
      <c r="O34" s="70"/>
      <c r="P34" s="70"/>
      <c r="Q34" s="70"/>
      <c r="R34" s="70"/>
    </row>
    <row r="35" spans="1:18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IF(Inicial!P35="SI",Inicial!E35,"N/A")</f>
        <v>N/A</v>
      </c>
      <c r="F35" s="53" t="str">
        <f>IF(Inicial!P35="SI",Inicial!F35,"N/A")</f>
        <v>N/A</v>
      </c>
      <c r="G35" s="53" t="str">
        <f>IF(Inicial!P35="SI",Inicial!G35,"N/A")</f>
        <v>N/A</v>
      </c>
      <c r="H35" s="53" t="str">
        <f>IF(Inicial!P35="SI",Inicial!H35,"N/A")</f>
        <v>N/A</v>
      </c>
      <c r="I35" s="64" t="str">
        <f>IF(Inicial!P35="SI",Inicial!I35,"N/A")</f>
        <v>N/A</v>
      </c>
      <c r="J35" s="70"/>
      <c r="K35" s="70"/>
      <c r="L35" s="70"/>
      <c r="M35" s="70"/>
      <c r="N35" s="70"/>
      <c r="O35" s="70"/>
      <c r="P35" s="70"/>
      <c r="Q35" s="70"/>
      <c r="R35" s="70"/>
    </row>
    <row r="36" spans="1:18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IF(Inicial!P36="SI",Inicial!E36,"N/A")</f>
        <v>N/A</v>
      </c>
      <c r="F36" s="53" t="str">
        <f>IF(Inicial!P36="SI",Inicial!F36,"N/A")</f>
        <v>N/A</v>
      </c>
      <c r="G36" s="53" t="str">
        <f>IF(Inicial!P36="SI",Inicial!G36,"N/A")</f>
        <v>N/A</v>
      </c>
      <c r="H36" s="53" t="str">
        <f>IF(Inicial!P36="SI",Inicial!H36,"N/A")</f>
        <v>N/A</v>
      </c>
      <c r="I36" s="64" t="str">
        <f>IF(Inicial!P36="SI",Inicial!I36,"N/A")</f>
        <v>N/A</v>
      </c>
      <c r="J36" s="70"/>
      <c r="K36" s="70"/>
      <c r="L36" s="70"/>
      <c r="M36" s="70"/>
      <c r="N36" s="70"/>
      <c r="O36" s="70"/>
      <c r="P36" s="70"/>
      <c r="Q36" s="70"/>
      <c r="R36" s="70"/>
    </row>
    <row r="37" spans="1:18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IF(Inicial!P37="SI",Inicial!E37,"N/A")</f>
        <v>N/A</v>
      </c>
      <c r="F37" s="53" t="str">
        <f>IF(Inicial!P37="SI",Inicial!F37,"N/A")</f>
        <v>N/A</v>
      </c>
      <c r="G37" s="53" t="str">
        <f>IF(Inicial!P37="SI",Inicial!G37,"N/A")</f>
        <v>N/A</v>
      </c>
      <c r="H37" s="53" t="str">
        <f>IF(Inicial!P37="SI",Inicial!H37,"N/A")</f>
        <v>N/A</v>
      </c>
      <c r="I37" s="64" t="str">
        <f>IF(Inicial!P37="SI",Inicial!I37,"N/A")</f>
        <v>N/A</v>
      </c>
      <c r="J37" s="70"/>
      <c r="K37" s="70"/>
      <c r="L37" s="70"/>
      <c r="M37" s="70"/>
      <c r="N37" s="70"/>
      <c r="O37" s="70"/>
      <c r="P37" s="70"/>
      <c r="Q37" s="70"/>
      <c r="R37" s="70"/>
    </row>
    <row r="38" spans="1:18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IF(Inicial!P38="SI",Inicial!E38,"N/A")</f>
        <v>N/A</v>
      </c>
      <c r="F38" s="53" t="str">
        <f>IF(Inicial!P38="SI",Inicial!F38,"N/A")</f>
        <v>N/A</v>
      </c>
      <c r="G38" s="53" t="str">
        <f>IF(Inicial!P38="SI",Inicial!G38,"N/A")</f>
        <v>N/A</v>
      </c>
      <c r="H38" s="53" t="str">
        <f>IF(Inicial!P38="SI",Inicial!H38,"N/A")</f>
        <v>N/A</v>
      </c>
      <c r="I38" s="64" t="str">
        <f>IF(Inicial!P38="SI",Inicial!I38,"N/A")</f>
        <v>N/A</v>
      </c>
      <c r="J38" s="70"/>
      <c r="K38" s="70"/>
      <c r="L38" s="70"/>
      <c r="M38" s="70"/>
      <c r="N38" s="70"/>
      <c r="O38" s="70"/>
      <c r="P38" s="70"/>
      <c r="Q38" s="70"/>
      <c r="R38" s="70"/>
    </row>
    <row r="39" spans="1:18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IF(Inicial!P39="SI",Inicial!E39,"N/A")</f>
        <v>N/A</v>
      </c>
      <c r="F39" s="53" t="str">
        <f>IF(Inicial!P39="SI",Inicial!F39,"N/A")</f>
        <v>N/A</v>
      </c>
      <c r="G39" s="53" t="str">
        <f>IF(Inicial!P39="SI",Inicial!G39,"N/A")</f>
        <v>N/A</v>
      </c>
      <c r="H39" s="53" t="str">
        <f>IF(Inicial!P39="SI",Inicial!H39,"N/A")</f>
        <v>N/A</v>
      </c>
      <c r="I39" s="64" t="str">
        <f>IF(Inicial!P39="SI",Inicial!I39,"N/A")</f>
        <v>N/A</v>
      </c>
      <c r="J39" s="70"/>
      <c r="K39" s="70"/>
      <c r="L39" s="70"/>
      <c r="M39" s="70"/>
      <c r="N39" s="70"/>
      <c r="O39" s="70"/>
      <c r="P39" s="70"/>
      <c r="Q39" s="70"/>
      <c r="R39" s="70"/>
    </row>
    <row r="40" spans="1:18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IF(Inicial!P40="SI",Inicial!E40,"N/A")</f>
        <v>N/A</v>
      </c>
      <c r="F40" s="53" t="str">
        <f>IF(Inicial!P40="SI",Inicial!F40,"N/A")</f>
        <v>N/A</v>
      </c>
      <c r="G40" s="53" t="str">
        <f>IF(Inicial!P40="SI",Inicial!G40,"N/A")</f>
        <v>N/A</v>
      </c>
      <c r="H40" s="53" t="str">
        <f>IF(Inicial!P40="SI",Inicial!H40,"N/A")</f>
        <v>N/A</v>
      </c>
      <c r="I40" s="64" t="str">
        <f>IF(Inicial!P40="SI",Inicial!I40,"N/A")</f>
        <v>N/A</v>
      </c>
      <c r="J40" s="70"/>
      <c r="K40" s="70"/>
      <c r="L40" s="70"/>
      <c r="M40" s="70"/>
      <c r="N40" s="70"/>
      <c r="O40" s="70"/>
      <c r="P40" s="70"/>
      <c r="Q40" s="70"/>
      <c r="R40" s="70"/>
    </row>
    <row r="41" spans="1:18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IF(Inicial!P41="SI",Inicial!E41,"N/A")</f>
        <v>N/A</v>
      </c>
      <c r="F41" s="53" t="str">
        <f>IF(Inicial!P41="SI",Inicial!F41,"N/A")</f>
        <v>N/A</v>
      </c>
      <c r="G41" s="53" t="str">
        <f>IF(Inicial!P41="SI",Inicial!G41,"N/A")</f>
        <v>N/A</v>
      </c>
      <c r="H41" s="53" t="str">
        <f>IF(Inicial!P41="SI",Inicial!H41,"N/A")</f>
        <v>N/A</v>
      </c>
      <c r="I41" s="64" t="str">
        <f>IF(Inicial!P41="SI",Inicial!I41,"N/A")</f>
        <v>N/A</v>
      </c>
      <c r="J41" s="70"/>
      <c r="K41" s="70"/>
      <c r="L41" s="70"/>
      <c r="M41" s="70"/>
      <c r="N41" s="70"/>
      <c r="O41" s="70"/>
      <c r="P41" s="70"/>
      <c r="Q41" s="70"/>
      <c r="R41" s="70"/>
    </row>
    <row r="42" spans="1:18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IF(Inicial!P42="SI",Inicial!E42,"N/A")</f>
        <v>N/A</v>
      </c>
      <c r="F42" s="53" t="str">
        <f>IF(Inicial!P42="SI",Inicial!F42,"N/A")</f>
        <v>N/A</v>
      </c>
      <c r="G42" s="53" t="str">
        <f>IF(Inicial!P42="SI",Inicial!G42,"N/A")</f>
        <v>N/A</v>
      </c>
      <c r="H42" s="53" t="str">
        <f>IF(Inicial!P42="SI",Inicial!H42,"N/A")</f>
        <v>N/A</v>
      </c>
      <c r="I42" s="64" t="str">
        <f>IF(Inicial!P42="SI",Inicial!I42,"N/A")</f>
        <v>N/A</v>
      </c>
      <c r="J42" s="70"/>
      <c r="K42" s="70"/>
      <c r="L42" s="70"/>
      <c r="M42" s="70"/>
      <c r="N42" s="70"/>
      <c r="O42" s="70"/>
      <c r="P42" s="70"/>
      <c r="Q42" s="70"/>
    </row>
    <row r="43" spans="1:18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IF(Inicial!P43="SI",Inicial!E43,"N/A")</f>
        <v>N/A</v>
      </c>
      <c r="F43" s="53" t="str">
        <f>IF(Inicial!P43="SI",Inicial!F43,"N/A")</f>
        <v>N/A</v>
      </c>
      <c r="G43" s="53" t="str">
        <f>IF(Inicial!P43="SI",Inicial!G43,"N/A")</f>
        <v>N/A</v>
      </c>
      <c r="H43" s="53" t="str">
        <f>IF(Inicial!P43="SI",Inicial!H43,"N/A")</f>
        <v>N/A</v>
      </c>
      <c r="I43" s="64" t="str">
        <f>IF(Inicial!P43="SI",Inicial!I43,"N/A")</f>
        <v>N/A</v>
      </c>
      <c r="J43" s="70"/>
      <c r="K43" s="70"/>
      <c r="L43" s="70"/>
      <c r="M43" s="70"/>
      <c r="N43" s="70"/>
      <c r="O43" s="70"/>
      <c r="P43" s="70"/>
      <c r="Q43" s="70"/>
    </row>
    <row r="44" spans="1:18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IF(Inicial!P44="SI",Inicial!E44,"N/A")</f>
        <v>N/A</v>
      </c>
      <c r="F44" s="53" t="str">
        <f>IF(Inicial!P44="SI",Inicial!F44,"N/A")</f>
        <v>N/A</v>
      </c>
      <c r="G44" s="53" t="str">
        <f>IF(Inicial!P44="SI",Inicial!G44,"N/A")</f>
        <v>N/A</v>
      </c>
      <c r="H44" s="53" t="str">
        <f>IF(Inicial!P44="SI",Inicial!H44,"N/A")</f>
        <v>N/A</v>
      </c>
      <c r="I44" s="64" t="str">
        <f>IF(Inicial!P44="SI",Inicial!I44,"N/A")</f>
        <v>N/A</v>
      </c>
      <c r="J44" s="70"/>
      <c r="K44" s="70"/>
      <c r="L44" s="70"/>
      <c r="M44" s="70"/>
      <c r="N44" s="70"/>
      <c r="O44" s="70"/>
      <c r="P44" s="70"/>
      <c r="Q44" s="70"/>
    </row>
    <row r="45" spans="1:18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IF(Inicial!P45="SI",Inicial!E45,"N/A")</f>
        <v>N/A</v>
      </c>
      <c r="F45" s="53" t="str">
        <f>IF(Inicial!P45="SI",Inicial!F45,"N/A")</f>
        <v>N/A</v>
      </c>
      <c r="G45" s="53" t="str">
        <f>IF(Inicial!P45="SI",Inicial!G45,"N/A")</f>
        <v>N/A</v>
      </c>
      <c r="H45" s="53" t="str">
        <f>IF(Inicial!P45="SI",Inicial!H45,"N/A")</f>
        <v>N/A</v>
      </c>
      <c r="I45" s="64" t="str">
        <f>IF(Inicial!P45="SI",Inicial!I45,"N/A")</f>
        <v>N/A</v>
      </c>
      <c r="J45" s="70"/>
      <c r="K45" s="70"/>
      <c r="L45" s="70"/>
      <c r="M45" s="70"/>
      <c r="N45" s="70"/>
      <c r="O45" s="70"/>
      <c r="P45" s="70"/>
      <c r="Q45" s="70"/>
    </row>
    <row r="46" spans="1:18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IF(Inicial!P46="SI",Inicial!E46,"N/A")</f>
        <v>N/A</v>
      </c>
      <c r="F46" s="53" t="str">
        <f>IF(Inicial!P46="SI",Inicial!F46,"N/A")</f>
        <v>N/A</v>
      </c>
      <c r="G46" s="53" t="str">
        <f>IF(Inicial!P46="SI",Inicial!G46,"N/A")</f>
        <v>N/A</v>
      </c>
      <c r="H46" s="53" t="str">
        <f>IF(Inicial!P46="SI",Inicial!H46,"N/A")</f>
        <v>N/A</v>
      </c>
      <c r="I46" s="64" t="str">
        <f>IF(Inicial!P46="SI",Inicial!I46,"N/A")</f>
        <v>N/A</v>
      </c>
      <c r="J46" s="70"/>
      <c r="K46" s="70"/>
      <c r="L46" s="70"/>
      <c r="M46" s="70"/>
      <c r="N46" s="70"/>
      <c r="O46" s="70"/>
      <c r="P46" s="70"/>
      <c r="Q46" s="70"/>
    </row>
    <row r="47" spans="1:18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IF(Inicial!P47="SI",Inicial!E47,"N/A")</f>
        <v>N/A</v>
      </c>
      <c r="F47" s="53" t="str">
        <f>IF(Inicial!P47="SI",Inicial!F47,"N/A")</f>
        <v>N/A</v>
      </c>
      <c r="G47" s="53" t="str">
        <f>IF(Inicial!P47="SI",Inicial!G47,"N/A")</f>
        <v>N/A</v>
      </c>
      <c r="H47" s="53" t="str">
        <f>IF(Inicial!P47="SI",Inicial!H47,"N/A")</f>
        <v>N/A</v>
      </c>
      <c r="I47" s="64" t="str">
        <f>IF(Inicial!P47="SI",Inicial!I47,"N/A")</f>
        <v>N/A</v>
      </c>
      <c r="J47" s="70"/>
      <c r="K47" s="70"/>
      <c r="L47" s="70"/>
      <c r="M47" s="70"/>
      <c r="N47" s="70"/>
      <c r="O47" s="70"/>
      <c r="P47" s="70"/>
      <c r="Q47" s="70"/>
    </row>
    <row r="48" spans="1:18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IF(Inicial!P48="SI",Inicial!E48,"N/A")</f>
        <v>N/A</v>
      </c>
      <c r="F48" s="53" t="str">
        <f>IF(Inicial!P48="SI",Inicial!F48,"N/A")</f>
        <v>N/A</v>
      </c>
      <c r="G48" s="53" t="str">
        <f>IF(Inicial!P48="SI",Inicial!G48,"N/A")</f>
        <v>N/A</v>
      </c>
      <c r="H48" s="53" t="str">
        <f>IF(Inicial!P48="SI",Inicial!H48,"N/A")</f>
        <v>N/A</v>
      </c>
      <c r="I48" s="64" t="str">
        <f>IF(Inicial!P48="SI",Inicial!I48,"N/A")</f>
        <v>N/A</v>
      </c>
      <c r="J48" s="70"/>
      <c r="K48" s="70"/>
      <c r="L48" s="70"/>
      <c r="M48" s="70"/>
      <c r="N48" s="70"/>
      <c r="O48" s="70"/>
      <c r="P48" s="70"/>
      <c r="Q48" s="70"/>
    </row>
    <row r="49" spans="1:17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IF(Inicial!P49="SI",Inicial!E49,"N/A")</f>
        <v>N/A</v>
      </c>
      <c r="F49" s="53" t="str">
        <f>IF(Inicial!P49="SI",Inicial!F49,"N/A")</f>
        <v>N/A</v>
      </c>
      <c r="G49" s="53" t="str">
        <f>IF(Inicial!P49="SI",Inicial!G49,"N/A")</f>
        <v>N/A</v>
      </c>
      <c r="H49" s="53" t="str">
        <f>IF(Inicial!P49="SI",Inicial!H49,"N/A")</f>
        <v>N/A</v>
      </c>
      <c r="I49" s="64" t="str">
        <f>IF(Inicial!P49="SI",Inicial!I49,"N/A")</f>
        <v>N/A</v>
      </c>
      <c r="J49" s="70"/>
      <c r="K49" s="70"/>
      <c r="L49" s="70"/>
      <c r="M49" s="70"/>
      <c r="N49" s="70"/>
      <c r="O49" s="70"/>
      <c r="P49" s="70"/>
      <c r="Q49" s="70"/>
    </row>
    <row r="50" spans="1:17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IF(Inicial!P50="SI",Inicial!E50,"N/A")</f>
        <v>N/A</v>
      </c>
      <c r="F50" s="53" t="str">
        <f>IF(Inicial!P50="SI",Inicial!F50,"N/A")</f>
        <v>N/A</v>
      </c>
      <c r="G50" s="53" t="str">
        <f>IF(Inicial!P50="SI",Inicial!G50,"N/A")</f>
        <v>N/A</v>
      </c>
      <c r="H50" s="53" t="str">
        <f>IF(Inicial!P50="SI",Inicial!H50,"N/A")</f>
        <v>N/A</v>
      </c>
      <c r="I50" s="64" t="str">
        <f>IF(Inicial!P50="SI",Inicial!I50,"N/A")</f>
        <v>N/A</v>
      </c>
      <c r="J50" s="70"/>
      <c r="K50" s="70"/>
      <c r="L50" s="70"/>
      <c r="M50" s="70"/>
      <c r="N50" s="70"/>
      <c r="O50" s="70"/>
      <c r="P50" s="70"/>
      <c r="Q50" s="70"/>
    </row>
    <row r="51" spans="1:17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IF(Inicial!P51="SI",Inicial!E51,"N/A")</f>
        <v>N/A</v>
      </c>
      <c r="F51" s="53" t="str">
        <f>IF(Inicial!P51="SI",Inicial!F51,"N/A")</f>
        <v>N/A</v>
      </c>
      <c r="G51" s="53" t="str">
        <f>IF(Inicial!P51="SI",Inicial!G51,"N/A")</f>
        <v>N/A</v>
      </c>
      <c r="H51" s="53" t="str">
        <f>IF(Inicial!P51="SI",Inicial!H51,"N/A")</f>
        <v>N/A</v>
      </c>
      <c r="I51" s="64" t="str">
        <f>IF(Inicial!P51="SI",Inicial!I51,"N/A")</f>
        <v>N/A</v>
      </c>
      <c r="J51" s="70"/>
      <c r="K51" s="70"/>
      <c r="L51" s="70"/>
      <c r="M51" s="70"/>
      <c r="N51" s="70"/>
      <c r="O51" s="70"/>
      <c r="P51" s="70"/>
      <c r="Q51" s="70"/>
    </row>
    <row r="52" spans="1:17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IF(Inicial!P52="SI",Inicial!E52,"N/A")</f>
        <v>N/A</v>
      </c>
      <c r="F52" s="53" t="str">
        <f>IF(Inicial!P52="SI",Inicial!F52,"N/A")</f>
        <v>N/A</v>
      </c>
      <c r="G52" s="53" t="str">
        <f>IF(Inicial!P52="SI",Inicial!G52,"N/A")</f>
        <v>N/A</v>
      </c>
      <c r="H52" s="53" t="str">
        <f>IF(Inicial!P52="SI",Inicial!H52,"N/A")</f>
        <v>N/A</v>
      </c>
      <c r="I52" s="64" t="str">
        <f>IF(Inicial!P52="SI",Inicial!I52,"N/A")</f>
        <v>N/A</v>
      </c>
      <c r="J52" s="70"/>
      <c r="K52" s="70"/>
      <c r="L52" s="70"/>
      <c r="M52" s="70"/>
      <c r="N52" s="70"/>
      <c r="O52" s="70"/>
      <c r="P52" s="70"/>
      <c r="Q52" s="70"/>
    </row>
    <row r="53" spans="1:17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IF(Inicial!P53="SI",Inicial!E53,"N/A")</f>
        <v>N/A</v>
      </c>
      <c r="F53" s="53" t="str">
        <f>IF(Inicial!P53="SI",Inicial!F53,"N/A")</f>
        <v>N/A</v>
      </c>
      <c r="G53" s="53" t="str">
        <f>IF(Inicial!P53="SI",Inicial!G53,"N/A")</f>
        <v>N/A</v>
      </c>
      <c r="H53" s="53" t="str">
        <f>IF(Inicial!P53="SI",Inicial!H53,"N/A")</f>
        <v>N/A</v>
      </c>
      <c r="I53" s="64" t="str">
        <f>IF(Inicial!P53="SI",Inicial!I53,"N/A")</f>
        <v>N/A</v>
      </c>
      <c r="J53" s="70"/>
      <c r="K53" s="70"/>
      <c r="L53" s="70"/>
      <c r="M53" s="70"/>
      <c r="N53" s="70"/>
      <c r="O53" s="70"/>
      <c r="P53" s="70"/>
      <c r="Q53" s="70"/>
    </row>
    <row r="54" spans="1:17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IF(Inicial!P54="SI",Inicial!E54,"N/A")</f>
        <v>N/A</v>
      </c>
      <c r="F54" s="53" t="str">
        <f>IF(Inicial!P54="SI",Inicial!F54,"N/A")</f>
        <v>N/A</v>
      </c>
      <c r="G54" s="53" t="str">
        <f>IF(Inicial!P54="SI",Inicial!G54,"N/A")</f>
        <v>N/A</v>
      </c>
      <c r="H54" s="53" t="str">
        <f>IF(Inicial!P54="SI",Inicial!H54,"N/A")</f>
        <v>N/A</v>
      </c>
      <c r="I54" s="64" t="str">
        <f>IF(Inicial!P54="SI",Inicial!I54,"N/A")</f>
        <v>N/A</v>
      </c>
      <c r="J54" s="70"/>
      <c r="K54" s="70"/>
      <c r="L54" s="70"/>
      <c r="M54" s="70"/>
      <c r="N54" s="70"/>
      <c r="O54" s="70"/>
      <c r="P54" s="70"/>
      <c r="Q54" s="70"/>
    </row>
    <row r="55" spans="1:17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IF(Inicial!P55="SI",Inicial!E55,"N/A")</f>
        <v>N/A</v>
      </c>
      <c r="F55" s="53" t="str">
        <f>IF(Inicial!P55="SI",Inicial!F55,"N/A")</f>
        <v>N/A</v>
      </c>
      <c r="G55" s="53" t="str">
        <f>IF(Inicial!P55="SI",Inicial!G55,"N/A")</f>
        <v>N/A</v>
      </c>
      <c r="H55" s="53" t="str">
        <f>IF(Inicial!P55="SI",Inicial!H55,"N/A")</f>
        <v>N/A</v>
      </c>
      <c r="I55" s="64" t="str">
        <f>IF(Inicial!P55="SI",Inicial!I55,"N/A")</f>
        <v>N/A</v>
      </c>
      <c r="J55" s="70"/>
      <c r="K55" s="70"/>
      <c r="L55" s="70"/>
      <c r="M55" s="70"/>
      <c r="N55" s="70"/>
      <c r="O55" s="70"/>
      <c r="P55" s="70"/>
      <c r="Q55" s="70"/>
    </row>
    <row r="56" spans="1:17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64" t="e">
        <f>IF(Inicial!#REF!="SI",Inicial!#REF!,"N/A")</f>
        <v>#REF!</v>
      </c>
      <c r="J56" s="70"/>
      <c r="K56" s="70"/>
      <c r="L56" s="70"/>
      <c r="M56" s="70"/>
      <c r="N56" s="70"/>
      <c r="O56" s="70"/>
      <c r="P56" s="70"/>
      <c r="Q56" s="70"/>
    </row>
    <row r="57" spans="1:17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IF(Inicial!P56="SI",Inicial!E56,"N/A")</f>
        <v>N/A</v>
      </c>
      <c r="F57" s="53" t="str">
        <f>IF(Inicial!P56="SI",Inicial!F56,"N/A")</f>
        <v>N/A</v>
      </c>
      <c r="G57" s="53" t="str">
        <f>IF(Inicial!P56="SI",Inicial!G56,"N/A")</f>
        <v>N/A</v>
      </c>
      <c r="H57" s="53" t="str">
        <f>IF(Inicial!P56="SI",Inicial!H56,"N/A")</f>
        <v>N/A</v>
      </c>
      <c r="I57" s="64" t="str">
        <f>IF(Inicial!P56="SI",Inicial!I56,"N/A")</f>
        <v>N/A</v>
      </c>
      <c r="J57" s="70"/>
      <c r="K57" s="70"/>
      <c r="L57" s="70"/>
      <c r="M57" s="70"/>
      <c r="N57" s="70"/>
      <c r="O57" s="70"/>
      <c r="P57" s="70"/>
      <c r="Q57" s="70"/>
    </row>
    <row r="58" spans="1:17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IF(Inicial!P57="SI",Inicial!E57,"N/A")</f>
        <v>N/A</v>
      </c>
      <c r="F58" s="53" t="str">
        <f>IF(Inicial!P57="SI",Inicial!F57,"N/A")</f>
        <v>N/A</v>
      </c>
      <c r="G58" s="53" t="str">
        <f>IF(Inicial!P57="SI",Inicial!G57,"N/A")</f>
        <v>N/A</v>
      </c>
      <c r="H58" s="53" t="str">
        <f>IF(Inicial!P57="SI",Inicial!H57,"N/A")</f>
        <v>N/A</v>
      </c>
      <c r="I58" s="64" t="str">
        <f>IF(Inicial!P57="SI",Inicial!I57,"N/A")</f>
        <v>N/A</v>
      </c>
      <c r="J58" s="70"/>
      <c r="K58" s="70"/>
      <c r="L58" s="70"/>
      <c r="M58" s="70"/>
      <c r="N58" s="70"/>
      <c r="O58" s="70"/>
      <c r="P58" s="70"/>
      <c r="Q58" s="70"/>
    </row>
    <row r="59" spans="1:17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IF(Inicial!P58="SI",Inicial!E58,"N/A")</f>
        <v>N/A</v>
      </c>
      <c r="F59" s="53" t="str">
        <f>IF(Inicial!P58="SI",Inicial!F58,"N/A")</f>
        <v>N/A</v>
      </c>
      <c r="G59" s="53" t="str">
        <f>IF(Inicial!P58="SI",Inicial!G58,"N/A")</f>
        <v>N/A</v>
      </c>
      <c r="H59" s="53" t="str">
        <f>IF(Inicial!P58="SI",Inicial!H58,"N/A")</f>
        <v>N/A</v>
      </c>
      <c r="I59" s="64" t="str">
        <f>IF(Inicial!P58="SI",Inicial!I58,"N/A")</f>
        <v>N/A</v>
      </c>
      <c r="J59" s="70"/>
      <c r="K59" s="70"/>
      <c r="L59" s="70"/>
      <c r="M59" s="70"/>
      <c r="N59" s="70"/>
      <c r="O59" s="70"/>
      <c r="P59" s="70"/>
      <c r="Q59" s="70"/>
    </row>
    <row r="60" spans="1:17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IF(Inicial!P59="SI",Inicial!E59,"N/A")</f>
        <v>N/A</v>
      </c>
      <c r="F60" s="53" t="str">
        <f>IF(Inicial!P59="SI",Inicial!F59,"N/A")</f>
        <v>N/A</v>
      </c>
      <c r="G60" s="53" t="str">
        <f>IF(Inicial!P59="SI",Inicial!G59,"N/A")</f>
        <v>N/A</v>
      </c>
      <c r="H60" s="53" t="str">
        <f>IF(Inicial!P59="SI",Inicial!H59,"N/A")</f>
        <v>N/A</v>
      </c>
      <c r="I60" s="64" t="str">
        <f>IF(Inicial!P59="SI",Inicial!I59,"N/A")</f>
        <v>N/A</v>
      </c>
      <c r="J60" s="70"/>
      <c r="K60" s="70"/>
      <c r="L60" s="70"/>
      <c r="M60" s="70"/>
      <c r="N60" s="70"/>
      <c r="O60" s="70"/>
      <c r="P60" s="70"/>
      <c r="Q60" s="70"/>
    </row>
    <row r="61" spans="1:17">
      <c r="A61" s="52" t="e">
        <f>Inicial!#REF!</f>
        <v>#REF!</v>
      </c>
      <c r="B61" s="53" t="e">
        <f>Inicial!#REF!</f>
        <v>#REF!</v>
      </c>
      <c r="C61" s="53" t="e">
        <f>Inicial!#REF!</f>
        <v>#REF!</v>
      </c>
      <c r="D61" s="54" t="e">
        <f>Inicial!#REF!</f>
        <v>#REF!</v>
      </c>
      <c r="E61" s="52" t="e">
        <f>IF(Inicial!#REF!="SI",Inicial!#REF!,"N/A")</f>
        <v>#REF!</v>
      </c>
      <c r="F61" s="53" t="e">
        <f>IF(Inicial!#REF!="SI",Inicial!#REF!,"N/A")</f>
        <v>#REF!</v>
      </c>
      <c r="G61" s="53" t="e">
        <f>IF(Inicial!#REF!="SI",Inicial!#REF!,"N/A")</f>
        <v>#REF!</v>
      </c>
      <c r="H61" s="53" t="e">
        <f>IF(Inicial!#REF!="SI",Inicial!#REF!,"N/A")</f>
        <v>#REF!</v>
      </c>
      <c r="I61" s="64" t="e">
        <f>IF(Inicial!#REF!="SI",Inicial!#REF!,"N/A")</f>
        <v>#REF!</v>
      </c>
      <c r="J61" s="70"/>
      <c r="K61" s="70"/>
      <c r="L61" s="70"/>
      <c r="M61" s="70"/>
      <c r="N61" s="70"/>
      <c r="O61" s="70"/>
      <c r="P61" s="70"/>
      <c r="Q61" s="70"/>
    </row>
    <row r="62" spans="1:17">
      <c r="A62" s="52" t="e">
        <f>Inicial!#REF!</f>
        <v>#REF!</v>
      </c>
      <c r="B62" s="53" t="e">
        <f>Inicial!#REF!</f>
        <v>#REF!</v>
      </c>
      <c r="C62" s="53" t="e">
        <f>Inicial!#REF!</f>
        <v>#REF!</v>
      </c>
      <c r="D62" s="54" t="e">
        <f>Inicial!#REF!</f>
        <v>#REF!</v>
      </c>
      <c r="E62" s="52" t="e">
        <f>IF(Inicial!#REF!="SI",Inicial!#REF!,"N/A")</f>
        <v>#REF!</v>
      </c>
      <c r="F62" s="53" t="e">
        <f>IF(Inicial!#REF!="SI",Inicial!#REF!,"N/A")</f>
        <v>#REF!</v>
      </c>
      <c r="G62" s="53" t="e">
        <f>IF(Inicial!#REF!="SI",Inicial!#REF!,"N/A")</f>
        <v>#REF!</v>
      </c>
      <c r="H62" s="53" t="e">
        <f>IF(Inicial!#REF!="SI",Inicial!#REF!,"N/A")</f>
        <v>#REF!</v>
      </c>
      <c r="I62" s="64" t="e">
        <f>IF(Inicial!#REF!="SI",Inicial!#REF!,"N/A")</f>
        <v>#REF!</v>
      </c>
      <c r="J62" s="70"/>
      <c r="K62" s="70"/>
      <c r="L62" s="70"/>
      <c r="M62" s="70"/>
      <c r="N62" s="70"/>
      <c r="O62" s="70"/>
      <c r="P62" s="70"/>
      <c r="Q62" s="70"/>
    </row>
    <row r="63" spans="1:17" ht="25.5">
      <c r="A63" s="52">
        <f>Inicial!A60</f>
        <v>58</v>
      </c>
      <c r="B63" s="53" t="str">
        <f>Inicial!B60</f>
        <v>Desposte</v>
      </c>
      <c r="C63" s="53" t="str">
        <f>Inicial!C60</f>
        <v>Operador Línea Costillar</v>
      </c>
      <c r="D63" s="54" t="str">
        <f>Inicial!D60</f>
        <v xml:space="preserve">Cuadrar panceta </v>
      </c>
      <c r="E63" s="52" t="str">
        <f>IF(Inicial!P60="SI",Inicial!E60,"N/A")</f>
        <v>N/A</v>
      </c>
      <c r="F63" s="53" t="str">
        <f>IF(Inicial!P60="SI",Inicial!F60,"N/A")</f>
        <v>N/A</v>
      </c>
      <c r="G63" s="53" t="str">
        <f>IF(Inicial!P60="SI",Inicial!G60,"N/A")</f>
        <v>N/A</v>
      </c>
      <c r="H63" s="53" t="str">
        <f>IF(Inicial!P60="SI",Inicial!H60,"N/A")</f>
        <v>N/A</v>
      </c>
      <c r="I63" s="64" t="str">
        <f>IF(Inicial!P60="SI",Inicial!I60,"N/A")</f>
        <v>N/A</v>
      </c>
      <c r="J63" s="70"/>
      <c r="K63" s="70"/>
      <c r="L63" s="70"/>
      <c r="M63" s="70"/>
      <c r="N63" s="70"/>
      <c r="O63" s="70"/>
      <c r="P63" s="70"/>
      <c r="Q63" s="70"/>
    </row>
    <row r="64" spans="1:17" ht="25.5">
      <c r="A64" s="52">
        <f>Inicial!A61</f>
        <v>59</v>
      </c>
      <c r="B64" s="53" t="str">
        <f>Inicial!B61</f>
        <v>Desposte</v>
      </c>
      <c r="C64" s="53" t="str">
        <f>Inicial!C61</f>
        <v>Operador Línea Costillar</v>
      </c>
      <c r="D64" s="54" t="str">
        <f>Inicial!D61</f>
        <v>Despunte Producto</v>
      </c>
      <c r="E64" s="52" t="str">
        <f>IF(Inicial!P61="SI",Inicial!E61,"N/A")</f>
        <v>N/A</v>
      </c>
      <c r="F64" s="53" t="str">
        <f>IF(Inicial!P61="SI",Inicial!F61,"N/A")</f>
        <v>N/A</v>
      </c>
      <c r="G64" s="53" t="str">
        <f>IF(Inicial!P61="SI",Inicial!G61,"N/A")</f>
        <v>N/A</v>
      </c>
      <c r="H64" s="53" t="str">
        <f>IF(Inicial!P61="SI",Inicial!H61,"N/A")</f>
        <v>N/A</v>
      </c>
      <c r="I64" s="64" t="str">
        <f>IF(Inicial!P61="SI",Inicial!I61,"N/A")</f>
        <v>N/A</v>
      </c>
      <c r="J64" s="70"/>
      <c r="K64" s="70"/>
      <c r="L64" s="70"/>
      <c r="M64" s="70"/>
      <c r="N64" s="70"/>
      <c r="O64" s="70"/>
      <c r="P64" s="70"/>
      <c r="Q64" s="70"/>
    </row>
    <row r="65" spans="1:17" ht="25.5">
      <c r="A65" s="52">
        <f>Inicial!A62</f>
        <v>60</v>
      </c>
      <c r="B65" s="53" t="str">
        <f>Inicial!B62</f>
        <v>Desposte</v>
      </c>
      <c r="C65" s="53" t="str">
        <f>Inicial!C62</f>
        <v>Operador Línea Costillar</v>
      </c>
      <c r="D65" s="54" t="str">
        <f>Inicial!D62</f>
        <v>Prolijado Whizard (grasa)</v>
      </c>
      <c r="E65" s="52" t="str">
        <f>IF(Inicial!P62="SI",Inicial!E62,"N/A")</f>
        <v>N/A</v>
      </c>
      <c r="F65" s="53" t="str">
        <f>IF(Inicial!P62="SI",Inicial!F62,"N/A")</f>
        <v>N/A</v>
      </c>
      <c r="G65" s="53" t="str">
        <f>IF(Inicial!P62="SI",Inicial!G62,"N/A")</f>
        <v>N/A</v>
      </c>
      <c r="H65" s="53" t="str">
        <f>IF(Inicial!P62="SI",Inicial!H62,"N/A")</f>
        <v>N/A</v>
      </c>
      <c r="I65" s="64" t="str">
        <f>IF(Inicial!P62="SI",Inicial!I62,"N/A")</f>
        <v>N/A</v>
      </c>
      <c r="J65" s="70"/>
      <c r="K65" s="70"/>
      <c r="L65" s="70"/>
      <c r="M65" s="70"/>
      <c r="N65" s="70"/>
      <c r="O65" s="70"/>
      <c r="P65" s="70"/>
      <c r="Q65" s="70"/>
    </row>
    <row r="66" spans="1:17" ht="25.5">
      <c r="A66" s="52">
        <f>Inicial!A63</f>
        <v>61</v>
      </c>
      <c r="B66" s="53" t="str">
        <f>Inicial!B63</f>
        <v>Desposte</v>
      </c>
      <c r="C66" s="53" t="str">
        <f>Inicial!C63</f>
        <v>Operador Línea Costillar</v>
      </c>
      <c r="D66" s="54" t="str">
        <f>Inicial!D63</f>
        <v>Calibrado</v>
      </c>
      <c r="E66" s="52" t="str">
        <f>IF(Inicial!P63="SI",Inicial!E63,"N/A")</f>
        <v>N/A</v>
      </c>
      <c r="F66" s="53" t="str">
        <f>IF(Inicial!P63="SI",Inicial!F63,"N/A")</f>
        <v>N/A</v>
      </c>
      <c r="G66" s="53" t="str">
        <f>IF(Inicial!P63="SI",Inicial!G63,"N/A")</f>
        <v>N/A</v>
      </c>
      <c r="H66" s="53" t="str">
        <f>IF(Inicial!P63="SI",Inicial!H63,"N/A")</f>
        <v>N/A</v>
      </c>
      <c r="I66" s="64" t="str">
        <f>IF(Inicial!P63="SI",Inicial!I63,"N/A")</f>
        <v>N/A</v>
      </c>
      <c r="J66" s="70"/>
      <c r="K66" s="70"/>
      <c r="L66" s="70"/>
      <c r="M66" s="70"/>
      <c r="N66" s="70"/>
      <c r="O66" s="70"/>
      <c r="P66" s="70"/>
      <c r="Q66" s="70"/>
    </row>
    <row r="67" spans="1:17" ht="25.5">
      <c r="A67" s="52">
        <f>Inicial!A64</f>
        <v>62</v>
      </c>
      <c r="B67" s="53" t="str">
        <f>Inicial!B64</f>
        <v>Desposte</v>
      </c>
      <c r="C67" s="53" t="str">
        <f>Inicial!C64</f>
        <v>Operador Línea Costillar</v>
      </c>
      <c r="D67" s="54" t="str">
        <f>Inicial!D64</f>
        <v>Cortado de Costillar</v>
      </c>
      <c r="E67" s="52" t="str">
        <f>IF(Inicial!P64="SI",Inicial!E64,"N/A")</f>
        <v>N/A</v>
      </c>
      <c r="F67" s="53" t="str">
        <f>IF(Inicial!P64="SI",Inicial!F64,"N/A")</f>
        <v>N/A</v>
      </c>
      <c r="G67" s="53" t="str">
        <f>IF(Inicial!P64="SI",Inicial!G64,"N/A")</f>
        <v>N/A</v>
      </c>
      <c r="H67" s="53" t="str">
        <f>IF(Inicial!P64="SI",Inicial!H64,"N/A")</f>
        <v>N/A</v>
      </c>
      <c r="I67" s="64" t="str">
        <f>IF(Inicial!P64="SI",Inicial!I64,"N/A")</f>
        <v>N/A</v>
      </c>
      <c r="J67" s="70"/>
      <c r="K67" s="70"/>
      <c r="L67" s="70"/>
      <c r="M67" s="70"/>
      <c r="N67" s="70"/>
      <c r="O67" s="70"/>
      <c r="P67" s="70"/>
      <c r="Q67" s="70"/>
    </row>
    <row r="68" spans="1:17" ht="25.5">
      <c r="A68" s="52">
        <f>Inicial!A65</f>
        <v>63</v>
      </c>
      <c r="B68" s="53" t="str">
        <f>Inicial!B65</f>
        <v>Desposte</v>
      </c>
      <c r="C68" s="53" t="str">
        <f>Inicial!C65</f>
        <v>Operador Línea Costillar</v>
      </c>
      <c r="D68" s="54" t="str">
        <f>Inicial!D65</f>
        <v xml:space="preserve">Abastecer Línea </v>
      </c>
      <c r="E68" s="52" t="str">
        <f>IF(Inicial!P65="SI",Inicial!E65,"N/A")</f>
        <v>N/A</v>
      </c>
      <c r="F68" s="53" t="str">
        <f>IF(Inicial!P65="SI",Inicial!F65,"N/A")</f>
        <v>N/A</v>
      </c>
      <c r="G68" s="53" t="str">
        <f>IF(Inicial!P65="SI",Inicial!G65,"N/A")</f>
        <v>N/A</v>
      </c>
      <c r="H68" s="53" t="str">
        <f>IF(Inicial!P65="SI",Inicial!H65,"N/A")</f>
        <v>N/A</v>
      </c>
      <c r="I68" s="64" t="str">
        <f>IF(Inicial!P65="SI",Inicial!I65,"N/A")</f>
        <v>N/A</v>
      </c>
      <c r="J68" s="70"/>
      <c r="K68" s="70"/>
      <c r="L68" s="70"/>
      <c r="M68" s="70"/>
      <c r="N68" s="70"/>
      <c r="O68" s="70"/>
      <c r="P68" s="70"/>
      <c r="Q68" s="70"/>
    </row>
    <row r="69" spans="1:17" ht="25.5">
      <c r="A69" s="52">
        <f>Inicial!A66</f>
        <v>64</v>
      </c>
      <c r="B69" s="53" t="str">
        <f>Inicial!B66</f>
        <v>Desposte</v>
      </c>
      <c r="C69" s="53" t="str">
        <f>Inicial!C66</f>
        <v>Operador Línea paleta</v>
      </c>
      <c r="D69" s="54" t="str">
        <f>Inicial!D66</f>
        <v>Separación de Vetado</v>
      </c>
      <c r="E69" s="52" t="str">
        <f>IF(Inicial!P66="SI",Inicial!E66,"N/A")</f>
        <v>N/A</v>
      </c>
      <c r="F69" s="53" t="str">
        <f>IF(Inicial!P66="SI",Inicial!F66,"N/A")</f>
        <v>N/A</v>
      </c>
      <c r="G69" s="53" t="str">
        <f>IF(Inicial!P66="SI",Inicial!G66,"N/A")</f>
        <v>N/A</v>
      </c>
      <c r="H69" s="53" t="str">
        <f>IF(Inicial!P66="SI",Inicial!H66,"N/A")</f>
        <v>N/A</v>
      </c>
      <c r="I69" s="64" t="str">
        <f>IF(Inicial!P66="SI",Inicial!I66,"N/A")</f>
        <v>N/A</v>
      </c>
      <c r="J69" s="70"/>
      <c r="K69" s="70"/>
      <c r="L69" s="70"/>
      <c r="M69" s="70"/>
      <c r="N69" s="70"/>
      <c r="O69" s="70"/>
      <c r="P69" s="70"/>
      <c r="Q69" s="70"/>
    </row>
    <row r="70" spans="1:17" ht="25.5">
      <c r="A70" s="52">
        <f>Inicial!A67</f>
        <v>65</v>
      </c>
      <c r="B70" s="53" t="str">
        <f>Inicial!B67</f>
        <v>Desposte</v>
      </c>
      <c r="C70" s="53" t="str">
        <f>Inicial!C67</f>
        <v>Operador Línea paleta</v>
      </c>
      <c r="D70" s="54" t="str">
        <f>Inicial!D67</f>
        <v>Segrega Producto</v>
      </c>
      <c r="E70" s="52" t="str">
        <f>IF(Inicial!P67="SI",Inicial!E67,"N/A")</f>
        <v>N/A</v>
      </c>
      <c r="F70" s="53" t="str">
        <f>IF(Inicial!P67="SI",Inicial!F67,"N/A")</f>
        <v>N/A</v>
      </c>
      <c r="G70" s="53" t="str">
        <f>IF(Inicial!P67="SI",Inicial!G67,"N/A")</f>
        <v>N/A</v>
      </c>
      <c r="H70" s="53" t="str">
        <f>IF(Inicial!P67="SI",Inicial!H67,"N/A")</f>
        <v>N/A</v>
      </c>
      <c r="I70" s="64" t="str">
        <f>IF(Inicial!P67="SI",Inicial!I67,"N/A")</f>
        <v>N/A</v>
      </c>
      <c r="J70" s="70"/>
      <c r="K70" s="70"/>
      <c r="L70" s="70"/>
      <c r="M70" s="70"/>
      <c r="N70" s="70"/>
      <c r="O70" s="70"/>
      <c r="P70" s="70"/>
      <c r="Q70" s="70"/>
    </row>
    <row r="71" spans="1:17" ht="25.5">
      <c r="A71" s="52">
        <f>Inicial!A68</f>
        <v>66</v>
      </c>
      <c r="B71" s="53" t="str">
        <f>Inicial!B68</f>
        <v>Desposte</v>
      </c>
      <c r="C71" s="53" t="str">
        <f>Inicial!C68</f>
        <v>Operador Línea paleta</v>
      </c>
      <c r="D71" s="54" t="str">
        <f>Inicial!D68</f>
        <v>Papada</v>
      </c>
      <c r="E71" s="52" t="str">
        <f>IF(Inicial!P68="SI",Inicial!E68,"N/A")</f>
        <v>N/A</v>
      </c>
      <c r="F71" s="53" t="str">
        <f>IF(Inicial!P68="SI",Inicial!F68,"N/A")</f>
        <v>N/A</v>
      </c>
      <c r="G71" s="53" t="str">
        <f>IF(Inicial!P68="SI",Inicial!G68,"N/A")</f>
        <v>N/A</v>
      </c>
      <c r="H71" s="53" t="str">
        <f>IF(Inicial!P68="SI",Inicial!H68,"N/A")</f>
        <v>N/A</v>
      </c>
      <c r="I71" s="64" t="str">
        <f>IF(Inicial!P68="SI",Inicial!I68,"N/A")</f>
        <v>N/A</v>
      </c>
      <c r="J71" s="70"/>
      <c r="K71" s="70"/>
      <c r="L71" s="70"/>
      <c r="M71" s="70"/>
      <c r="N71" s="70"/>
      <c r="O71" s="70"/>
      <c r="P71" s="70"/>
      <c r="Q71" s="70"/>
    </row>
    <row r="72" spans="1:17" ht="25.5">
      <c r="A72" s="52">
        <f>Inicial!A69</f>
        <v>67</v>
      </c>
      <c r="B72" s="53" t="str">
        <f>Inicial!B69</f>
        <v>Desposte</v>
      </c>
      <c r="C72" s="53" t="str">
        <f>Inicial!C69</f>
        <v>Operador Línea paleta</v>
      </c>
      <c r="D72" s="54" t="str">
        <f>Inicial!D69</f>
        <v>Forrero</v>
      </c>
      <c r="E72" s="52" t="str">
        <f>IF(Inicial!P69="SI",Inicial!E69,"N/A")</f>
        <v>N/A</v>
      </c>
      <c r="F72" s="53" t="str">
        <f>IF(Inicial!P69="SI",Inicial!F69,"N/A")</f>
        <v>N/A</v>
      </c>
      <c r="G72" s="53" t="str">
        <f>IF(Inicial!P69="SI",Inicial!G69,"N/A")</f>
        <v>N/A</v>
      </c>
      <c r="H72" s="53" t="str">
        <f>IF(Inicial!P69="SI",Inicial!H69,"N/A")</f>
        <v>N/A</v>
      </c>
      <c r="I72" s="64" t="str">
        <f>IF(Inicial!P69="SI",Inicial!I69,"N/A")</f>
        <v>N/A</v>
      </c>
      <c r="J72" s="70"/>
      <c r="K72" s="70"/>
      <c r="L72" s="70"/>
      <c r="M72" s="70"/>
      <c r="N72" s="70"/>
      <c r="O72" s="70"/>
      <c r="P72" s="70"/>
      <c r="Q72" s="70"/>
    </row>
    <row r="73" spans="1:17" ht="25.5">
      <c r="A73" s="52">
        <f>Inicial!A70</f>
        <v>68</v>
      </c>
      <c r="B73" s="53" t="str">
        <f>Inicial!B70</f>
        <v>Desposte</v>
      </c>
      <c r="C73" s="53" t="str">
        <f>Inicial!C70</f>
        <v>Operador Línea paleta</v>
      </c>
      <c r="D73" s="54" t="str">
        <f>Inicial!D70</f>
        <v>Rayado</v>
      </c>
      <c r="E73" s="52" t="str">
        <f>IF(Inicial!P70="SI",Inicial!E70,"N/A")</f>
        <v>N/A</v>
      </c>
      <c r="F73" s="53" t="str">
        <f>IF(Inicial!P70="SI",Inicial!F70,"N/A")</f>
        <v>N/A</v>
      </c>
      <c r="G73" s="53" t="str">
        <f>IF(Inicial!P70="SI",Inicial!G70,"N/A")</f>
        <v>N/A</v>
      </c>
      <c r="H73" s="53" t="str">
        <f>IF(Inicial!P70="SI",Inicial!H70,"N/A")</f>
        <v>N/A</v>
      </c>
      <c r="I73" s="64" t="str">
        <f>IF(Inicial!P70="SI",Inicial!I70,"N/A")</f>
        <v>N/A</v>
      </c>
      <c r="J73" s="70"/>
      <c r="K73" s="70"/>
      <c r="L73" s="70"/>
      <c r="M73" s="70"/>
      <c r="N73" s="70"/>
      <c r="O73" s="70"/>
      <c r="P73" s="70"/>
      <c r="Q73" s="70"/>
    </row>
    <row r="74" spans="1:17" ht="25.5">
      <c r="A74" s="52">
        <f>Inicial!A71</f>
        <v>69</v>
      </c>
      <c r="B74" s="53" t="str">
        <f>Inicial!B71</f>
        <v>Desposte</v>
      </c>
      <c r="C74" s="53" t="str">
        <f>Inicial!C71</f>
        <v>Operador Línea paleta</v>
      </c>
      <c r="D74" s="54" t="str">
        <f>Inicial!D71</f>
        <v>Cortar Plateada</v>
      </c>
      <c r="E74" s="52" t="str">
        <f>IF(Inicial!P71="SI",Inicial!E71,"N/A")</f>
        <v>N/A</v>
      </c>
      <c r="F74" s="53" t="str">
        <f>IF(Inicial!P71="SI",Inicial!F71,"N/A")</f>
        <v>N/A</v>
      </c>
      <c r="G74" s="53" t="str">
        <f>IF(Inicial!P71="SI",Inicial!G71,"N/A")</f>
        <v>N/A</v>
      </c>
      <c r="H74" s="53" t="str">
        <f>IF(Inicial!P71="SI",Inicial!H71,"N/A")</f>
        <v>N/A</v>
      </c>
      <c r="I74" s="64" t="str">
        <f>IF(Inicial!P71="SI",Inicial!I71,"N/A")</f>
        <v>N/A</v>
      </c>
      <c r="J74" s="70"/>
      <c r="K74" s="70"/>
      <c r="L74" s="70"/>
      <c r="M74" s="70"/>
      <c r="N74" s="70"/>
      <c r="O74" s="70"/>
      <c r="P74" s="70"/>
      <c r="Q74" s="70"/>
    </row>
    <row r="75" spans="1:17" ht="25.5">
      <c r="A75" s="52">
        <f>Inicial!A72</f>
        <v>70</v>
      </c>
      <c r="B75" s="53" t="str">
        <f>Inicial!B72</f>
        <v>Desposte</v>
      </c>
      <c r="C75" s="53" t="str">
        <f>Inicial!C72</f>
        <v>Operador Línea paleta</v>
      </c>
      <c r="D75" s="54" t="str">
        <f>Inicial!D72</f>
        <v>Pistola Escapula</v>
      </c>
      <c r="E75" s="52" t="str">
        <f>IF(Inicial!P72="SI",Inicial!E72,"N/A")</f>
        <v>N/A</v>
      </c>
      <c r="F75" s="53" t="str">
        <f>IF(Inicial!P72="SI",Inicial!F72,"N/A")</f>
        <v>N/A</v>
      </c>
      <c r="G75" s="53" t="str">
        <f>IF(Inicial!P72="SI",Inicial!G72,"N/A")</f>
        <v>N/A</v>
      </c>
      <c r="H75" s="53" t="str">
        <f>IF(Inicial!P72="SI",Inicial!H72,"N/A")</f>
        <v>N/A</v>
      </c>
      <c r="I75" s="64" t="str">
        <f>IF(Inicial!P72="SI",Inicial!I72,"N/A")</f>
        <v>N/A</v>
      </c>
      <c r="J75" s="70"/>
      <c r="K75" s="70"/>
      <c r="L75" s="70"/>
      <c r="M75" s="70"/>
      <c r="N75" s="70"/>
      <c r="O75" s="70"/>
      <c r="P75" s="70"/>
      <c r="Q75" s="70"/>
    </row>
    <row r="76" spans="1:17" ht="25.5">
      <c r="A76" s="52">
        <f>Inicial!A73</f>
        <v>71</v>
      </c>
      <c r="B76" s="53" t="str">
        <f>Inicial!B73</f>
        <v>Desposte</v>
      </c>
      <c r="C76" s="53" t="str">
        <f>Inicial!C73</f>
        <v>Operador Línea paleta</v>
      </c>
      <c r="D76" s="54" t="str">
        <f>Inicial!D73</f>
        <v>Deshuesado Escapula</v>
      </c>
      <c r="E76" s="52" t="str">
        <f>IF(Inicial!P73="SI",Inicial!E73,"N/A")</f>
        <v>N/A</v>
      </c>
      <c r="F76" s="53" t="str">
        <f>IF(Inicial!P73="SI",Inicial!F73,"N/A")</f>
        <v>N/A</v>
      </c>
      <c r="G76" s="53" t="str">
        <f>IF(Inicial!P73="SI",Inicial!G73,"N/A")</f>
        <v>N/A</v>
      </c>
      <c r="H76" s="53" t="str">
        <f>IF(Inicial!P73="SI",Inicial!H73,"N/A")</f>
        <v>N/A</v>
      </c>
      <c r="I76" s="64" t="str">
        <f>IF(Inicial!P73="SI",Inicial!I73,"N/A")</f>
        <v>N/A</v>
      </c>
      <c r="J76" s="70"/>
      <c r="K76" s="70"/>
      <c r="L76" s="70"/>
      <c r="M76" s="70"/>
      <c r="N76" s="70"/>
      <c r="O76" s="70"/>
      <c r="P76" s="70"/>
      <c r="Q76" s="70"/>
    </row>
    <row r="77" spans="1:17" ht="25.5">
      <c r="A77" s="52">
        <f>Inicial!A74</f>
        <v>72</v>
      </c>
      <c r="B77" s="53" t="str">
        <f>Inicial!B74</f>
        <v>Desposte</v>
      </c>
      <c r="C77" s="53" t="str">
        <f>Inicial!C74</f>
        <v>Operador Línea paleta</v>
      </c>
      <c r="D77" s="54" t="str">
        <f>Inicial!D74</f>
        <v>Deshuesado Humero</v>
      </c>
      <c r="E77" s="52" t="str">
        <f>IF(Inicial!P74="SI",Inicial!E74,"N/A")</f>
        <v>N/A</v>
      </c>
      <c r="F77" s="53" t="str">
        <f>IF(Inicial!P74="SI",Inicial!F74,"N/A")</f>
        <v>N/A</v>
      </c>
      <c r="G77" s="53" t="str">
        <f>IF(Inicial!P74="SI",Inicial!G74,"N/A")</f>
        <v>N/A</v>
      </c>
      <c r="H77" s="53" t="str">
        <f>IF(Inicial!P74="SI",Inicial!H74,"N/A")</f>
        <v>N/A</v>
      </c>
      <c r="I77" s="64" t="str">
        <f>IF(Inicial!P74="SI",Inicial!I74,"N/A")</f>
        <v>N/A</v>
      </c>
      <c r="J77" s="70"/>
      <c r="K77" s="70"/>
      <c r="L77" s="70"/>
      <c r="M77" s="70"/>
      <c r="N77" s="70"/>
      <c r="O77" s="70"/>
      <c r="P77" s="70"/>
      <c r="Q77" s="70"/>
    </row>
    <row r="78" spans="1:17" ht="25.5">
      <c r="A78" s="52">
        <f>Inicial!A75</f>
        <v>73</v>
      </c>
      <c r="B78" s="53" t="str">
        <f>Inicial!B75</f>
        <v>Desposte</v>
      </c>
      <c r="C78" s="53" t="str">
        <f>Inicial!C75</f>
        <v>Operador Línea paleta</v>
      </c>
      <c r="D78" s="54" t="str">
        <f>Inicial!D75</f>
        <v>Embolsado</v>
      </c>
      <c r="E78" s="52" t="str">
        <f>IF(Inicial!P75="SI",Inicial!E75,"N/A")</f>
        <v>N/A</v>
      </c>
      <c r="F78" s="53" t="str">
        <f>IF(Inicial!P75="SI",Inicial!F75,"N/A")</f>
        <v>N/A</v>
      </c>
      <c r="G78" s="53" t="str">
        <f>IF(Inicial!P75="SI",Inicial!G75,"N/A")</f>
        <v>N/A</v>
      </c>
      <c r="H78" s="53" t="str">
        <f>IF(Inicial!P75="SI",Inicial!H75,"N/A")</f>
        <v>N/A</v>
      </c>
      <c r="I78" s="64" t="str">
        <f>IF(Inicial!P75="SI",Inicial!I75,"N/A")</f>
        <v>N/A</v>
      </c>
      <c r="J78" s="70"/>
      <c r="K78" s="70"/>
      <c r="L78" s="70"/>
      <c r="M78" s="70"/>
      <c r="N78" s="70"/>
      <c r="O78" s="70"/>
      <c r="P78" s="70"/>
      <c r="Q78" s="70"/>
    </row>
    <row r="79" spans="1:17" ht="25.5">
      <c r="A79" s="52">
        <f>Inicial!A76</f>
        <v>74</v>
      </c>
      <c r="B79" s="53" t="str">
        <f>Inicial!B76</f>
        <v>Desposte</v>
      </c>
      <c r="C79" s="53" t="str">
        <f>Inicial!C76</f>
        <v>Operador Línea paleta</v>
      </c>
      <c r="D79" s="54" t="str">
        <f>Inicial!D76</f>
        <v>Prolijado</v>
      </c>
      <c r="E79" s="52" t="str">
        <f>IF(Inicial!P76="SI",Inicial!E76,"N/A")</f>
        <v>N/A</v>
      </c>
      <c r="F79" s="53" t="str">
        <f>IF(Inicial!P76="SI",Inicial!F76,"N/A")</f>
        <v>N/A</v>
      </c>
      <c r="G79" s="53" t="str">
        <f>IF(Inicial!P76="SI",Inicial!G76,"N/A")</f>
        <v>N/A</v>
      </c>
      <c r="H79" s="53" t="str">
        <f>IF(Inicial!P76="SI",Inicial!H76,"N/A")</f>
        <v>N/A</v>
      </c>
      <c r="I79" s="64" t="str">
        <f>IF(Inicial!P76="SI",Inicial!I76,"N/A")</f>
        <v>N/A</v>
      </c>
      <c r="J79" s="70"/>
      <c r="K79" s="70"/>
      <c r="L79" s="70"/>
      <c r="M79" s="70"/>
      <c r="N79" s="70"/>
      <c r="O79" s="70"/>
      <c r="P79" s="70"/>
      <c r="Q79" s="70"/>
    </row>
    <row r="80" spans="1:17" ht="25.5">
      <c r="A80" s="52">
        <f>Inicial!A77</f>
        <v>75</v>
      </c>
      <c r="B80" s="53" t="str">
        <f>Inicial!B77</f>
        <v>Desposte</v>
      </c>
      <c r="C80" s="53" t="str">
        <f>Inicial!C77</f>
        <v>Operador LíneaVetado</v>
      </c>
      <c r="D80" s="54" t="str">
        <f>Inicial!D77</f>
        <v xml:space="preserve">Abastecer máquina </v>
      </c>
      <c r="E80" s="52" t="str">
        <f>IF(Inicial!P77="SI",Inicial!E77,"N/A")</f>
        <v>N/A</v>
      </c>
      <c r="F80" s="53" t="str">
        <f>IF(Inicial!P77="SI",Inicial!F77,"N/A")</f>
        <v>N/A</v>
      </c>
      <c r="G80" s="53" t="str">
        <f>IF(Inicial!P77="SI",Inicial!G77,"N/A")</f>
        <v>N/A</v>
      </c>
      <c r="H80" s="53" t="str">
        <f>IF(Inicial!P77="SI",Inicial!H77,"N/A")</f>
        <v>N/A</v>
      </c>
      <c r="I80" s="64" t="str">
        <f>IF(Inicial!P77="SI",Inicial!I77,"N/A")</f>
        <v>N/A</v>
      </c>
      <c r="J80" s="70"/>
      <c r="K80" s="70"/>
      <c r="L80" s="70"/>
      <c r="M80" s="70"/>
      <c r="N80" s="70"/>
      <c r="O80" s="70"/>
      <c r="P80" s="70"/>
      <c r="Q80" s="70"/>
    </row>
    <row r="81" spans="1:17" ht="25.5">
      <c r="A81" s="52">
        <f>Inicial!A78</f>
        <v>76</v>
      </c>
      <c r="B81" s="53" t="str">
        <f>Inicial!B78</f>
        <v>Desposte</v>
      </c>
      <c r="C81" s="53" t="str">
        <f>Inicial!C78</f>
        <v>Operador LíneaVetado</v>
      </c>
      <c r="D81" s="54" t="str">
        <f>Inicial!D78</f>
        <v>Punta Costilla</v>
      </c>
      <c r="E81" s="52" t="str">
        <f>IF(Inicial!P78="SI",Inicial!E78,"N/A")</f>
        <v>N/A</v>
      </c>
      <c r="F81" s="53" t="str">
        <f>IF(Inicial!P78="SI",Inicial!F78,"N/A")</f>
        <v>N/A</v>
      </c>
      <c r="G81" s="53" t="str">
        <f>IF(Inicial!P78="SI",Inicial!G78,"N/A")</f>
        <v>N/A</v>
      </c>
      <c r="H81" s="53" t="str">
        <f>IF(Inicial!P78="SI",Inicial!H78,"N/A")</f>
        <v>N/A</v>
      </c>
      <c r="I81" s="64" t="str">
        <f>IF(Inicial!P78="SI",Inicial!I78,"N/A")</f>
        <v>N/A</v>
      </c>
      <c r="J81" s="70"/>
      <c r="K81" s="70"/>
      <c r="L81" s="70"/>
      <c r="M81" s="70"/>
      <c r="N81" s="70"/>
      <c r="O81" s="70"/>
      <c r="P81" s="70"/>
      <c r="Q81" s="70"/>
    </row>
    <row r="82" spans="1:17" ht="25.5">
      <c r="A82" s="52">
        <f>Inicial!A79</f>
        <v>77</v>
      </c>
      <c r="B82" s="53" t="str">
        <f>Inicial!B79</f>
        <v>Desposte</v>
      </c>
      <c r="C82" s="53" t="str">
        <f>Inicial!C79</f>
        <v>Operador LíneaVetado</v>
      </c>
      <c r="D82" s="54" t="str">
        <f>Inicial!D79</f>
        <v xml:space="preserve">Hueso Externón </v>
      </c>
      <c r="E82" s="52" t="str">
        <f>IF(Inicial!P79="SI",Inicial!E79,"N/A")</f>
        <v>N/A</v>
      </c>
      <c r="F82" s="53" t="str">
        <f>IF(Inicial!P79="SI",Inicial!F79,"N/A")</f>
        <v>N/A</v>
      </c>
      <c r="G82" s="53" t="str">
        <f>IF(Inicial!P79="SI",Inicial!G79,"N/A")</f>
        <v>N/A</v>
      </c>
      <c r="H82" s="53" t="str">
        <f>IF(Inicial!P79="SI",Inicial!H79,"N/A")</f>
        <v>N/A</v>
      </c>
      <c r="I82" s="64" t="str">
        <f>IF(Inicial!P79="SI",Inicial!I79,"N/A")</f>
        <v>N/A</v>
      </c>
      <c r="J82" s="70"/>
      <c r="K82" s="70"/>
      <c r="L82" s="70"/>
      <c r="M82" s="70"/>
      <c r="N82" s="70"/>
      <c r="O82" s="70"/>
      <c r="P82" s="70"/>
      <c r="Q82" s="70"/>
    </row>
    <row r="83" spans="1:17" ht="25.5">
      <c r="A83" s="52">
        <f>Inicial!A80</f>
        <v>78</v>
      </c>
      <c r="B83" s="53" t="str">
        <f>Inicial!B80</f>
        <v>Desposte</v>
      </c>
      <c r="C83" s="53" t="str">
        <f>Inicial!C80</f>
        <v>Operador LíneaVetado</v>
      </c>
      <c r="D83" s="54" t="str">
        <f>Inicial!D80</f>
        <v>Costillita</v>
      </c>
      <c r="E83" s="52" t="str">
        <f>IF(Inicial!P80="SI",Inicial!E80,"N/A")</f>
        <v>N/A</v>
      </c>
      <c r="F83" s="53" t="str">
        <f>IF(Inicial!P80="SI",Inicial!F80,"N/A")</f>
        <v>N/A</v>
      </c>
      <c r="G83" s="53" t="str">
        <f>IF(Inicial!P80="SI",Inicial!G80,"N/A")</f>
        <v>N/A</v>
      </c>
      <c r="H83" s="53" t="str">
        <f>IF(Inicial!P80="SI",Inicial!H80,"N/A")</f>
        <v>N/A</v>
      </c>
      <c r="I83" s="64" t="str">
        <f>IF(Inicial!P80="SI",Inicial!I80,"N/A")</f>
        <v>N/A</v>
      </c>
      <c r="J83" s="70"/>
      <c r="K83" s="70"/>
      <c r="L83" s="70"/>
      <c r="M83" s="70"/>
      <c r="N83" s="70"/>
      <c r="O83" s="70"/>
      <c r="P83" s="70"/>
      <c r="Q83" s="70"/>
    </row>
    <row r="84" spans="1:17" ht="25.5">
      <c r="A84" s="52">
        <f>Inicial!A81</f>
        <v>79</v>
      </c>
      <c r="B84" s="53" t="str">
        <f>Inicial!B81</f>
        <v>Desposte</v>
      </c>
      <c r="C84" s="53" t="str">
        <f>Inicial!C81</f>
        <v>Operador LíneaVetado</v>
      </c>
      <c r="D84" s="54" t="str">
        <f>Inicial!D81</f>
        <v>Prolijado de Papada</v>
      </c>
      <c r="E84" s="52" t="str">
        <f>IF(Inicial!P81="SI",Inicial!E81,"N/A")</f>
        <v>N/A</v>
      </c>
      <c r="F84" s="53" t="str">
        <f>IF(Inicial!P81="SI",Inicial!F81,"N/A")</f>
        <v>N/A</v>
      </c>
      <c r="G84" s="53" t="str">
        <f>IF(Inicial!P81="SI",Inicial!G81,"N/A")</f>
        <v>N/A</v>
      </c>
      <c r="H84" s="53" t="str">
        <f>IF(Inicial!P81="SI",Inicial!H81,"N/A")</f>
        <v>N/A</v>
      </c>
      <c r="I84" s="64" t="str">
        <f>IF(Inicial!P81="SI",Inicial!I81,"N/A")</f>
        <v>N/A</v>
      </c>
      <c r="J84" s="70"/>
      <c r="K84" s="70"/>
      <c r="L84" s="70"/>
      <c r="M84" s="70"/>
      <c r="N84" s="70"/>
      <c r="O84" s="70"/>
      <c r="P84" s="70"/>
      <c r="Q84" s="70"/>
    </row>
    <row r="85" spans="1:17" ht="25.5">
      <c r="A85" s="52">
        <f>Inicial!A82</f>
        <v>80</v>
      </c>
      <c r="B85" s="53" t="str">
        <f>Inicial!B82</f>
        <v>Desposte</v>
      </c>
      <c r="C85" s="53" t="str">
        <f>Inicial!C82</f>
        <v>Operador LíneaVetado</v>
      </c>
      <c r="D85" s="54" t="str">
        <f>Inicial!D82</f>
        <v>Ganglios</v>
      </c>
      <c r="E85" s="52" t="str">
        <f>IF(Inicial!P82="SI",Inicial!E82,"N/A")</f>
        <v>N/A</v>
      </c>
      <c r="F85" s="53" t="str">
        <f>IF(Inicial!P82="SI",Inicial!F82,"N/A")</f>
        <v>N/A</v>
      </c>
      <c r="G85" s="53" t="str">
        <f>IF(Inicial!P82="SI",Inicial!G82,"N/A")</f>
        <v>N/A</v>
      </c>
      <c r="H85" s="53" t="str">
        <f>IF(Inicial!P82="SI",Inicial!H82,"N/A")</f>
        <v>N/A</v>
      </c>
      <c r="I85" s="64" t="str">
        <f>IF(Inicial!P82="SI",Inicial!I82,"N/A")</f>
        <v>N/A</v>
      </c>
      <c r="J85" s="70"/>
      <c r="K85" s="70"/>
      <c r="L85" s="70"/>
      <c r="M85" s="70"/>
      <c r="N85" s="70"/>
      <c r="O85" s="70"/>
      <c r="P85" s="70"/>
      <c r="Q85" s="70"/>
    </row>
    <row r="86" spans="1:17" ht="25.5">
      <c r="A86" s="52">
        <f>Inicial!A83</f>
        <v>81</v>
      </c>
      <c r="B86" s="53" t="str">
        <f>Inicial!B83</f>
        <v>Desposte</v>
      </c>
      <c r="C86" s="53" t="str">
        <f>Inicial!C83</f>
        <v>Operador LíneaVetado</v>
      </c>
      <c r="D86" s="54" t="str">
        <f>Inicial!D83</f>
        <v>Deshuesado de Chuleta</v>
      </c>
      <c r="E86" s="52" t="str">
        <f>IF(Inicial!P83="SI",Inicial!E83,"N/A")</f>
        <v>N/A</v>
      </c>
      <c r="F86" s="53" t="str">
        <f>IF(Inicial!P83="SI",Inicial!F83,"N/A")</f>
        <v>N/A</v>
      </c>
      <c r="G86" s="53" t="str">
        <f>IF(Inicial!P83="SI",Inicial!G83,"N/A")</f>
        <v>N/A</v>
      </c>
      <c r="H86" s="53" t="str">
        <f>IF(Inicial!P83="SI",Inicial!H83,"N/A")</f>
        <v>N/A</v>
      </c>
      <c r="I86" s="64" t="str">
        <f>IF(Inicial!P83="SI",Inicial!I83,"N/A")</f>
        <v>N/A</v>
      </c>
      <c r="J86" s="70"/>
      <c r="K86" s="70"/>
      <c r="L86" s="70"/>
      <c r="M86" s="70"/>
      <c r="N86" s="70"/>
      <c r="O86" s="70"/>
      <c r="P86" s="70"/>
      <c r="Q86" s="70"/>
    </row>
    <row r="87" spans="1:17" ht="25.5">
      <c r="A87" s="52">
        <f>Inicial!A84</f>
        <v>82</v>
      </c>
      <c r="B87" s="53" t="str">
        <f>Inicial!B84</f>
        <v>Desposte</v>
      </c>
      <c r="C87" s="53" t="str">
        <f>Inicial!C84</f>
        <v>Operador LíneaVetado</v>
      </c>
      <c r="D87" s="54" t="str">
        <f>Inicial!D84</f>
        <v>Embalado de hueso</v>
      </c>
      <c r="E87" s="52" t="str">
        <f>IF(Inicial!P84="SI",Inicial!E84,"N/A")</f>
        <v>N/A</v>
      </c>
      <c r="F87" s="53" t="str">
        <f>IF(Inicial!P84="SI",Inicial!F84,"N/A")</f>
        <v>N/A</v>
      </c>
      <c r="G87" s="53" t="str">
        <f>IF(Inicial!P84="SI",Inicial!G84,"N/A")</f>
        <v>N/A</v>
      </c>
      <c r="H87" s="53" t="str">
        <f>IF(Inicial!P84="SI",Inicial!H84,"N/A")</f>
        <v>N/A</v>
      </c>
      <c r="I87" s="64" t="str">
        <f>IF(Inicial!P84="SI",Inicial!I84,"N/A")</f>
        <v>N/A</v>
      </c>
      <c r="J87" s="70"/>
      <c r="K87" s="70"/>
      <c r="L87" s="70"/>
      <c r="M87" s="70"/>
      <c r="N87" s="70"/>
      <c r="O87" s="70"/>
      <c r="P87" s="70"/>
      <c r="Q87" s="70"/>
    </row>
    <row r="88" spans="1:17" ht="25.5">
      <c r="A88" s="52">
        <f>Inicial!A85</f>
        <v>83</v>
      </c>
      <c r="B88" s="53" t="str">
        <f>Inicial!B85</f>
        <v>Desposte</v>
      </c>
      <c r="C88" s="53" t="str">
        <f>Inicial!C85</f>
        <v>Operador LíneaVetado</v>
      </c>
      <c r="D88" s="54" t="str">
        <f>Inicial!D85</f>
        <v xml:space="preserve">extracción Cinta de Despunte </v>
      </c>
      <c r="E88" s="52" t="str">
        <f>IF(Inicial!P85="SI",Inicial!E85,"N/A")</f>
        <v>N/A</v>
      </c>
      <c r="F88" s="53" t="str">
        <f>IF(Inicial!P85="SI",Inicial!F85,"N/A")</f>
        <v>N/A</v>
      </c>
      <c r="G88" s="53" t="str">
        <f>IF(Inicial!P85="SI",Inicial!G85,"N/A")</f>
        <v>N/A</v>
      </c>
      <c r="H88" s="53" t="str">
        <f>IF(Inicial!P85="SI",Inicial!H85,"N/A")</f>
        <v>N/A</v>
      </c>
      <c r="I88" s="64" t="str">
        <f>IF(Inicial!P85="SI",Inicial!I85,"N/A")</f>
        <v>N/A</v>
      </c>
      <c r="J88" s="70"/>
      <c r="K88" s="70"/>
      <c r="L88" s="70"/>
      <c r="M88" s="70"/>
      <c r="N88" s="70"/>
      <c r="O88" s="70"/>
      <c r="P88" s="70"/>
      <c r="Q88" s="70"/>
    </row>
    <row r="89" spans="1:17" ht="25.5">
      <c r="A89" s="52">
        <f>Inicial!A86</f>
        <v>84</v>
      </c>
      <c r="B89" s="53" t="str">
        <f>Inicial!B86</f>
        <v>Desposte</v>
      </c>
      <c r="C89" s="53" t="str">
        <f>Inicial!C86</f>
        <v>Operador LíneaVetado</v>
      </c>
      <c r="D89" s="54" t="str">
        <f>Inicial!D86</f>
        <v>Prolijado Cartilago Hueso</v>
      </c>
      <c r="E89" s="52" t="str">
        <f>IF(Inicial!P86="SI",Inicial!E86,"N/A")</f>
        <v>N/A</v>
      </c>
      <c r="F89" s="53" t="str">
        <f>IF(Inicial!P86="SI",Inicial!F86,"N/A")</f>
        <v>N/A</v>
      </c>
      <c r="G89" s="53" t="str">
        <f>IF(Inicial!P86="SI",Inicial!G86,"N/A")</f>
        <v>N/A</v>
      </c>
      <c r="H89" s="53" t="str">
        <f>IF(Inicial!P86="SI",Inicial!H86,"N/A")</f>
        <v>N/A</v>
      </c>
      <c r="I89" s="64" t="str">
        <f>IF(Inicial!P86="SI",Inicial!I86,"N/A")</f>
        <v>N/A</v>
      </c>
      <c r="J89" s="70"/>
      <c r="K89" s="70"/>
      <c r="L89" s="70"/>
      <c r="M89" s="70"/>
      <c r="N89" s="70"/>
      <c r="O89" s="70"/>
      <c r="P89" s="70"/>
      <c r="Q89" s="70"/>
    </row>
    <row r="90" spans="1:17" ht="25.5">
      <c r="A90" s="52">
        <f>Inicial!A87</f>
        <v>85</v>
      </c>
      <c r="B90" s="53" t="str">
        <f>Inicial!B87</f>
        <v>Desposte</v>
      </c>
      <c r="C90" s="53" t="str">
        <f>Inicial!C87</f>
        <v>Operador LíneaVetado</v>
      </c>
      <c r="D90" s="54" t="str">
        <f>Inicial!D87</f>
        <v>Prolijado Carne Longaniza</v>
      </c>
      <c r="E90" s="52" t="str">
        <f>IF(Inicial!P87="SI",Inicial!E87,"N/A")</f>
        <v>N/A</v>
      </c>
      <c r="F90" s="53" t="str">
        <f>IF(Inicial!P87="SI",Inicial!F87,"N/A")</f>
        <v>N/A</v>
      </c>
      <c r="G90" s="53" t="str">
        <f>IF(Inicial!P87="SI",Inicial!G87,"N/A")</f>
        <v>N/A</v>
      </c>
      <c r="H90" s="53" t="str">
        <f>IF(Inicial!P87="SI",Inicial!H87,"N/A")</f>
        <v>N/A</v>
      </c>
      <c r="I90" s="64" t="str">
        <f>IF(Inicial!P87="SI",Inicial!I87,"N/A")</f>
        <v>N/A</v>
      </c>
      <c r="J90" s="70"/>
      <c r="K90" s="70"/>
      <c r="L90" s="70"/>
      <c r="M90" s="70"/>
      <c r="N90" s="70"/>
      <c r="O90" s="70"/>
      <c r="P90" s="70"/>
      <c r="Q90" s="70"/>
    </row>
    <row r="91" spans="1:17" ht="25.5">
      <c r="A91" s="52">
        <f>Inicial!A88</f>
        <v>86</v>
      </c>
      <c r="B91" s="53" t="str">
        <f>Inicial!B88</f>
        <v>Desposte</v>
      </c>
      <c r="C91" s="53" t="str">
        <f>Inicial!C88</f>
        <v>Operador LíneaVetado</v>
      </c>
      <c r="D91" s="54" t="str">
        <f>Inicial!D88</f>
        <v xml:space="preserve">Prolijado Lomo Vetado </v>
      </c>
      <c r="E91" s="52" t="str">
        <f>IF(Inicial!P88="SI",Inicial!E88,"N/A")</f>
        <v>N/A</v>
      </c>
      <c r="F91" s="53" t="str">
        <f>IF(Inicial!P88="SI",Inicial!F88,"N/A")</f>
        <v>N/A</v>
      </c>
      <c r="G91" s="53" t="str">
        <f>IF(Inicial!P88="SI",Inicial!G88,"N/A")</f>
        <v>N/A</v>
      </c>
      <c r="H91" s="53" t="str">
        <f>IF(Inicial!P88="SI",Inicial!H88,"N/A")</f>
        <v>N/A</v>
      </c>
      <c r="I91" s="64" t="str">
        <f>IF(Inicial!P88="SI",Inicial!I88,"N/A")</f>
        <v>N/A</v>
      </c>
      <c r="J91" s="70"/>
      <c r="K91" s="70"/>
      <c r="L91" s="70"/>
      <c r="M91" s="70"/>
      <c r="N91" s="70"/>
      <c r="O91" s="70"/>
      <c r="P91" s="70"/>
      <c r="Q91" s="70"/>
    </row>
    <row r="92" spans="1:17" ht="25.5">
      <c r="A92" s="52">
        <f>Inicial!A89</f>
        <v>87</v>
      </c>
      <c r="B92" s="53" t="str">
        <f>Inicial!B89</f>
        <v>Desposte</v>
      </c>
      <c r="C92" s="53" t="str">
        <f>Inicial!C89</f>
        <v>Operador LíneaVetado</v>
      </c>
      <c r="D92" s="54" t="str">
        <f>Inicial!D89</f>
        <v>Calibrado</v>
      </c>
      <c r="E92" s="52" t="str">
        <f>IF(Inicial!P89="SI",Inicial!E89,"N/A")</f>
        <v>N/A</v>
      </c>
      <c r="F92" s="53" t="str">
        <f>IF(Inicial!P89="SI",Inicial!F89,"N/A")</f>
        <v>N/A</v>
      </c>
      <c r="G92" s="53" t="str">
        <f>IF(Inicial!P89="SI",Inicial!G89,"N/A")</f>
        <v>N/A</v>
      </c>
      <c r="H92" s="53" t="str">
        <f>IF(Inicial!P89="SI",Inicial!H89,"N/A")</f>
        <v>N/A</v>
      </c>
      <c r="I92" s="64" t="str">
        <f>IF(Inicial!P89="SI",Inicial!I89,"N/A")</f>
        <v>N/A</v>
      </c>
      <c r="J92" s="70"/>
      <c r="K92" s="70"/>
      <c r="L92" s="70"/>
      <c r="M92" s="70"/>
      <c r="N92" s="70"/>
      <c r="O92" s="70"/>
      <c r="P92" s="70"/>
      <c r="Q92" s="70"/>
    </row>
    <row r="93" spans="1:17">
      <c r="A93" s="52" t="e">
        <f>Inicial!#REF!</f>
        <v>#REF!</v>
      </c>
      <c r="B93" s="53" t="e">
        <f>Inicial!#REF!</f>
        <v>#REF!</v>
      </c>
      <c r="C93" s="53" t="e">
        <f>Inicial!#REF!</f>
        <v>#REF!</v>
      </c>
      <c r="D93" s="54" t="e">
        <f>Inicial!#REF!</f>
        <v>#REF!</v>
      </c>
      <c r="E93" s="52" t="e">
        <f>IF(Inicial!#REF!="SI",Inicial!#REF!,"N/A")</f>
        <v>#REF!</v>
      </c>
      <c r="F93" s="53" t="e">
        <f>IF(Inicial!#REF!="SI",Inicial!#REF!,"N/A")</f>
        <v>#REF!</v>
      </c>
      <c r="G93" s="53" t="e">
        <f>IF(Inicial!#REF!="SI",Inicial!#REF!,"N/A")</f>
        <v>#REF!</v>
      </c>
      <c r="H93" s="53" t="e">
        <f>IF(Inicial!#REF!="SI",Inicial!#REF!,"N/A")</f>
        <v>#REF!</v>
      </c>
      <c r="I93" s="64" t="e">
        <f>IF(Inicial!#REF!="SI",Inicial!#REF!,"N/A")</f>
        <v>#REF!</v>
      </c>
      <c r="J93" s="70"/>
      <c r="K93" s="70"/>
      <c r="L93" s="70"/>
      <c r="M93" s="70"/>
      <c r="N93" s="70"/>
      <c r="O93" s="70"/>
      <c r="P93" s="70"/>
      <c r="Q93" s="70"/>
    </row>
    <row r="94" spans="1:17" ht="25.5">
      <c r="A94" s="52">
        <f>Inicial!A90</f>
        <v>88</v>
      </c>
      <c r="B94" s="53" t="str">
        <f>Inicial!B90</f>
        <v>Desposte</v>
      </c>
      <c r="C94" s="53" t="str">
        <f>Inicial!C90</f>
        <v>Operador Linea Piernas</v>
      </c>
      <c r="D94" s="54" t="str">
        <f>Inicial!D90</f>
        <v>Extraer Cola-Cazuela</v>
      </c>
      <c r="E94" s="52" t="str">
        <f>IF(Inicial!P90="SI",Inicial!E90,"N/A")</f>
        <v>N/A</v>
      </c>
      <c r="F94" s="53" t="str">
        <f>IF(Inicial!P90="SI",Inicial!F90,"N/A")</f>
        <v>N/A</v>
      </c>
      <c r="G94" s="53" t="str">
        <f>IF(Inicial!P90="SI",Inicial!G90,"N/A")</f>
        <v>N/A</v>
      </c>
      <c r="H94" s="53" t="str">
        <f>IF(Inicial!P90="SI",Inicial!H90,"N/A")</f>
        <v>N/A</v>
      </c>
      <c r="I94" s="64" t="str">
        <f>IF(Inicial!P90="SI",Inicial!I90,"N/A")</f>
        <v>N/A</v>
      </c>
      <c r="J94" s="70"/>
      <c r="K94" s="70"/>
      <c r="L94" s="70"/>
      <c r="M94" s="70"/>
      <c r="N94" s="70"/>
      <c r="O94" s="70"/>
      <c r="P94" s="70"/>
      <c r="Q94" s="70"/>
    </row>
    <row r="95" spans="1:17" ht="25.5">
      <c r="A95" s="52">
        <f>Inicial!A91</f>
        <v>89</v>
      </c>
      <c r="B95" s="53" t="str">
        <f>Inicial!B91</f>
        <v>Desposte</v>
      </c>
      <c r="C95" s="53" t="str">
        <f>Inicial!C91</f>
        <v>Operador Linea Piernas</v>
      </c>
      <c r="D95" s="54" t="str">
        <f>Inicial!D91</f>
        <v>Exraer Pernil</v>
      </c>
      <c r="E95" s="52" t="str">
        <f>IF(Inicial!P91="SI",Inicial!E91,"N/A")</f>
        <v>N/A</v>
      </c>
      <c r="F95" s="53" t="str">
        <f>IF(Inicial!P91="SI",Inicial!F91,"N/A")</f>
        <v>N/A</v>
      </c>
      <c r="G95" s="53" t="str">
        <f>IF(Inicial!P91="SI",Inicial!G91,"N/A")</f>
        <v>N/A</v>
      </c>
      <c r="H95" s="53" t="str">
        <f>IF(Inicial!P91="SI",Inicial!H91,"N/A")</f>
        <v>N/A</v>
      </c>
      <c r="I95" s="64" t="str">
        <f>IF(Inicial!P91="SI",Inicial!I91,"N/A")</f>
        <v>N/A</v>
      </c>
      <c r="J95" s="70"/>
      <c r="K95" s="70"/>
      <c r="L95" s="70"/>
      <c r="M95" s="70"/>
      <c r="N95" s="70"/>
      <c r="O95" s="70"/>
      <c r="P95" s="70"/>
      <c r="Q95" s="70"/>
    </row>
    <row r="96" spans="1:17" ht="25.5">
      <c r="A96" s="52">
        <f>Inicial!A92</f>
        <v>90</v>
      </c>
      <c r="B96" s="53" t="str">
        <f>Inicial!B92</f>
        <v>Desposte</v>
      </c>
      <c r="C96" s="53" t="str">
        <f>Inicial!C92</f>
        <v>Operador Linea Piernas</v>
      </c>
      <c r="D96" s="54" t="str">
        <f>Inicial!D92</f>
        <v xml:space="preserve">Evacuar Bandejas </v>
      </c>
      <c r="E96" s="52" t="str">
        <f>IF(Inicial!P92="SI",Inicial!E92,"N/A")</f>
        <v>N/A</v>
      </c>
      <c r="F96" s="53" t="str">
        <f>IF(Inicial!P92="SI",Inicial!F92,"N/A")</f>
        <v>N/A</v>
      </c>
      <c r="G96" s="53" t="str">
        <f>IF(Inicial!P92="SI",Inicial!G92,"N/A")</f>
        <v>N/A</v>
      </c>
      <c r="H96" s="53" t="str">
        <f>IF(Inicial!P92="SI",Inicial!H92,"N/A")</f>
        <v>N/A</v>
      </c>
      <c r="I96" s="64" t="str">
        <f>IF(Inicial!P92="SI",Inicial!I92,"N/A")</f>
        <v>N/A</v>
      </c>
      <c r="J96" s="70"/>
      <c r="K96" s="70"/>
      <c r="L96" s="70"/>
      <c r="M96" s="70"/>
      <c r="N96" s="70"/>
      <c r="O96" s="70"/>
      <c r="P96" s="70"/>
      <c r="Q96" s="70"/>
    </row>
    <row r="97" spans="1:17">
      <c r="A97" s="52" t="e">
        <f>Inicial!#REF!</f>
        <v>#REF!</v>
      </c>
      <c r="B97" s="53" t="e">
        <f>Inicial!#REF!</f>
        <v>#REF!</v>
      </c>
      <c r="C97" s="53" t="e">
        <f>Inicial!#REF!</f>
        <v>#REF!</v>
      </c>
      <c r="D97" s="54" t="e">
        <f>Inicial!#REF!</f>
        <v>#REF!</v>
      </c>
      <c r="E97" s="52" t="e">
        <f>IF(Inicial!#REF!="SI",Inicial!#REF!,"N/A")</f>
        <v>#REF!</v>
      </c>
      <c r="F97" s="53" t="e">
        <f>IF(Inicial!#REF!="SI",Inicial!#REF!,"N/A")</f>
        <v>#REF!</v>
      </c>
      <c r="G97" s="53" t="e">
        <f>IF(Inicial!#REF!="SI",Inicial!#REF!,"N/A")</f>
        <v>#REF!</v>
      </c>
      <c r="H97" s="53" t="e">
        <f>IF(Inicial!#REF!="SI",Inicial!#REF!,"N/A")</f>
        <v>#REF!</v>
      </c>
      <c r="I97" s="64" t="e">
        <f>IF(Inicial!#REF!="SI",Inicial!#REF!,"N/A")</f>
        <v>#REF!</v>
      </c>
      <c r="J97" s="70"/>
      <c r="K97" s="70"/>
      <c r="L97" s="70"/>
      <c r="M97" s="70"/>
      <c r="N97" s="70"/>
      <c r="O97" s="70"/>
      <c r="P97" s="70"/>
      <c r="Q97" s="70"/>
    </row>
    <row r="98" spans="1:17">
      <c r="A98" s="52" t="e">
        <f>Inicial!#REF!</f>
        <v>#REF!</v>
      </c>
      <c r="B98" s="53" t="e">
        <f>Inicial!#REF!</f>
        <v>#REF!</v>
      </c>
      <c r="C98" s="53" t="e">
        <f>Inicial!#REF!</f>
        <v>#REF!</v>
      </c>
      <c r="D98" s="54" t="e">
        <f>Inicial!#REF!</f>
        <v>#REF!</v>
      </c>
      <c r="E98" s="52" t="e">
        <f>IF(Inicial!#REF!="SI",Inicial!#REF!,"N/A")</f>
        <v>#REF!</v>
      </c>
      <c r="F98" s="53" t="e">
        <f>IF(Inicial!#REF!="SI",Inicial!#REF!,"N/A")</f>
        <v>#REF!</v>
      </c>
      <c r="G98" s="53" t="e">
        <f>IF(Inicial!#REF!="SI",Inicial!#REF!,"N/A")</f>
        <v>#REF!</v>
      </c>
      <c r="H98" s="53" t="e">
        <f>IF(Inicial!#REF!="SI",Inicial!#REF!,"N/A")</f>
        <v>#REF!</v>
      </c>
      <c r="I98" s="64" t="e">
        <f>IF(Inicial!#REF!="SI",Inicial!#REF!,"N/A")</f>
        <v>#REF!</v>
      </c>
      <c r="J98" s="70"/>
      <c r="K98" s="70"/>
      <c r="L98" s="70"/>
      <c r="M98" s="70"/>
      <c r="N98" s="70"/>
      <c r="O98" s="70"/>
      <c r="P98" s="70"/>
      <c r="Q98" s="70"/>
    </row>
    <row r="99" spans="1:17" ht="25.5">
      <c r="A99" s="52">
        <f>Inicial!A93</f>
        <v>91</v>
      </c>
      <c r="B99" s="53" t="str">
        <f>Inicial!B93</f>
        <v>Desposte</v>
      </c>
      <c r="C99" s="53" t="str">
        <f>Inicial!C93</f>
        <v>Operador Linea Piernas</v>
      </c>
      <c r="D99" s="54" t="str">
        <f>Inicial!D93</f>
        <v>Peladora Maja</v>
      </c>
      <c r="E99" s="52" t="str">
        <f>IF(Inicial!P93="SI",Inicial!E93,"N/A")</f>
        <v>N/A</v>
      </c>
      <c r="F99" s="53" t="str">
        <f>IF(Inicial!P93="SI",Inicial!F93,"N/A")</f>
        <v>N/A</v>
      </c>
      <c r="G99" s="53" t="str">
        <f>IF(Inicial!P93="SI",Inicial!G93,"N/A")</f>
        <v>N/A</v>
      </c>
      <c r="H99" s="53" t="str">
        <f>IF(Inicial!P93="SI",Inicial!H93,"N/A")</f>
        <v>N/A</v>
      </c>
      <c r="I99" s="64" t="str">
        <f>IF(Inicial!P93="SI",Inicial!I93,"N/A")</f>
        <v>N/A</v>
      </c>
      <c r="J99" s="70"/>
      <c r="K99" s="70"/>
      <c r="L99" s="70"/>
      <c r="M99" s="70"/>
      <c r="N99" s="70"/>
      <c r="O99" s="70"/>
      <c r="P99" s="70"/>
      <c r="Q99" s="70"/>
    </row>
    <row r="100" spans="1:17" ht="25.5">
      <c r="A100" s="52">
        <f>Inicial!A94</f>
        <v>92</v>
      </c>
      <c r="B100" s="53" t="str">
        <f>Inicial!B94</f>
        <v>Desposte</v>
      </c>
      <c r="C100" s="53" t="str">
        <f>Inicial!C94</f>
        <v>Operador Linea Piernas</v>
      </c>
      <c r="D100" s="54" t="str">
        <f>Inicial!D94</f>
        <v>Whizard</v>
      </c>
      <c r="E100" s="52" t="str">
        <f>IF(Inicial!P94="SI",Inicial!E94,"N/A")</f>
        <v>N/A</v>
      </c>
      <c r="F100" s="53" t="str">
        <f>IF(Inicial!P94="SI",Inicial!F94,"N/A")</f>
        <v>N/A</v>
      </c>
      <c r="G100" s="53" t="str">
        <f>IF(Inicial!P94="SI",Inicial!G94,"N/A")</f>
        <v>N/A</v>
      </c>
      <c r="H100" s="53" t="str">
        <f>IF(Inicial!P94="SI",Inicial!H94,"N/A")</f>
        <v>N/A</v>
      </c>
      <c r="I100" s="64" t="str">
        <f>IF(Inicial!P94="SI",Inicial!I94,"N/A")</f>
        <v>N/A</v>
      </c>
      <c r="J100" s="70"/>
      <c r="K100" s="70"/>
      <c r="L100" s="70"/>
      <c r="M100" s="70"/>
      <c r="N100" s="70"/>
      <c r="O100" s="70"/>
      <c r="P100" s="70"/>
      <c r="Q100" s="70"/>
    </row>
    <row r="101" spans="1:17" ht="25.5">
      <c r="A101" s="52">
        <f>Inicial!A95</f>
        <v>93</v>
      </c>
      <c r="B101" s="53" t="str">
        <f>Inicial!B95</f>
        <v>Desposte</v>
      </c>
      <c r="C101" s="53" t="str">
        <f>Inicial!C95</f>
        <v>Operador Linea Piernas</v>
      </c>
      <c r="D101" s="54" t="str">
        <f>Inicial!D95</f>
        <v>Deshuesado Coxal</v>
      </c>
      <c r="E101" s="52" t="str">
        <f>IF(Inicial!P95="SI",Inicial!E95,"N/A")</f>
        <v>N/A</v>
      </c>
      <c r="F101" s="53" t="str">
        <f>IF(Inicial!P95="SI",Inicial!F95,"N/A")</f>
        <v>N/A</v>
      </c>
      <c r="G101" s="53" t="str">
        <f>IF(Inicial!P95="SI",Inicial!G95,"N/A")</f>
        <v>N/A</v>
      </c>
      <c r="H101" s="53" t="str">
        <f>IF(Inicial!P95="SI",Inicial!H95,"N/A")</f>
        <v>N/A</v>
      </c>
      <c r="I101" s="64" t="str">
        <f>IF(Inicial!P95="SI",Inicial!I95,"N/A")</f>
        <v>N/A</v>
      </c>
      <c r="J101" s="70"/>
      <c r="K101" s="70"/>
      <c r="L101" s="70"/>
      <c r="M101" s="70"/>
      <c r="N101" s="70"/>
      <c r="O101" s="70"/>
      <c r="P101" s="70"/>
      <c r="Q101" s="70"/>
    </row>
    <row r="102" spans="1:17" ht="25.5">
      <c r="A102" s="52">
        <f>Inicial!A96</f>
        <v>94</v>
      </c>
      <c r="B102" s="53" t="str">
        <f>Inicial!B96</f>
        <v>Desposte</v>
      </c>
      <c r="C102" s="53" t="str">
        <f>Inicial!C96</f>
        <v>Operador Linea Piernas</v>
      </c>
      <c r="D102" s="54" t="str">
        <f>Inicial!D96</f>
        <v xml:space="preserve">Deshuesadores Femur </v>
      </c>
      <c r="E102" s="52" t="str">
        <f>IF(Inicial!P96="SI",Inicial!E96,"N/A")</f>
        <v>N/A</v>
      </c>
      <c r="F102" s="53" t="str">
        <f>IF(Inicial!P96="SI",Inicial!F96,"N/A")</f>
        <v>N/A</v>
      </c>
      <c r="G102" s="53" t="str">
        <f>IF(Inicial!P96="SI",Inicial!G96,"N/A")</f>
        <v>N/A</v>
      </c>
      <c r="H102" s="53" t="str">
        <f>IF(Inicial!P96="SI",Inicial!H96,"N/A")</f>
        <v>N/A</v>
      </c>
      <c r="I102" s="64" t="str">
        <f>IF(Inicial!P96="SI",Inicial!I96,"N/A")</f>
        <v>N/A</v>
      </c>
      <c r="J102" s="70"/>
      <c r="K102" s="70"/>
      <c r="L102" s="70"/>
      <c r="M102" s="70"/>
      <c r="N102" s="70"/>
      <c r="O102" s="70"/>
      <c r="P102" s="70"/>
      <c r="Q102" s="70"/>
    </row>
    <row r="103" spans="1:17" ht="25.5">
      <c r="A103" s="52">
        <f>Inicial!A97</f>
        <v>95</v>
      </c>
      <c r="B103" s="53" t="str">
        <f>Inicial!B97</f>
        <v>Desposte</v>
      </c>
      <c r="C103" s="53" t="str">
        <f>Inicial!C97</f>
        <v>Operador Linea Piernas</v>
      </c>
      <c r="D103" s="54" t="str">
        <f>Inicial!D97</f>
        <v>Prolijadores</v>
      </c>
      <c r="E103" s="52" t="str">
        <f>IF(Inicial!P97="SI",Inicial!E97,"N/A")</f>
        <v>N/A</v>
      </c>
      <c r="F103" s="53" t="str">
        <f>IF(Inicial!P97="SI",Inicial!F97,"N/A")</f>
        <v>N/A</v>
      </c>
      <c r="G103" s="53" t="str">
        <f>IF(Inicial!P97="SI",Inicial!G97,"N/A")</f>
        <v>N/A</v>
      </c>
      <c r="H103" s="53" t="str">
        <f>IF(Inicial!P97="SI",Inicial!H97,"N/A")</f>
        <v>N/A</v>
      </c>
      <c r="I103" s="64" t="str">
        <f>IF(Inicial!P97="SI",Inicial!I97,"N/A")</f>
        <v>N/A</v>
      </c>
      <c r="J103" s="70"/>
      <c r="K103" s="70"/>
      <c r="L103" s="70"/>
      <c r="M103" s="70"/>
      <c r="N103" s="70"/>
      <c r="O103" s="70"/>
      <c r="P103" s="70"/>
      <c r="Q103" s="70"/>
    </row>
    <row r="104" spans="1:17" ht="25.5">
      <c r="A104" s="52">
        <f>Inicial!A98</f>
        <v>96</v>
      </c>
      <c r="B104" s="53" t="str">
        <f>Inicial!B98</f>
        <v>Desposte</v>
      </c>
      <c r="C104" s="53" t="str">
        <f>Inicial!C98</f>
        <v>Operador Linea Piernas</v>
      </c>
      <c r="D104" s="54" t="str">
        <f>Inicial!D98</f>
        <v xml:space="preserve">Calibrado </v>
      </c>
      <c r="E104" s="52" t="str">
        <f>IF(Inicial!P98="SI",Inicial!E98,"N/A")</f>
        <v>N/A</v>
      </c>
      <c r="F104" s="53" t="str">
        <f>IF(Inicial!P98="SI",Inicial!F98,"N/A")</f>
        <v>N/A</v>
      </c>
      <c r="G104" s="53" t="str">
        <f>IF(Inicial!P98="SI",Inicial!G98,"N/A")</f>
        <v>N/A</v>
      </c>
      <c r="H104" s="53" t="str">
        <f>IF(Inicial!P98="SI",Inicial!H98,"N/A")</f>
        <v>N/A</v>
      </c>
      <c r="I104" s="64" t="str">
        <f>IF(Inicial!P98="SI",Inicial!I98,"N/A")</f>
        <v>N/A</v>
      </c>
      <c r="J104" s="70"/>
      <c r="K104" s="70"/>
      <c r="L104" s="70"/>
      <c r="M104" s="70"/>
      <c r="N104" s="70"/>
      <c r="O104" s="70"/>
      <c r="P104" s="70"/>
      <c r="Q104" s="70"/>
    </row>
    <row r="105" spans="1:17">
      <c r="A105" s="52"/>
      <c r="B105" s="53"/>
      <c r="C105" s="53"/>
      <c r="D105" s="54"/>
      <c r="E105" s="52"/>
      <c r="F105" s="53"/>
      <c r="G105" s="53"/>
      <c r="H105" s="53"/>
      <c r="I105" s="64"/>
      <c r="J105" s="70"/>
      <c r="K105" s="70"/>
      <c r="L105" s="70"/>
      <c r="M105" s="70"/>
      <c r="N105" s="70"/>
      <c r="O105" s="70"/>
      <c r="P105" s="70"/>
      <c r="Q105" s="70"/>
    </row>
    <row r="106" spans="1:17">
      <c r="A106" s="52"/>
      <c r="B106" s="53"/>
      <c r="C106" s="53"/>
      <c r="D106" s="54"/>
      <c r="E106" s="52"/>
      <c r="F106" s="53"/>
      <c r="G106" s="53"/>
      <c r="H106" s="53"/>
      <c r="I106" s="64"/>
      <c r="J106" s="70"/>
      <c r="K106" s="70"/>
      <c r="L106" s="70"/>
      <c r="M106" s="70"/>
      <c r="N106" s="70"/>
      <c r="O106" s="70"/>
      <c r="P106" s="70"/>
      <c r="Q106" s="70"/>
    </row>
    <row r="107" spans="1:17">
      <c r="A107" s="52"/>
      <c r="B107" s="53"/>
      <c r="C107" s="53"/>
      <c r="D107" s="54"/>
      <c r="E107" s="52"/>
      <c r="F107" s="53"/>
      <c r="G107" s="53"/>
      <c r="H107" s="53"/>
      <c r="I107" s="64"/>
      <c r="J107" s="70"/>
      <c r="K107" s="70"/>
      <c r="L107" s="70"/>
      <c r="M107" s="70"/>
      <c r="N107" s="70"/>
      <c r="O107" s="70"/>
      <c r="P107" s="70"/>
      <c r="Q107" s="70"/>
    </row>
    <row r="108" spans="1:17">
      <c r="A108" s="52"/>
      <c r="B108" s="53"/>
      <c r="C108" s="53"/>
      <c r="D108" s="54"/>
      <c r="E108" s="52"/>
      <c r="F108" s="53"/>
      <c r="G108" s="53"/>
      <c r="H108" s="53"/>
      <c r="I108" s="64"/>
      <c r="J108" s="70"/>
      <c r="K108" s="70"/>
      <c r="L108" s="70"/>
      <c r="M108" s="70"/>
      <c r="N108" s="70"/>
      <c r="O108" s="70"/>
      <c r="P108" s="70"/>
      <c r="Q108" s="70"/>
    </row>
    <row r="109" spans="1:17">
      <c r="A109" s="52"/>
      <c r="B109" s="53"/>
      <c r="C109" s="53"/>
      <c r="D109" s="54"/>
      <c r="E109" s="52"/>
      <c r="F109" s="53"/>
      <c r="G109" s="53"/>
      <c r="H109" s="53"/>
      <c r="I109" s="64"/>
    </row>
    <row r="110" spans="1:17">
      <c r="A110" s="52"/>
      <c r="B110" s="53"/>
      <c r="C110" s="53"/>
      <c r="D110" s="54"/>
      <c r="E110" s="52"/>
      <c r="F110" s="53"/>
      <c r="G110" s="53"/>
      <c r="H110" s="53"/>
      <c r="I110" s="64"/>
    </row>
    <row r="111" spans="1:17">
      <c r="A111" s="52"/>
      <c r="B111" s="53"/>
      <c r="C111" s="53"/>
      <c r="D111" s="54"/>
      <c r="E111" s="52"/>
      <c r="F111" s="53"/>
      <c r="G111" s="53"/>
      <c r="H111" s="53"/>
      <c r="I111" s="64"/>
    </row>
    <row r="112" spans="1:17">
      <c r="A112" s="52"/>
      <c r="B112" s="53"/>
      <c r="C112" s="53"/>
      <c r="D112" s="54"/>
      <c r="E112" s="52"/>
      <c r="F112" s="53"/>
      <c r="G112" s="53"/>
      <c r="H112" s="53"/>
      <c r="I112" s="64"/>
    </row>
    <row r="113" spans="1:9">
      <c r="A113" s="52"/>
      <c r="B113" s="53"/>
      <c r="C113" s="53"/>
      <c r="D113" s="54"/>
      <c r="E113" s="52"/>
      <c r="F113" s="53"/>
      <c r="G113" s="53"/>
      <c r="H113" s="53"/>
      <c r="I113" s="64"/>
    </row>
    <row r="114" spans="1:9">
      <c r="A114" s="52"/>
      <c r="B114" s="53"/>
      <c r="C114" s="53"/>
      <c r="D114" s="54"/>
      <c r="E114" s="52"/>
      <c r="F114" s="53"/>
      <c r="G114" s="53"/>
      <c r="H114" s="53"/>
      <c r="I114" s="64"/>
    </row>
    <row r="115" spans="1:9">
      <c r="A115" s="52"/>
      <c r="B115" s="53"/>
      <c r="C115" s="53"/>
      <c r="D115" s="54"/>
      <c r="E115" s="52"/>
      <c r="F115" s="53"/>
      <c r="G115" s="53"/>
      <c r="H115" s="53"/>
      <c r="I115" s="64"/>
    </row>
    <row r="116" spans="1:9">
      <c r="A116" s="52"/>
      <c r="B116" s="53"/>
      <c r="C116" s="53"/>
      <c r="D116" s="54"/>
      <c r="E116" s="52"/>
      <c r="F116" s="53"/>
      <c r="G116" s="53"/>
      <c r="H116" s="53"/>
      <c r="I116" s="64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9" priority="3" operator="equal">
      <formula>"SI"</formula>
    </cfRule>
    <cfRule type="cellIs" dxfId="8" priority="4" operator="equal">
      <formula>"NO"</formula>
    </cfRule>
  </conditionalFormatting>
  <conditionalFormatting sqref="R3">
    <cfRule type="cellIs" dxfId="7" priority="1" operator="equal">
      <formula>"No Aceptable"</formula>
    </cfRule>
  </conditionalFormatting>
  <conditionalFormatting sqref="R3:R21">
    <cfRule type="cellIs" dxfId="6" priority="2" operator="equal">
      <formula>"Aceptable"</formula>
    </cfRule>
  </conditionalFormatting>
  <conditionalFormatting sqref="R3:U3 W3 R4:R21">
    <cfRule type="cellIs" dxfId="5" priority="11" operator="equal">
      <formula>"NO"</formula>
    </cfRule>
    <cfRule type="cellIs" dxfId="4" priority="12" operator="equal">
      <formula>"SI"</formula>
    </cfRule>
  </conditionalFormatting>
  <conditionalFormatting sqref="X3:AM3">
    <cfRule type="cellIs" dxfId="3" priority="7" operator="equal">
      <formula>"No Aceptable"</formula>
    </cfRule>
    <cfRule type="cellIs" dxfId="2" priority="8" operator="equal">
      <formula>"Aceptable"</formula>
    </cfRule>
  </conditionalFormatting>
  <conditionalFormatting sqref="AN3">
    <cfRule type="cellIs" dxfId="1" priority="5" operator="equal">
      <formula>"No Critico"</formula>
    </cfRule>
    <cfRule type="cellIs" dxfId="0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J3:Q108" xr:uid="{02453FFD-BED0-4508-9166-D0FB768CAC83}">
      <formula1>"SI,NO"</formula1>
    </dataValidation>
    <dataValidation type="list" allowBlank="1" showInputMessage="1" showErrorMessage="1" sqref="R22:R41" xr:uid="{51208079-784F-4A32-9422-114CBF3532A6}">
      <formula1>"SI,NO,N/A"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ce829c-29d5-4188-81f9-49fa9ca755cf" xsi:nil="true"/>
    <lcf76f155ced4ddcb4097134ff3c332f xmlns="2c45b0dd-1b31-47e7-b238-a9896e8415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6FD32779872D499B486B6A35D50F14" ma:contentTypeVersion="17" ma:contentTypeDescription="Crear nuevo documento." ma:contentTypeScope="" ma:versionID="819bc7893e506dde4eeafea20dd88834">
  <xsd:schema xmlns:xsd="http://www.w3.org/2001/XMLSchema" xmlns:xs="http://www.w3.org/2001/XMLSchema" xmlns:p="http://schemas.microsoft.com/office/2006/metadata/properties" xmlns:ns2="2c45b0dd-1b31-47e7-b238-a9896e8415c2" xmlns:ns3="ffce829c-29d5-4188-81f9-49fa9ca755cf" targetNamespace="http://schemas.microsoft.com/office/2006/metadata/properties" ma:root="true" ma:fieldsID="1d4e9e0706ded992246d942d1488618a" ns2:_="" ns3:_="">
    <xsd:import namespace="2c45b0dd-1b31-47e7-b238-a9896e8415c2"/>
    <xsd:import namespace="ffce829c-29d5-4188-81f9-49fa9ca75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5b0dd-1b31-47e7-b238-a9896e841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e829c-29d5-4188-81f9-49fa9ca755c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083579e-a6f3-4684-b5b1-e7bca52e1160}" ma:internalName="TaxCatchAll" ma:showField="CatchAllData" ma:web="ffce829c-29d5-4188-81f9-49fa9ca755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C8A4E8-E502-4762-AB94-2DA1E1412737}"/>
</file>

<file path=customXml/itemProps2.xml><?xml version="1.0" encoding="utf-8"?>
<ds:datastoreItem xmlns:ds="http://schemas.openxmlformats.org/officeDocument/2006/customXml" ds:itemID="{02D9B20F-14D0-4FF9-B37F-74222D448409}"/>
</file>

<file path=customXml/itemProps3.xml><?xml version="1.0" encoding="utf-8"?>
<ds:datastoreItem xmlns:ds="http://schemas.openxmlformats.org/officeDocument/2006/customXml" ds:itemID="{F574A920-A0BB-4D3E-94A9-C33FE082C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Bustamante Moran, Juan Carlos</cp:lastModifiedBy>
  <cp:revision/>
  <dcterms:created xsi:type="dcterms:W3CDTF">2024-10-16T13:46:28Z</dcterms:created>
  <dcterms:modified xsi:type="dcterms:W3CDTF">2025-09-24T12:44:48Z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0x010100CF6FD32779872D499B486B6A35D50F14</vt:lpwstr>
  </property>
  <property fmtid="{D5CDD505-2E9C-101B-9397-08002B2CF9AE}" pid="3" name="MediaServiceImageTags">
    <vt:lpwstr/>
  </property>
</Properties>
</file>